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LBERTO.RAMIREZ\Downloads\"/>
    </mc:Choice>
  </mc:AlternateContent>
  <xr:revisionPtr revIDLastSave="0" documentId="8_{365B1954-4D96-49C3-9465-667F8FF0B8E8}" xr6:coauthVersionLast="47" xr6:coauthVersionMax="47" xr10:uidLastSave="{00000000-0000-0000-0000-000000000000}"/>
  <bookViews>
    <workbookView xWindow="-120" yWindow="-120" windowWidth="20730" windowHeight="11040" firstSheet="2" activeTab="2" xr2:uid="{0C2C600F-83FB-4B7C-B45A-CF55A570C5AE}"/>
  </bookViews>
  <sheets>
    <sheet name="Indicador" sheetId="1" state="hidden" r:id="rId1"/>
    <sheet name="Data" sheetId="2" state="hidden" r:id="rId2"/>
    <sheet name="Data Afinada" sheetId="5" r:id="rId3"/>
    <sheet name="Hoja3" sheetId="3" state="hidden" r:id="rId4"/>
  </sheets>
  <externalReferences>
    <externalReference r:id="rId5"/>
    <externalReference r:id="rId6"/>
  </externalReferences>
  <definedNames>
    <definedName name="_xlnm._FilterDatabase" localSheetId="1" hidden="1">Data!$A$1:$T$1</definedName>
    <definedName name="_xlnm._FilterDatabase" localSheetId="2" hidden="1">'Data Afinada'!$A$1:$T$1</definedName>
    <definedName name="_xlnm._FilterDatabase" localSheetId="0" hidden="1">Indicador!$A$1:$AF$1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5" l="1"/>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L35" i="5"/>
  <c r="L31" i="5"/>
  <c r="L27" i="5"/>
  <c r="L23" i="5"/>
  <c r="L15" i="5"/>
  <c r="L7" i="5"/>
  <c r="L5" i="5"/>
  <c r="L4" i="5"/>
  <c r="L3" i="5"/>
  <c r="I35" i="5"/>
  <c r="K35" i="5" s="1"/>
  <c r="G35" i="5"/>
  <c r="C35" i="5"/>
  <c r="I34" i="5"/>
  <c r="K34" i="5" s="1"/>
  <c r="L34" i="5"/>
  <c r="G34" i="5"/>
  <c r="C34" i="5"/>
  <c r="I33" i="5"/>
  <c r="K33" i="5" s="1"/>
  <c r="L33" i="5"/>
  <c r="G33" i="5"/>
  <c r="C33" i="5"/>
  <c r="L32" i="5"/>
  <c r="I32" i="5"/>
  <c r="K32" i="5" s="1"/>
  <c r="Q32" i="5" s="1"/>
  <c r="R32" i="5" s="1"/>
  <c r="G32" i="5"/>
  <c r="C32" i="5"/>
  <c r="I31" i="5"/>
  <c r="K31" i="5" s="1"/>
  <c r="G31" i="5"/>
  <c r="C31" i="5"/>
  <c r="I30" i="5"/>
  <c r="K30" i="5" s="1"/>
  <c r="L30" i="5"/>
  <c r="G30" i="5"/>
  <c r="C30" i="5"/>
  <c r="I29" i="5"/>
  <c r="K29" i="5" s="1"/>
  <c r="L29" i="5"/>
  <c r="G29" i="5"/>
  <c r="C29" i="5"/>
  <c r="L28" i="5"/>
  <c r="I28" i="5"/>
  <c r="K28" i="5" s="1"/>
  <c r="G28" i="5"/>
  <c r="C28" i="5"/>
  <c r="I27" i="5"/>
  <c r="K27" i="5" s="1"/>
  <c r="G27" i="5"/>
  <c r="C27" i="5"/>
  <c r="I26" i="5"/>
  <c r="K26" i="5" s="1"/>
  <c r="L26" i="5"/>
  <c r="G26" i="5"/>
  <c r="C26" i="5"/>
  <c r="L25" i="5"/>
  <c r="I25" i="5"/>
  <c r="K25" i="5" s="1"/>
  <c r="G25" i="5"/>
  <c r="C25" i="5"/>
  <c r="I24" i="5"/>
  <c r="K24" i="5" s="1"/>
  <c r="L24" i="5"/>
  <c r="G24" i="5"/>
  <c r="C24" i="5"/>
  <c r="I23" i="5"/>
  <c r="K23" i="5" s="1"/>
  <c r="G23" i="5"/>
  <c r="C23" i="5"/>
  <c r="I22" i="5"/>
  <c r="K22" i="5" s="1"/>
  <c r="L22" i="5"/>
  <c r="G22" i="5"/>
  <c r="C22" i="5"/>
  <c r="L21" i="5"/>
  <c r="K21" i="5"/>
  <c r="O21" i="5" s="1"/>
  <c r="I21" i="5"/>
  <c r="G21" i="5"/>
  <c r="C21" i="5"/>
  <c r="I20" i="5"/>
  <c r="K20" i="5" s="1"/>
  <c r="L20" i="5"/>
  <c r="G20" i="5"/>
  <c r="C20" i="5"/>
  <c r="I19" i="5"/>
  <c r="K19" i="5" s="1"/>
  <c r="L19" i="5"/>
  <c r="G19" i="5"/>
  <c r="C19" i="5"/>
  <c r="I18" i="5"/>
  <c r="K18" i="5" s="1"/>
  <c r="L18" i="5"/>
  <c r="G18" i="5"/>
  <c r="C18" i="5"/>
  <c r="L17" i="5"/>
  <c r="I17" i="5"/>
  <c r="K17" i="5" s="1"/>
  <c r="O17" i="5" s="1"/>
  <c r="G17" i="5"/>
  <c r="C17" i="5"/>
  <c r="I16" i="5"/>
  <c r="K16" i="5" s="1"/>
  <c r="L16" i="5"/>
  <c r="G16" i="5"/>
  <c r="D16" i="5"/>
  <c r="C16" i="5"/>
  <c r="I15" i="5"/>
  <c r="K15" i="5" s="1"/>
  <c r="G15" i="5"/>
  <c r="C15" i="5"/>
  <c r="I14" i="5"/>
  <c r="K14" i="5" s="1"/>
  <c r="L14" i="5"/>
  <c r="G14" i="5"/>
  <c r="D14" i="5"/>
  <c r="C14" i="5"/>
  <c r="I13" i="5"/>
  <c r="K13" i="5" s="1"/>
  <c r="L13" i="5"/>
  <c r="G13" i="5"/>
  <c r="C13" i="5"/>
  <c r="L12" i="5"/>
  <c r="K12" i="5"/>
  <c r="Q12" i="5" s="1"/>
  <c r="R12" i="5" s="1"/>
  <c r="I12" i="5"/>
  <c r="G12" i="5"/>
  <c r="C12" i="5"/>
  <c r="I11" i="5"/>
  <c r="K11" i="5" s="1"/>
  <c r="L11" i="5"/>
  <c r="G11" i="5"/>
  <c r="C11" i="5"/>
  <c r="I10" i="5"/>
  <c r="K10" i="5" s="1"/>
  <c r="L10" i="5"/>
  <c r="G10" i="5"/>
  <c r="C10" i="5"/>
  <c r="I9" i="5"/>
  <c r="K9" i="5" s="1"/>
  <c r="L9" i="5"/>
  <c r="G9" i="5"/>
  <c r="C9" i="5"/>
  <c r="L8" i="5"/>
  <c r="I8" i="5"/>
  <c r="K8" i="5" s="1"/>
  <c r="Q8" i="5" s="1"/>
  <c r="R8" i="5" s="1"/>
  <c r="G8" i="5"/>
  <c r="C8" i="5"/>
  <c r="I7" i="5"/>
  <c r="K7" i="5" s="1"/>
  <c r="G7" i="5"/>
  <c r="C7" i="5"/>
  <c r="I6" i="5"/>
  <c r="K6" i="5" s="1"/>
  <c r="O6" i="5" s="1"/>
  <c r="L6" i="5"/>
  <c r="G6" i="5"/>
  <c r="C6" i="5"/>
  <c r="I5" i="5"/>
  <c r="K5" i="5" s="1"/>
  <c r="G5" i="5"/>
  <c r="C5" i="5"/>
  <c r="I4" i="5"/>
  <c r="K4" i="5" s="1"/>
  <c r="G4" i="5"/>
  <c r="C4" i="5"/>
  <c r="I3" i="5"/>
  <c r="K3" i="5" s="1"/>
  <c r="G3" i="5"/>
  <c r="C3" i="5"/>
  <c r="K2" i="5"/>
  <c r="O2" i="5" s="1"/>
  <c r="I2" i="5"/>
  <c r="L2" i="5"/>
  <c r="G2" i="5"/>
  <c r="C2" i="5"/>
  <c r="J36" i="2"/>
  <c r="D16" i="2"/>
  <c r="D14" i="2"/>
  <c r="C2" i="2"/>
  <c r="C3" i="2"/>
  <c r="C4" i="2"/>
  <c r="C5" i="2"/>
  <c r="C6" i="2"/>
  <c r="C7" i="2"/>
  <c r="C8" i="2"/>
  <c r="C9" i="2"/>
  <c r="C10" i="2"/>
  <c r="C36" i="2"/>
  <c r="C11" i="2"/>
  <c r="C12" i="2"/>
  <c r="C13" i="2"/>
  <c r="C14" i="2"/>
  <c r="C15" i="2"/>
  <c r="C37" i="2"/>
  <c r="C16" i="2"/>
  <c r="C38" i="2"/>
  <c r="C17" i="2"/>
  <c r="C39" i="2"/>
  <c r="C18" i="2"/>
  <c r="C40" i="2"/>
  <c r="C41" i="2"/>
  <c r="C19" i="2"/>
  <c r="C20" i="2"/>
  <c r="C21" i="2"/>
  <c r="C22" i="2"/>
  <c r="C23" i="2"/>
  <c r="C42" i="2"/>
  <c r="C24" i="2"/>
  <c r="C25" i="2"/>
  <c r="C26" i="2"/>
  <c r="C43" i="2"/>
  <c r="C44" i="2"/>
  <c r="C45" i="2"/>
  <c r="C27" i="2"/>
  <c r="C46" i="2"/>
  <c r="C28" i="2"/>
  <c r="C29" i="2"/>
  <c r="C30" i="2"/>
  <c r="C31" i="2"/>
  <c r="C32" i="2"/>
  <c r="C33" i="2"/>
  <c r="C34" i="2"/>
  <c r="C35" i="2"/>
  <c r="Q28" i="5" l="1"/>
  <c r="R28" i="5" s="1"/>
  <c r="N14" i="5"/>
  <c r="S17" i="5"/>
  <c r="T17" i="5" s="1"/>
  <c r="P17" i="5"/>
  <c r="Q3" i="5"/>
  <c r="R3" i="5" s="1"/>
  <c r="Q7" i="5"/>
  <c r="R7" i="5" s="1"/>
  <c r="S21" i="5"/>
  <c r="T21" i="5" s="1"/>
  <c r="P21" i="5"/>
  <c r="Q11" i="5"/>
  <c r="R11" i="5" s="1"/>
  <c r="Q16" i="5"/>
  <c r="R16" i="5" s="1"/>
  <c r="Q4" i="5"/>
  <c r="R4" i="5" s="1"/>
  <c r="O4" i="5"/>
  <c r="M4" i="5"/>
  <c r="Q20" i="5"/>
  <c r="R20" i="5" s="1"/>
  <c r="Q24" i="5"/>
  <c r="R24" i="5" s="1"/>
  <c r="Q17" i="5"/>
  <c r="R17" i="5" s="1"/>
  <c r="Q21" i="5"/>
  <c r="R21" i="5" s="1"/>
  <c r="M8" i="5"/>
  <c r="M12" i="5"/>
  <c r="M17" i="5"/>
  <c r="M21" i="5"/>
  <c r="Q6" i="5"/>
  <c r="R6" i="5" s="1"/>
  <c r="N8" i="5"/>
  <c r="N12" i="5"/>
  <c r="N17" i="5"/>
  <c r="N21" i="5"/>
  <c r="Q2" i="5"/>
  <c r="R2" i="5" s="1"/>
  <c r="O8" i="5"/>
  <c r="O12" i="5"/>
  <c r="N4" i="5"/>
  <c r="Q25" i="5"/>
  <c r="R25" i="5" s="1"/>
  <c r="O25" i="5"/>
  <c r="N25" i="5"/>
  <c r="M25" i="5"/>
  <c r="M30" i="5"/>
  <c r="Q30" i="5"/>
  <c r="R30" i="5" s="1"/>
  <c r="N30" i="5"/>
  <c r="O30" i="5"/>
  <c r="O35" i="5"/>
  <c r="N35" i="5"/>
  <c r="M35" i="5"/>
  <c r="Q35" i="5"/>
  <c r="R35" i="5" s="1"/>
  <c r="S2" i="5"/>
  <c r="T2" i="5" s="1"/>
  <c r="P2" i="5"/>
  <c r="M5" i="5"/>
  <c r="Q5" i="5"/>
  <c r="R5" i="5" s="1"/>
  <c r="O5" i="5"/>
  <c r="N5" i="5"/>
  <c r="O27" i="5"/>
  <c r="N27" i="5"/>
  <c r="M27" i="5"/>
  <c r="Q27" i="5"/>
  <c r="R27" i="5" s="1"/>
  <c r="M9" i="5"/>
  <c r="O9" i="5"/>
  <c r="Q9" i="5"/>
  <c r="R9" i="5" s="1"/>
  <c r="N9" i="5"/>
  <c r="M13" i="5"/>
  <c r="O13" i="5"/>
  <c r="Q13" i="5"/>
  <c r="R13" i="5" s="1"/>
  <c r="N13" i="5"/>
  <c r="M18" i="5"/>
  <c r="Q18" i="5"/>
  <c r="R18" i="5" s="1"/>
  <c r="N18" i="5"/>
  <c r="O18" i="5"/>
  <c r="M22" i="5"/>
  <c r="O22" i="5"/>
  <c r="Q22" i="5"/>
  <c r="R22" i="5" s="1"/>
  <c r="N22" i="5"/>
  <c r="Q29" i="5"/>
  <c r="R29" i="5" s="1"/>
  <c r="O29" i="5"/>
  <c r="N29" i="5"/>
  <c r="M29" i="5"/>
  <c r="M34" i="5"/>
  <c r="O34" i="5"/>
  <c r="Q34" i="5"/>
  <c r="R34" i="5" s="1"/>
  <c r="N34" i="5"/>
  <c r="O15" i="5"/>
  <c r="N15" i="5"/>
  <c r="M15" i="5"/>
  <c r="Q15" i="5"/>
  <c r="R15" i="5" s="1"/>
  <c r="O31" i="5"/>
  <c r="N31" i="5"/>
  <c r="M31" i="5"/>
  <c r="Q31" i="5"/>
  <c r="R31" i="5" s="1"/>
  <c r="M26" i="5"/>
  <c r="O26" i="5"/>
  <c r="Q26" i="5"/>
  <c r="R26" i="5" s="1"/>
  <c r="N26" i="5"/>
  <c r="S6" i="5"/>
  <c r="T6" i="5" s="1"/>
  <c r="P6" i="5"/>
  <c r="O10" i="5"/>
  <c r="Q10" i="5"/>
  <c r="R10" i="5" s="1"/>
  <c r="N10" i="5"/>
  <c r="M10" i="5"/>
  <c r="O19" i="5"/>
  <c r="N19" i="5"/>
  <c r="M19" i="5"/>
  <c r="Q19" i="5"/>
  <c r="R19" i="5" s="1"/>
  <c r="O23" i="5"/>
  <c r="N23" i="5"/>
  <c r="M23" i="5"/>
  <c r="Q23" i="5"/>
  <c r="R23" i="5" s="1"/>
  <c r="Q33" i="5"/>
  <c r="R33" i="5" s="1"/>
  <c r="M33" i="5"/>
  <c r="O33" i="5"/>
  <c r="N33" i="5"/>
  <c r="O14" i="5"/>
  <c r="Q14" i="5"/>
  <c r="R14" i="5" s="1"/>
  <c r="M3" i="5"/>
  <c r="M7" i="5"/>
  <c r="M11" i="5"/>
  <c r="M16" i="5"/>
  <c r="M20" i="5"/>
  <c r="M24" i="5"/>
  <c r="M28" i="5"/>
  <c r="M32" i="5"/>
  <c r="N3" i="5"/>
  <c r="N7" i="5"/>
  <c r="N11" i="5"/>
  <c r="N16" i="5"/>
  <c r="N20" i="5"/>
  <c r="N24" i="5"/>
  <c r="N28" i="5"/>
  <c r="N32" i="5"/>
  <c r="M2" i="5"/>
  <c r="O3" i="5"/>
  <c r="M6" i="5"/>
  <c r="O7" i="5"/>
  <c r="O11" i="5"/>
  <c r="O16" i="5"/>
  <c r="O20" i="5"/>
  <c r="O24" i="5"/>
  <c r="O28" i="5"/>
  <c r="O32" i="5"/>
  <c r="N2" i="5"/>
  <c r="N6" i="5"/>
  <c r="M14" i="5"/>
  <c r="I2" i="2"/>
  <c r="K2" i="2" s="1"/>
  <c r="M2" i="2" s="1"/>
  <c r="I3" i="2"/>
  <c r="K3" i="2" s="1"/>
  <c r="I4" i="2"/>
  <c r="K4" i="2" s="1"/>
  <c r="I5" i="2"/>
  <c r="K5" i="2" s="1"/>
  <c r="I6" i="2"/>
  <c r="K6" i="2" s="1"/>
  <c r="I7" i="2"/>
  <c r="K7" i="2" s="1"/>
  <c r="I8" i="2"/>
  <c r="K8" i="2" s="1"/>
  <c r="M8" i="2" s="1"/>
  <c r="I9" i="2"/>
  <c r="K9" i="2" s="1"/>
  <c r="I10" i="2"/>
  <c r="K10" i="2" s="1"/>
  <c r="I36" i="2"/>
  <c r="K36" i="2" s="1"/>
  <c r="I11" i="2"/>
  <c r="K11" i="2" s="1"/>
  <c r="I12" i="2"/>
  <c r="K12" i="2" s="1"/>
  <c r="I13" i="2"/>
  <c r="K13" i="2" s="1"/>
  <c r="I14" i="2"/>
  <c r="K14" i="2" s="1"/>
  <c r="I15" i="2"/>
  <c r="K15" i="2" s="1"/>
  <c r="I37" i="2"/>
  <c r="K37" i="2" s="1"/>
  <c r="I16" i="2"/>
  <c r="K16" i="2" s="1"/>
  <c r="M16" i="2" s="1"/>
  <c r="I38" i="2"/>
  <c r="K38" i="2" s="1"/>
  <c r="I17" i="2"/>
  <c r="K17" i="2" s="1"/>
  <c r="I39" i="2"/>
  <c r="K39" i="2" s="1"/>
  <c r="I18" i="2"/>
  <c r="K18" i="2" s="1"/>
  <c r="I40" i="2"/>
  <c r="K40" i="2" s="1"/>
  <c r="I41" i="2"/>
  <c r="K41" i="2" s="1"/>
  <c r="M41" i="2" s="1"/>
  <c r="I19" i="2"/>
  <c r="K19" i="2" s="1"/>
  <c r="I20" i="2"/>
  <c r="K20" i="2" s="1"/>
  <c r="M20" i="2" s="1"/>
  <c r="I21" i="2"/>
  <c r="K21" i="2" s="1"/>
  <c r="O21" i="2" s="1"/>
  <c r="P21" i="2" s="1"/>
  <c r="I22" i="2"/>
  <c r="K22" i="2" s="1"/>
  <c r="I23" i="2"/>
  <c r="K23" i="2" s="1"/>
  <c r="I42" i="2"/>
  <c r="K42" i="2" s="1"/>
  <c r="I24" i="2"/>
  <c r="K24" i="2" s="1"/>
  <c r="I25" i="2"/>
  <c r="K25" i="2" s="1"/>
  <c r="O25" i="2" s="1"/>
  <c r="P25" i="2" s="1"/>
  <c r="I26" i="2"/>
  <c r="K26" i="2" s="1"/>
  <c r="I43" i="2"/>
  <c r="K43" i="2" s="1"/>
  <c r="I44" i="2"/>
  <c r="K44" i="2" s="1"/>
  <c r="I45" i="2"/>
  <c r="K45" i="2" s="1"/>
  <c r="I27" i="2"/>
  <c r="K27" i="2" s="1"/>
  <c r="I46" i="2"/>
  <c r="K46" i="2" s="1"/>
  <c r="I28" i="2"/>
  <c r="K28" i="2" s="1"/>
  <c r="I29" i="2"/>
  <c r="K29" i="2" s="1"/>
  <c r="I30" i="2"/>
  <c r="K30" i="2" s="1"/>
  <c r="I31" i="2"/>
  <c r="K31" i="2" s="1"/>
  <c r="I32" i="2"/>
  <c r="K32" i="2" s="1"/>
  <c r="M32" i="2" s="1"/>
  <c r="I33" i="2"/>
  <c r="K33" i="2" s="1"/>
  <c r="I34" i="2"/>
  <c r="K34" i="2" s="1"/>
  <c r="I35" i="2"/>
  <c r="K35" i="2" s="1"/>
  <c r="H2" i="2"/>
  <c r="L2" i="2" s="1"/>
  <c r="H3" i="2"/>
  <c r="L3" i="2" s="1"/>
  <c r="H4" i="2"/>
  <c r="L4" i="2" s="1"/>
  <c r="H5" i="2"/>
  <c r="L5" i="2" s="1"/>
  <c r="H6" i="2"/>
  <c r="L6" i="2" s="1"/>
  <c r="H7" i="2"/>
  <c r="L7" i="2" s="1"/>
  <c r="Q7" i="2" s="1"/>
  <c r="R7" i="2" s="1"/>
  <c r="H8" i="2"/>
  <c r="L8" i="2" s="1"/>
  <c r="H9" i="2"/>
  <c r="L9" i="2" s="1"/>
  <c r="H10" i="2"/>
  <c r="L10" i="2" s="1"/>
  <c r="H36" i="2"/>
  <c r="L36" i="2" s="1"/>
  <c r="H11" i="2"/>
  <c r="L11" i="2" s="1"/>
  <c r="H12" i="2"/>
  <c r="L12" i="2" s="1"/>
  <c r="H13" i="2"/>
  <c r="L13" i="2" s="1"/>
  <c r="Q13" i="2" s="1"/>
  <c r="R13" i="2" s="1"/>
  <c r="H14" i="2"/>
  <c r="L14" i="2" s="1"/>
  <c r="H15" i="2"/>
  <c r="L15" i="2" s="1"/>
  <c r="H37" i="2"/>
  <c r="L37" i="2" s="1"/>
  <c r="H16" i="2"/>
  <c r="L16" i="2" s="1"/>
  <c r="H38" i="2"/>
  <c r="L38" i="2" s="1"/>
  <c r="H17" i="2"/>
  <c r="L17" i="2" s="1"/>
  <c r="H39" i="2"/>
  <c r="L39" i="2" s="1"/>
  <c r="H18" i="2"/>
  <c r="L18" i="2" s="1"/>
  <c r="H40" i="2"/>
  <c r="L40" i="2" s="1"/>
  <c r="H41" i="2"/>
  <c r="L41" i="2" s="1"/>
  <c r="H19" i="2"/>
  <c r="L19" i="2" s="1"/>
  <c r="H20" i="2"/>
  <c r="L20" i="2" s="1"/>
  <c r="H21" i="2"/>
  <c r="L21" i="2" s="1"/>
  <c r="H22" i="2"/>
  <c r="L22" i="2" s="1"/>
  <c r="H23" i="2"/>
  <c r="L23" i="2" s="1"/>
  <c r="H42" i="2"/>
  <c r="L42" i="2" s="1"/>
  <c r="Q42" i="2" s="1"/>
  <c r="R42" i="2" s="1"/>
  <c r="H24" i="2"/>
  <c r="L24" i="2" s="1"/>
  <c r="H25" i="2"/>
  <c r="L25" i="2" s="1"/>
  <c r="H26" i="2"/>
  <c r="L26" i="2" s="1"/>
  <c r="H43" i="2"/>
  <c r="L43" i="2" s="1"/>
  <c r="H44" i="2"/>
  <c r="L44" i="2" s="1"/>
  <c r="H45" i="2"/>
  <c r="L45" i="2" s="1"/>
  <c r="H27" i="2"/>
  <c r="L27" i="2" s="1"/>
  <c r="H46" i="2"/>
  <c r="L46" i="2" s="1"/>
  <c r="H28" i="2"/>
  <c r="L28" i="2" s="1"/>
  <c r="Q28" i="2" s="1"/>
  <c r="R28" i="2" s="1"/>
  <c r="H29" i="2"/>
  <c r="L29" i="2" s="1"/>
  <c r="H30" i="2"/>
  <c r="L30" i="2" s="1"/>
  <c r="H31" i="2"/>
  <c r="L31" i="2" s="1"/>
  <c r="H32" i="2"/>
  <c r="L32" i="2" s="1"/>
  <c r="H33" i="2"/>
  <c r="L33" i="2" s="1"/>
  <c r="H34" i="2"/>
  <c r="L34" i="2" s="1"/>
  <c r="H35" i="2"/>
  <c r="L35" i="2" s="1"/>
  <c r="G2" i="2"/>
  <c r="G3" i="2"/>
  <c r="G4" i="2"/>
  <c r="G5" i="2"/>
  <c r="G6" i="2"/>
  <c r="G7" i="2"/>
  <c r="G8" i="2"/>
  <c r="G9" i="2"/>
  <c r="G10" i="2"/>
  <c r="G36" i="2"/>
  <c r="G11" i="2"/>
  <c r="G12" i="2"/>
  <c r="G13" i="2"/>
  <c r="G14" i="2"/>
  <c r="G15" i="2"/>
  <c r="G37" i="2"/>
  <c r="G16" i="2"/>
  <c r="G38" i="2"/>
  <c r="G17" i="2"/>
  <c r="G39" i="2"/>
  <c r="G18" i="2"/>
  <c r="G40" i="2"/>
  <c r="G41" i="2"/>
  <c r="G19" i="2"/>
  <c r="G20" i="2"/>
  <c r="G21" i="2"/>
  <c r="G22" i="2"/>
  <c r="G23" i="2"/>
  <c r="G42" i="2"/>
  <c r="G24" i="2"/>
  <c r="G25" i="2"/>
  <c r="G26" i="2"/>
  <c r="G43" i="2"/>
  <c r="G44" i="2"/>
  <c r="G45" i="2"/>
  <c r="G27" i="2"/>
  <c r="G46" i="2"/>
  <c r="G28" i="2"/>
  <c r="G29" i="2"/>
  <c r="G30" i="2"/>
  <c r="G31" i="2"/>
  <c r="G32" i="2"/>
  <c r="G33" i="2"/>
  <c r="G34" i="2"/>
  <c r="G35" i="2"/>
  <c r="S12" i="5" l="1"/>
  <c r="T12" i="5" s="1"/>
  <c r="P12" i="5"/>
  <c r="S8" i="5"/>
  <c r="T8" i="5" s="1"/>
  <c r="P8" i="5"/>
  <c r="S4" i="5"/>
  <c r="T4" i="5" s="1"/>
  <c r="P4" i="5"/>
  <c r="S30" i="5"/>
  <c r="T30" i="5" s="1"/>
  <c r="P30" i="5"/>
  <c r="S24" i="5"/>
  <c r="T24" i="5" s="1"/>
  <c r="P24" i="5"/>
  <c r="P28" i="5"/>
  <c r="S28" i="5"/>
  <c r="T28" i="5" s="1"/>
  <c r="P20" i="5"/>
  <c r="S20" i="5"/>
  <c r="T20" i="5" s="1"/>
  <c r="S19" i="5"/>
  <c r="T19" i="5" s="1"/>
  <c r="P19" i="5"/>
  <c r="S16" i="5"/>
  <c r="T16" i="5" s="1"/>
  <c r="P16" i="5"/>
  <c r="S34" i="5"/>
  <c r="T34" i="5" s="1"/>
  <c r="P34" i="5"/>
  <c r="S22" i="5"/>
  <c r="T22" i="5" s="1"/>
  <c r="P22" i="5"/>
  <c r="S13" i="5"/>
  <c r="T13" i="5" s="1"/>
  <c r="P13" i="5"/>
  <c r="S11" i="5"/>
  <c r="T11" i="5" s="1"/>
  <c r="P11" i="5"/>
  <c r="S14" i="5"/>
  <c r="T14" i="5" s="1"/>
  <c r="P14" i="5"/>
  <c r="S31" i="5"/>
  <c r="T31" i="5" s="1"/>
  <c r="P31" i="5"/>
  <c r="P7" i="5"/>
  <c r="S7" i="5"/>
  <c r="T7" i="5" s="1"/>
  <c r="S18" i="5"/>
  <c r="T18" i="5" s="1"/>
  <c r="P18" i="5"/>
  <c r="S27" i="5"/>
  <c r="T27" i="5" s="1"/>
  <c r="P27" i="5"/>
  <c r="S33" i="5"/>
  <c r="T33" i="5" s="1"/>
  <c r="P33" i="5"/>
  <c r="S23" i="5"/>
  <c r="T23" i="5" s="1"/>
  <c r="P23" i="5"/>
  <c r="S10" i="5"/>
  <c r="T10" i="5" s="1"/>
  <c r="P10" i="5"/>
  <c r="S25" i="5"/>
  <c r="T25" i="5" s="1"/>
  <c r="P25" i="5"/>
  <c r="P15" i="5"/>
  <c r="S15" i="5"/>
  <c r="T15" i="5" s="1"/>
  <c r="P32" i="5"/>
  <c r="S32" i="5"/>
  <c r="T32" i="5" s="1"/>
  <c r="P3" i="5"/>
  <c r="S3" i="5"/>
  <c r="T3" i="5" s="1"/>
  <c r="S26" i="5"/>
  <c r="T26" i="5" s="1"/>
  <c r="P26" i="5"/>
  <c r="S29" i="5"/>
  <c r="T29" i="5" s="1"/>
  <c r="P29" i="5"/>
  <c r="S9" i="5"/>
  <c r="T9" i="5" s="1"/>
  <c r="P9" i="5"/>
  <c r="S5" i="5"/>
  <c r="T5" i="5" s="1"/>
  <c r="P5" i="5"/>
  <c r="S35" i="5"/>
  <c r="T35" i="5" s="1"/>
  <c r="P35" i="5"/>
  <c r="N26" i="2"/>
  <c r="N9" i="2"/>
  <c r="N37" i="2"/>
  <c r="N30" i="2"/>
  <c r="N19" i="2"/>
  <c r="Q31" i="2"/>
  <c r="R31" i="2" s="1"/>
  <c r="O29" i="2"/>
  <c r="P29" i="2" s="1"/>
  <c r="M29" i="2"/>
  <c r="M15" i="2"/>
  <c r="O15" i="2"/>
  <c r="P15" i="2" s="1"/>
  <c r="N38" i="2"/>
  <c r="N3" i="2"/>
  <c r="Q43" i="2"/>
  <c r="R43" i="2" s="1"/>
  <c r="O43" i="2"/>
  <c r="P43" i="2" s="1"/>
  <c r="M10" i="2"/>
  <c r="Q10" i="2"/>
  <c r="R10" i="2" s="1"/>
  <c r="N31" i="2"/>
  <c r="N43" i="2"/>
  <c r="N20" i="2"/>
  <c r="N16" i="2"/>
  <c r="N2" i="2"/>
  <c r="N29" i="2"/>
  <c r="N25" i="2"/>
  <c r="N41" i="2"/>
  <c r="N15" i="2"/>
  <c r="N8" i="2"/>
  <c r="M28" i="2"/>
  <c r="O28" i="2"/>
  <c r="P28" i="2" s="1"/>
  <c r="N28" i="2"/>
  <c r="N24" i="2"/>
  <c r="M24" i="2"/>
  <c r="O24" i="2"/>
  <c r="P24" i="2" s="1"/>
  <c r="O40" i="2"/>
  <c r="P40" i="2" s="1"/>
  <c r="M40" i="2"/>
  <c r="N40" i="2"/>
  <c r="M14" i="2"/>
  <c r="N14" i="2"/>
  <c r="O14" i="2"/>
  <c r="P14" i="2" s="1"/>
  <c r="M7" i="2"/>
  <c r="N7" i="2"/>
  <c r="O7" i="2"/>
  <c r="P7" i="2" s="1"/>
  <c r="O35" i="2"/>
  <c r="P35" i="2" s="1"/>
  <c r="M35" i="2"/>
  <c r="N35" i="2"/>
  <c r="Q35" i="2"/>
  <c r="R35" i="2" s="1"/>
  <c r="Q46" i="2"/>
  <c r="R46" i="2" s="1"/>
  <c r="O46" i="2"/>
  <c r="P46" i="2" s="1"/>
  <c r="M46" i="2"/>
  <c r="N46" i="2"/>
  <c r="N42" i="2"/>
  <c r="M42" i="2"/>
  <c r="O42" i="2"/>
  <c r="P42" i="2" s="1"/>
  <c r="M18" i="2"/>
  <c r="N18" i="2"/>
  <c r="O18" i="2"/>
  <c r="P18" i="2" s="1"/>
  <c r="Q18" i="2"/>
  <c r="R18" i="2" s="1"/>
  <c r="M13" i="2"/>
  <c r="N13" i="2"/>
  <c r="O13" i="2"/>
  <c r="P13" i="2" s="1"/>
  <c r="M6" i="2"/>
  <c r="N6" i="2"/>
  <c r="O6" i="2"/>
  <c r="P6" i="2" s="1"/>
  <c r="Q44" i="2"/>
  <c r="R44" i="2" s="1"/>
  <c r="M33" i="2"/>
  <c r="Q33" i="2"/>
  <c r="R33" i="2" s="1"/>
  <c r="O33" i="2"/>
  <c r="P33" i="2" s="1"/>
  <c r="M22" i="2"/>
  <c r="O22" i="2"/>
  <c r="P22" i="2" s="1"/>
  <c r="Q22" i="2"/>
  <c r="R22" i="2" s="1"/>
  <c r="O17" i="2"/>
  <c r="P17" i="2" s="1"/>
  <c r="Q17" i="2"/>
  <c r="R17" i="2" s="1"/>
  <c r="M17" i="2"/>
  <c r="O11" i="2"/>
  <c r="P11" i="2" s="1"/>
  <c r="M11" i="2"/>
  <c r="N11" i="2"/>
  <c r="Q11" i="2"/>
  <c r="R11" i="2" s="1"/>
  <c r="O4" i="2"/>
  <c r="P4" i="2" s="1"/>
  <c r="Q4" i="2"/>
  <c r="R4" i="2" s="1"/>
  <c r="M4" i="2"/>
  <c r="N4" i="2"/>
  <c r="S25" i="2"/>
  <c r="T25" i="2" s="1"/>
  <c r="O34" i="2"/>
  <c r="P34" i="2" s="1"/>
  <c r="M34" i="2"/>
  <c r="O23" i="2"/>
  <c r="P23" i="2" s="1"/>
  <c r="M23" i="2"/>
  <c r="S21" i="2"/>
  <c r="T21" i="2" s="1"/>
  <c r="M27" i="2"/>
  <c r="O27" i="2"/>
  <c r="P27" i="2" s="1"/>
  <c r="M39" i="2"/>
  <c r="O39" i="2"/>
  <c r="P39" i="2" s="1"/>
  <c r="M12" i="2"/>
  <c r="O12" i="2"/>
  <c r="P12" i="2" s="1"/>
  <c r="M5" i="2"/>
  <c r="O5" i="2"/>
  <c r="P5" i="2" s="1"/>
  <c r="Q36" i="2"/>
  <c r="R36" i="2" s="1"/>
  <c r="M45" i="2"/>
  <c r="Q45" i="2"/>
  <c r="R45" i="2" s="1"/>
  <c r="O45" i="2"/>
  <c r="P45" i="2" s="1"/>
  <c r="Q34" i="2"/>
  <c r="R34" i="2" s="1"/>
  <c r="Q27" i="2"/>
  <c r="R27" i="2" s="1"/>
  <c r="Q39" i="2"/>
  <c r="R39" i="2" s="1"/>
  <c r="Q5" i="2"/>
  <c r="R5" i="2" s="1"/>
  <c r="N33" i="2"/>
  <c r="N45" i="2"/>
  <c r="N22" i="2"/>
  <c r="M30" i="2"/>
  <c r="O30" i="2"/>
  <c r="P30" i="2" s="1"/>
  <c r="M26" i="2"/>
  <c r="O26" i="2"/>
  <c r="P26" i="2" s="1"/>
  <c r="M19" i="2"/>
  <c r="O19" i="2"/>
  <c r="P19" i="2" s="1"/>
  <c r="O37" i="2"/>
  <c r="P37" i="2" s="1"/>
  <c r="M37" i="2"/>
  <c r="O9" i="2"/>
  <c r="P9" i="2" s="1"/>
  <c r="M9" i="2"/>
  <c r="Q14" i="2"/>
  <c r="R14" i="2" s="1"/>
  <c r="O44" i="2"/>
  <c r="P44" i="2" s="1"/>
  <c r="M43" i="2"/>
  <c r="Q24" i="2"/>
  <c r="R24" i="2" s="1"/>
  <c r="Q23" i="2"/>
  <c r="R23" i="2" s="1"/>
  <c r="Q21" i="2"/>
  <c r="R21" i="2" s="1"/>
  <c r="Q20" i="2"/>
  <c r="R20" i="2" s="1"/>
  <c r="N17" i="2"/>
  <c r="O10" i="2"/>
  <c r="P10" i="2" s="1"/>
  <c r="N44" i="2"/>
  <c r="O20" i="2"/>
  <c r="P20" i="2" s="1"/>
  <c r="O36" i="2"/>
  <c r="P36" i="2" s="1"/>
  <c r="Q40" i="2"/>
  <c r="R40" i="2" s="1"/>
  <c r="N36" i="2"/>
  <c r="O31" i="2"/>
  <c r="P31" i="2" s="1"/>
  <c r="M25" i="2"/>
  <c r="N21" i="2"/>
  <c r="Q38" i="2"/>
  <c r="R38" i="2" s="1"/>
  <c r="Q16" i="2"/>
  <c r="R16" i="2" s="1"/>
  <c r="M36" i="2"/>
  <c r="O8" i="2"/>
  <c r="P8" i="2" s="1"/>
  <c r="Q3" i="2"/>
  <c r="R3" i="2" s="1"/>
  <c r="Q2" i="2"/>
  <c r="R2" i="2" s="1"/>
  <c r="Q6" i="2"/>
  <c r="R6" i="2" s="1"/>
  <c r="Q32" i="2"/>
  <c r="R32" i="2" s="1"/>
  <c r="M44" i="2"/>
  <c r="O32" i="2"/>
  <c r="P32" i="2" s="1"/>
  <c r="M31" i="2"/>
  <c r="M21" i="2"/>
  <c r="O41" i="2"/>
  <c r="P41" i="2" s="1"/>
  <c r="O16" i="2"/>
  <c r="P16" i="2" s="1"/>
  <c r="O2" i="2"/>
  <c r="P2" i="2" s="1"/>
  <c r="Q12" i="2"/>
  <c r="R12" i="2" s="1"/>
  <c r="M3" i="2"/>
  <c r="N10" i="2"/>
  <c r="N32" i="2"/>
  <c r="O38" i="2"/>
  <c r="P38" i="2" s="1"/>
  <c r="O3" i="2"/>
  <c r="P3" i="2" s="1"/>
  <c r="M38" i="2"/>
  <c r="N34" i="2"/>
  <c r="N27" i="2"/>
  <c r="N23" i="2"/>
  <c r="N39" i="2"/>
  <c r="N12" i="2"/>
  <c r="N5" i="2"/>
  <c r="Q30" i="2"/>
  <c r="R30" i="2" s="1"/>
  <c r="Q26" i="2"/>
  <c r="R26" i="2" s="1"/>
  <c r="Q19" i="2"/>
  <c r="R19" i="2" s="1"/>
  <c r="Q37" i="2"/>
  <c r="R37" i="2" s="1"/>
  <c r="Q9" i="2"/>
  <c r="R9" i="2" s="1"/>
  <c r="Q25" i="2"/>
  <c r="R25" i="2" s="1"/>
  <c r="Q41" i="2"/>
  <c r="R41" i="2" s="1"/>
  <c r="Q15" i="2"/>
  <c r="R15" i="2" s="1"/>
  <c r="Q8" i="2"/>
  <c r="R8" i="2" s="1"/>
  <c r="Q29" i="2"/>
  <c r="R29" i="2" s="1"/>
  <c r="S24" i="2" l="1"/>
  <c r="T24" i="2" s="1"/>
  <c r="S15" i="2"/>
  <c r="T15" i="2" s="1"/>
  <c r="S42" i="2"/>
  <c r="T42" i="2" s="1"/>
  <c r="S6" i="2"/>
  <c r="T6" i="2" s="1"/>
  <c r="S35" i="2"/>
  <c r="T35" i="2" s="1"/>
  <c r="S29" i="2"/>
  <c r="T29" i="2" s="1"/>
  <c r="S18" i="2"/>
  <c r="T18" i="2" s="1"/>
  <c r="S43" i="2"/>
  <c r="T43" i="2" s="1"/>
  <c r="S13" i="2"/>
  <c r="T13" i="2" s="1"/>
  <c r="S26" i="2"/>
  <c r="T26" i="2" s="1"/>
  <c r="S46" i="2"/>
  <c r="T46" i="2" s="1"/>
  <c r="S2" i="2"/>
  <c r="T2" i="2" s="1"/>
  <c r="S10" i="2"/>
  <c r="T10" i="2" s="1"/>
  <c r="S12" i="2"/>
  <c r="T12" i="2" s="1"/>
  <c r="S17" i="2"/>
  <c r="T17" i="2" s="1"/>
  <c r="S16" i="2"/>
  <c r="T16" i="2" s="1"/>
  <c r="S30" i="2"/>
  <c r="T30" i="2" s="1"/>
  <c r="S23" i="2"/>
  <c r="T23" i="2" s="1"/>
  <c r="S4" i="2"/>
  <c r="T4" i="2" s="1"/>
  <c r="S5" i="2"/>
  <c r="T5" i="2" s="1"/>
  <c r="S3" i="2"/>
  <c r="T3" i="2" s="1"/>
  <c r="S41" i="2"/>
  <c r="T41" i="2" s="1"/>
  <c r="S31" i="2"/>
  <c r="T31" i="2" s="1"/>
  <c r="S9" i="2"/>
  <c r="T9" i="2" s="1"/>
  <c r="S45" i="2"/>
  <c r="T45" i="2" s="1"/>
  <c r="S39" i="2"/>
  <c r="T39" i="2" s="1"/>
  <c r="S22" i="2"/>
  <c r="T22" i="2" s="1"/>
  <c r="S14" i="2"/>
  <c r="T14" i="2" s="1"/>
  <c r="S7" i="2"/>
  <c r="T7" i="2" s="1"/>
  <c r="S38" i="2"/>
  <c r="T38" i="2" s="1"/>
  <c r="S34" i="2"/>
  <c r="T34" i="2" s="1"/>
  <c r="S32" i="2"/>
  <c r="T32" i="2" s="1"/>
  <c r="S44" i="2"/>
  <c r="T44" i="2" s="1"/>
  <c r="S8" i="2"/>
  <c r="T8" i="2" s="1"/>
  <c r="S37" i="2"/>
  <c r="T37" i="2" s="1"/>
  <c r="S27" i="2"/>
  <c r="T27" i="2" s="1"/>
  <c r="S33" i="2"/>
  <c r="T33" i="2" s="1"/>
  <c r="S28" i="2"/>
  <c r="T28" i="2" s="1"/>
  <c r="S20" i="2"/>
  <c r="T20" i="2" s="1"/>
  <c r="S40" i="2"/>
  <c r="T40" i="2" s="1"/>
  <c r="S36" i="2"/>
  <c r="T36" i="2" s="1"/>
  <c r="S19" i="2"/>
  <c r="T19" i="2" s="1"/>
  <c r="S11" i="2"/>
  <c r="T11" i="2" s="1"/>
  <c r="AG946" i="1" l="1"/>
  <c r="X946" i="1"/>
  <c r="W946" i="1"/>
  <c r="AC946" i="1" s="1"/>
  <c r="AD946" i="1" s="1"/>
  <c r="O946" i="1"/>
  <c r="P946" i="1" s="1"/>
  <c r="AG945" i="1"/>
  <c r="Z945" i="1"/>
  <c r="X945" i="1"/>
  <c r="W945" i="1"/>
  <c r="AC945" i="1" s="1"/>
  <c r="AD945" i="1" s="1"/>
  <c r="O945" i="1"/>
  <c r="P945" i="1" s="1"/>
  <c r="AG944" i="1"/>
  <c r="X944" i="1"/>
  <c r="AC944" i="1" s="1"/>
  <c r="AD944" i="1" s="1"/>
  <c r="W944" i="1"/>
  <c r="O944" i="1"/>
  <c r="P944" i="1" s="1"/>
  <c r="AG943" i="1"/>
  <c r="Z943" i="1"/>
  <c r="X943" i="1"/>
  <c r="W943" i="1"/>
  <c r="O943" i="1"/>
  <c r="P943" i="1" s="1"/>
  <c r="AG942" i="1"/>
  <c r="X942" i="1"/>
  <c r="AC942" i="1" s="1"/>
  <c r="AD942" i="1" s="1"/>
  <c r="W942" i="1"/>
  <c r="O942" i="1"/>
  <c r="P942" i="1" s="1"/>
  <c r="AG941" i="1"/>
  <c r="AD941" i="1"/>
  <c r="Z941" i="1"/>
  <c r="X941" i="1"/>
  <c r="W941" i="1"/>
  <c r="AC941" i="1" s="1"/>
  <c r="O941" i="1"/>
  <c r="P941" i="1" s="1"/>
  <c r="AG940" i="1"/>
  <c r="X940" i="1"/>
  <c r="AC940" i="1" s="1"/>
  <c r="AD940" i="1" s="1"/>
  <c r="W940" i="1"/>
  <c r="O940" i="1"/>
  <c r="P940" i="1" s="1"/>
  <c r="AG939" i="1"/>
  <c r="X939" i="1"/>
  <c r="W939" i="1"/>
  <c r="Z939" i="1" s="1"/>
  <c r="O939" i="1"/>
  <c r="P939" i="1" s="1"/>
  <c r="AG938" i="1"/>
  <c r="X938" i="1"/>
  <c r="W938" i="1"/>
  <c r="O938" i="1"/>
  <c r="P938" i="1" s="1"/>
  <c r="AG937" i="1"/>
  <c r="Z937" i="1"/>
  <c r="Y937" i="1"/>
  <c r="X937" i="1"/>
  <c r="W937" i="1"/>
  <c r="AC937" i="1" s="1"/>
  <c r="AD937" i="1" s="1"/>
  <c r="O937" i="1"/>
  <c r="P937" i="1" s="1"/>
  <c r="AG936" i="1"/>
  <c r="X936" i="1"/>
  <c r="W936" i="1"/>
  <c r="Z936" i="1" s="1"/>
  <c r="O936" i="1"/>
  <c r="P936" i="1" s="1"/>
  <c r="AG935" i="1"/>
  <c r="Z935" i="1"/>
  <c r="Y935" i="1"/>
  <c r="X935" i="1"/>
  <c r="W935" i="1"/>
  <c r="AC935" i="1" s="1"/>
  <c r="AD935" i="1" s="1"/>
  <c r="U935" i="1"/>
  <c r="U936" i="1" s="1"/>
  <c r="U937" i="1" s="1"/>
  <c r="O935" i="1"/>
  <c r="P935" i="1" s="1"/>
  <c r="AG934" i="1"/>
  <c r="AE934" i="1"/>
  <c r="AF934" i="1" s="1"/>
  <c r="AC934" i="1"/>
  <c r="AD934" i="1" s="1"/>
  <c r="AA934" i="1"/>
  <c r="AB934" i="1" s="1"/>
  <c r="X934" i="1"/>
  <c r="W934" i="1"/>
  <c r="Z934" i="1" s="1"/>
  <c r="O934" i="1"/>
  <c r="P934" i="1" s="1"/>
  <c r="AG933" i="1"/>
  <c r="X933" i="1"/>
  <c r="W933" i="1"/>
  <c r="U933" i="1"/>
  <c r="U934" i="1" s="1"/>
  <c r="O933" i="1"/>
  <c r="P933" i="1" s="1"/>
  <c r="AG932" i="1"/>
  <c r="X932" i="1"/>
  <c r="O932" i="1"/>
  <c r="P932" i="1" s="1"/>
  <c r="N932" i="1"/>
  <c r="M932" i="1"/>
  <c r="L932" i="1"/>
  <c r="W932" i="1" s="1"/>
  <c r="AG931" i="1"/>
  <c r="W931" i="1"/>
  <c r="AA931" i="1" s="1"/>
  <c r="AE931" i="1" s="1"/>
  <c r="AF931" i="1" s="1"/>
  <c r="O931" i="1"/>
  <c r="P931" i="1" s="1"/>
  <c r="N931" i="1"/>
  <c r="M931" i="1"/>
  <c r="L931" i="1"/>
  <c r="X931" i="1" s="1"/>
  <c r="AG930" i="1"/>
  <c r="O930" i="1"/>
  <c r="P930" i="1" s="1"/>
  <c r="N930" i="1"/>
  <c r="M930" i="1"/>
  <c r="L930" i="1"/>
  <c r="W930" i="1" s="1"/>
  <c r="AG929" i="1"/>
  <c r="O929" i="1"/>
  <c r="P929" i="1" s="1"/>
  <c r="N929" i="1"/>
  <c r="M929" i="1"/>
  <c r="L929" i="1"/>
  <c r="AG928" i="1"/>
  <c r="O928" i="1"/>
  <c r="P928" i="1" s="1"/>
  <c r="N928" i="1"/>
  <c r="M928" i="1"/>
  <c r="L928" i="1"/>
  <c r="W928" i="1" s="1"/>
  <c r="Y928" i="1" s="1"/>
  <c r="AG927" i="1"/>
  <c r="O927" i="1"/>
  <c r="P927" i="1" s="1"/>
  <c r="N927" i="1"/>
  <c r="M927" i="1"/>
  <c r="L927" i="1"/>
  <c r="AG926" i="1"/>
  <c r="O926" i="1"/>
  <c r="P926" i="1" s="1"/>
  <c r="N926" i="1"/>
  <c r="M926" i="1"/>
  <c r="L926" i="1"/>
  <c r="X926" i="1" s="1"/>
  <c r="AG925" i="1"/>
  <c r="O925" i="1"/>
  <c r="P925" i="1" s="1"/>
  <c r="N925" i="1"/>
  <c r="M925" i="1"/>
  <c r="L925" i="1"/>
  <c r="AG924" i="1"/>
  <c r="O924" i="1"/>
  <c r="P924" i="1" s="1"/>
  <c r="N924" i="1"/>
  <c r="M924" i="1"/>
  <c r="L924" i="1"/>
  <c r="W924" i="1" s="1"/>
  <c r="Y924" i="1" s="1"/>
  <c r="AG923" i="1"/>
  <c r="X923" i="1"/>
  <c r="O923" i="1"/>
  <c r="P923" i="1" s="1"/>
  <c r="N923" i="1"/>
  <c r="M923" i="1"/>
  <c r="L923" i="1"/>
  <c r="W923" i="1" s="1"/>
  <c r="AG922" i="1"/>
  <c r="O922" i="1"/>
  <c r="P922" i="1" s="1"/>
  <c r="N922" i="1"/>
  <c r="M922" i="1"/>
  <c r="L922" i="1"/>
  <c r="X922" i="1" s="1"/>
  <c r="AG921" i="1"/>
  <c r="O921" i="1"/>
  <c r="P921" i="1" s="1"/>
  <c r="N921" i="1"/>
  <c r="M921" i="1"/>
  <c r="L921" i="1"/>
  <c r="AG920" i="1"/>
  <c r="O920" i="1"/>
  <c r="P920" i="1" s="1"/>
  <c r="N920" i="1"/>
  <c r="M920" i="1"/>
  <c r="L920" i="1"/>
  <c r="W920" i="1" s="1"/>
  <c r="AG919" i="1"/>
  <c r="O919" i="1"/>
  <c r="P919" i="1" s="1"/>
  <c r="N919" i="1"/>
  <c r="M919" i="1"/>
  <c r="L919" i="1"/>
  <c r="X919" i="1" s="1"/>
  <c r="AG918" i="1"/>
  <c r="O918" i="1"/>
  <c r="P918" i="1" s="1"/>
  <c r="N918" i="1"/>
  <c r="M918" i="1"/>
  <c r="L918" i="1"/>
  <c r="AG917" i="1"/>
  <c r="O917" i="1"/>
  <c r="P917" i="1" s="1"/>
  <c r="N917" i="1"/>
  <c r="M917" i="1"/>
  <c r="L917" i="1"/>
  <c r="AG916" i="1"/>
  <c r="Y916" i="1"/>
  <c r="O916" i="1"/>
  <c r="P916" i="1" s="1"/>
  <c r="N916" i="1"/>
  <c r="M916" i="1"/>
  <c r="L916" i="1"/>
  <c r="W916" i="1" s="1"/>
  <c r="AG915" i="1"/>
  <c r="O915" i="1"/>
  <c r="P915" i="1" s="1"/>
  <c r="N915" i="1"/>
  <c r="M915" i="1"/>
  <c r="L915" i="1"/>
  <c r="X915" i="1" s="1"/>
  <c r="AG914" i="1"/>
  <c r="O914" i="1"/>
  <c r="P914" i="1" s="1"/>
  <c r="N914" i="1"/>
  <c r="M914" i="1"/>
  <c r="L914" i="1"/>
  <c r="X914" i="1" s="1"/>
  <c r="AG913" i="1"/>
  <c r="O913" i="1"/>
  <c r="P913" i="1" s="1"/>
  <c r="N913" i="1"/>
  <c r="M913" i="1"/>
  <c r="L913" i="1"/>
  <c r="AG912" i="1"/>
  <c r="O912" i="1"/>
  <c r="P912" i="1" s="1"/>
  <c r="N912" i="1"/>
  <c r="M912" i="1"/>
  <c r="L912" i="1"/>
  <c r="W912" i="1" s="1"/>
  <c r="Y912" i="1" s="1"/>
  <c r="AG911" i="1"/>
  <c r="O911" i="1"/>
  <c r="P911" i="1" s="1"/>
  <c r="N911" i="1"/>
  <c r="M911" i="1"/>
  <c r="L911" i="1"/>
  <c r="X911" i="1" s="1"/>
  <c r="AG910" i="1"/>
  <c r="O910" i="1"/>
  <c r="P910" i="1" s="1"/>
  <c r="N910" i="1"/>
  <c r="M910" i="1"/>
  <c r="L910" i="1"/>
  <c r="X910" i="1" s="1"/>
  <c r="AG909" i="1"/>
  <c r="O909" i="1"/>
  <c r="P909" i="1" s="1"/>
  <c r="N909" i="1"/>
  <c r="M909" i="1"/>
  <c r="L909" i="1"/>
  <c r="AG908" i="1"/>
  <c r="O908" i="1"/>
  <c r="P908" i="1" s="1"/>
  <c r="N908" i="1"/>
  <c r="M908" i="1"/>
  <c r="L908" i="1"/>
  <c r="W908" i="1" s="1"/>
  <c r="Y908" i="1" s="1"/>
  <c r="AG907" i="1"/>
  <c r="O907" i="1"/>
  <c r="P907" i="1" s="1"/>
  <c r="N907" i="1"/>
  <c r="M907" i="1"/>
  <c r="L907" i="1"/>
  <c r="X907" i="1" s="1"/>
  <c r="AG906" i="1"/>
  <c r="O906" i="1"/>
  <c r="N906" i="1"/>
  <c r="M906" i="1"/>
  <c r="Q906" i="1" s="1"/>
  <c r="L906" i="1"/>
  <c r="AG905" i="1"/>
  <c r="Q905" i="1"/>
  <c r="O905" i="1"/>
  <c r="N905" i="1"/>
  <c r="M905" i="1"/>
  <c r="L905" i="1"/>
  <c r="AG904" i="1"/>
  <c r="O904" i="1"/>
  <c r="N904" i="1"/>
  <c r="M904" i="1"/>
  <c r="Q904" i="1" s="1"/>
  <c r="P904" i="1" s="1"/>
  <c r="L904" i="1"/>
  <c r="X904" i="1" s="1"/>
  <c r="AG903" i="1"/>
  <c r="O903" i="1"/>
  <c r="N903" i="1"/>
  <c r="M903" i="1"/>
  <c r="Q903" i="1" s="1"/>
  <c r="P903" i="1" s="1"/>
  <c r="L903" i="1"/>
  <c r="X903" i="1" s="1"/>
  <c r="AG902" i="1"/>
  <c r="O902" i="1"/>
  <c r="N902" i="1"/>
  <c r="M902" i="1"/>
  <c r="Q902" i="1" s="1"/>
  <c r="L902" i="1"/>
  <c r="X902" i="1" s="1"/>
  <c r="AG901" i="1"/>
  <c r="O901" i="1"/>
  <c r="N901" i="1"/>
  <c r="M901" i="1"/>
  <c r="Q901" i="1" s="1"/>
  <c r="P901" i="1" s="1"/>
  <c r="L901" i="1"/>
  <c r="X901" i="1" s="1"/>
  <c r="AG900" i="1"/>
  <c r="O900" i="1"/>
  <c r="N900" i="1"/>
  <c r="M900" i="1"/>
  <c r="Q900" i="1" s="1"/>
  <c r="P900" i="1" s="1"/>
  <c r="L900" i="1"/>
  <c r="X900" i="1" s="1"/>
  <c r="AG899" i="1"/>
  <c r="O899" i="1"/>
  <c r="N899" i="1"/>
  <c r="M899" i="1"/>
  <c r="Q899" i="1" s="1"/>
  <c r="L899" i="1"/>
  <c r="AG898" i="1"/>
  <c r="W898" i="1"/>
  <c r="O898" i="1"/>
  <c r="N898" i="1"/>
  <c r="M898" i="1"/>
  <c r="Q898" i="1" s="1"/>
  <c r="L898" i="1"/>
  <c r="X898" i="1" s="1"/>
  <c r="AG897" i="1"/>
  <c r="O897" i="1"/>
  <c r="N897" i="1"/>
  <c r="M897" i="1"/>
  <c r="Q897" i="1" s="1"/>
  <c r="L897" i="1"/>
  <c r="X897" i="1" s="1"/>
  <c r="AG896" i="1"/>
  <c r="O896" i="1"/>
  <c r="N896" i="1"/>
  <c r="M896" i="1"/>
  <c r="Q896" i="1" s="1"/>
  <c r="L896" i="1"/>
  <c r="X896" i="1" s="1"/>
  <c r="AG895" i="1"/>
  <c r="O895" i="1"/>
  <c r="N895" i="1"/>
  <c r="M895" i="1"/>
  <c r="Q895" i="1" s="1"/>
  <c r="P895" i="1" s="1"/>
  <c r="L895" i="1"/>
  <c r="X895" i="1" s="1"/>
  <c r="AG894" i="1"/>
  <c r="O894" i="1"/>
  <c r="N894" i="1"/>
  <c r="M894" i="1"/>
  <c r="Q894" i="1" s="1"/>
  <c r="L894" i="1"/>
  <c r="AG893" i="1"/>
  <c r="O893" i="1"/>
  <c r="N893" i="1"/>
  <c r="M893" i="1"/>
  <c r="Q893" i="1" s="1"/>
  <c r="L893" i="1"/>
  <c r="X893" i="1" s="1"/>
  <c r="AG892" i="1"/>
  <c r="O892" i="1"/>
  <c r="N892" i="1"/>
  <c r="M892" i="1"/>
  <c r="Q892" i="1" s="1"/>
  <c r="L892" i="1"/>
  <c r="X892" i="1" s="1"/>
  <c r="AG891" i="1"/>
  <c r="O891" i="1"/>
  <c r="N891" i="1"/>
  <c r="M891" i="1"/>
  <c r="Q891" i="1" s="1"/>
  <c r="L891" i="1"/>
  <c r="X891" i="1" s="1"/>
  <c r="AG890" i="1"/>
  <c r="U890" i="1"/>
  <c r="U891" i="1" s="1"/>
  <c r="O890" i="1"/>
  <c r="N890" i="1"/>
  <c r="M890" i="1"/>
  <c r="Q890" i="1" s="1"/>
  <c r="P890" i="1" s="1"/>
  <c r="L890" i="1"/>
  <c r="X890" i="1" s="1"/>
  <c r="AG889" i="1"/>
  <c r="U889" i="1"/>
  <c r="O889" i="1"/>
  <c r="N889" i="1"/>
  <c r="M889" i="1"/>
  <c r="Q889" i="1" s="1"/>
  <c r="L889" i="1"/>
  <c r="X889" i="1" s="1"/>
  <c r="AG888" i="1"/>
  <c r="U888" i="1"/>
  <c r="O888" i="1"/>
  <c r="P888" i="1" s="1"/>
  <c r="N888" i="1"/>
  <c r="M888" i="1"/>
  <c r="L888" i="1"/>
  <c r="X888" i="1" s="1"/>
  <c r="AG887" i="1"/>
  <c r="O887" i="1"/>
  <c r="N887" i="1"/>
  <c r="M887" i="1"/>
  <c r="Q887" i="1" s="1"/>
  <c r="L887" i="1"/>
  <c r="X887" i="1" s="1"/>
  <c r="AG886" i="1"/>
  <c r="O886" i="1"/>
  <c r="N886" i="1"/>
  <c r="M886" i="1"/>
  <c r="Q886" i="1" s="1"/>
  <c r="L886" i="1"/>
  <c r="AG885" i="1"/>
  <c r="Q885" i="1"/>
  <c r="O885" i="1"/>
  <c r="N885" i="1"/>
  <c r="M885" i="1"/>
  <c r="L885" i="1"/>
  <c r="X885" i="1" s="1"/>
  <c r="AG884" i="1"/>
  <c r="Q884" i="1"/>
  <c r="O884" i="1"/>
  <c r="N884" i="1"/>
  <c r="M884" i="1"/>
  <c r="L884" i="1"/>
  <c r="X884" i="1" s="1"/>
  <c r="AG883" i="1"/>
  <c r="Q883" i="1"/>
  <c r="O883" i="1"/>
  <c r="N883" i="1"/>
  <c r="M883" i="1"/>
  <c r="L883" i="1"/>
  <c r="X883" i="1" s="1"/>
  <c r="AG882" i="1"/>
  <c r="X882" i="1"/>
  <c r="W882" i="1"/>
  <c r="O882" i="1"/>
  <c r="N882" i="1"/>
  <c r="M882" i="1"/>
  <c r="Q882" i="1" s="1"/>
  <c r="L882" i="1"/>
  <c r="AG881" i="1"/>
  <c r="O881" i="1"/>
  <c r="N881" i="1"/>
  <c r="M881" i="1"/>
  <c r="Q881" i="1" s="1"/>
  <c r="L881" i="1"/>
  <c r="X881" i="1" s="1"/>
  <c r="AG880" i="1"/>
  <c r="O880" i="1"/>
  <c r="N880" i="1"/>
  <c r="M880" i="1"/>
  <c r="Q880" i="1" s="1"/>
  <c r="L880" i="1"/>
  <c r="AG879" i="1"/>
  <c r="Q879" i="1"/>
  <c r="O879" i="1"/>
  <c r="N879" i="1"/>
  <c r="M879" i="1"/>
  <c r="L879" i="1"/>
  <c r="X879" i="1" s="1"/>
  <c r="AG878" i="1"/>
  <c r="O878" i="1"/>
  <c r="N878" i="1"/>
  <c r="M878" i="1"/>
  <c r="Q878" i="1" s="1"/>
  <c r="L878" i="1"/>
  <c r="X878" i="1" s="1"/>
  <c r="AG877" i="1"/>
  <c r="O877" i="1"/>
  <c r="N877" i="1"/>
  <c r="M877" i="1"/>
  <c r="Q877" i="1" s="1"/>
  <c r="L877" i="1"/>
  <c r="X877" i="1" s="1"/>
  <c r="AG876" i="1"/>
  <c r="O876" i="1"/>
  <c r="N876" i="1"/>
  <c r="M876" i="1"/>
  <c r="Q876" i="1" s="1"/>
  <c r="P876" i="1" s="1"/>
  <c r="L876" i="1"/>
  <c r="X876" i="1" s="1"/>
  <c r="AG875" i="1"/>
  <c r="O875" i="1"/>
  <c r="N875" i="1"/>
  <c r="M875" i="1"/>
  <c r="Q875" i="1" s="1"/>
  <c r="L875" i="1"/>
  <c r="AG874" i="1"/>
  <c r="O874" i="1"/>
  <c r="N874" i="1"/>
  <c r="M874" i="1"/>
  <c r="Q874" i="1" s="1"/>
  <c r="P874" i="1" s="1"/>
  <c r="L874" i="1"/>
  <c r="X874" i="1" s="1"/>
  <c r="AG873" i="1"/>
  <c r="O873" i="1"/>
  <c r="N873" i="1"/>
  <c r="M873" i="1"/>
  <c r="Q873" i="1" s="1"/>
  <c r="L873" i="1"/>
  <c r="X873" i="1" s="1"/>
  <c r="AG872" i="1"/>
  <c r="O872" i="1"/>
  <c r="N872" i="1"/>
  <c r="M872" i="1"/>
  <c r="Q872" i="1" s="1"/>
  <c r="L872" i="1"/>
  <c r="X872" i="1" s="1"/>
  <c r="AG871" i="1"/>
  <c r="O871" i="1"/>
  <c r="N871" i="1"/>
  <c r="M871" i="1"/>
  <c r="Q871" i="1" s="1"/>
  <c r="L871" i="1"/>
  <c r="AG870" i="1"/>
  <c r="O870" i="1"/>
  <c r="N870" i="1"/>
  <c r="M870" i="1"/>
  <c r="Q870" i="1" s="1"/>
  <c r="L870" i="1"/>
  <c r="W870" i="1" s="1"/>
  <c r="AG869" i="1"/>
  <c r="O869" i="1"/>
  <c r="N869" i="1"/>
  <c r="M869" i="1"/>
  <c r="Q869" i="1" s="1"/>
  <c r="L869" i="1"/>
  <c r="X869" i="1" s="1"/>
  <c r="AG868" i="1"/>
  <c r="U868" i="1"/>
  <c r="O868" i="1"/>
  <c r="N868" i="1"/>
  <c r="M868" i="1"/>
  <c r="Q868" i="1" s="1"/>
  <c r="L868" i="1"/>
  <c r="AG867" i="1"/>
  <c r="O867" i="1"/>
  <c r="P867" i="1" s="1"/>
  <c r="N867" i="1"/>
  <c r="M867" i="1"/>
  <c r="L867" i="1"/>
  <c r="X867" i="1" s="1"/>
  <c r="AG866" i="1"/>
  <c r="O866" i="1"/>
  <c r="P866" i="1" s="1"/>
  <c r="N866" i="1"/>
  <c r="M866" i="1"/>
  <c r="L866" i="1"/>
  <c r="X866" i="1" s="1"/>
  <c r="AG865" i="1"/>
  <c r="P865" i="1"/>
  <c r="O865" i="1"/>
  <c r="N865" i="1"/>
  <c r="M865" i="1"/>
  <c r="L865" i="1"/>
  <c r="AG864" i="1"/>
  <c r="O864" i="1"/>
  <c r="P864" i="1" s="1"/>
  <c r="N864" i="1"/>
  <c r="M864" i="1"/>
  <c r="L864" i="1"/>
  <c r="AG863" i="1"/>
  <c r="O863" i="1"/>
  <c r="P863" i="1" s="1"/>
  <c r="N863" i="1"/>
  <c r="M863" i="1"/>
  <c r="L863" i="1"/>
  <c r="X863" i="1" s="1"/>
  <c r="AG862" i="1"/>
  <c r="O862" i="1"/>
  <c r="P862" i="1" s="1"/>
  <c r="N862" i="1"/>
  <c r="M862" i="1"/>
  <c r="L862" i="1"/>
  <c r="X862" i="1" s="1"/>
  <c r="AG861" i="1"/>
  <c r="W861" i="1"/>
  <c r="P861" i="1"/>
  <c r="O861" i="1"/>
  <c r="N861" i="1"/>
  <c r="M861" i="1"/>
  <c r="L861" i="1"/>
  <c r="X861" i="1" s="1"/>
  <c r="AG860" i="1"/>
  <c r="W860" i="1"/>
  <c r="U860" i="1"/>
  <c r="U861" i="1" s="1"/>
  <c r="O860" i="1"/>
  <c r="P860" i="1" s="1"/>
  <c r="N860" i="1"/>
  <c r="M860" i="1"/>
  <c r="L860" i="1"/>
  <c r="X860" i="1" s="1"/>
  <c r="AG859" i="1"/>
  <c r="O859" i="1"/>
  <c r="N859" i="1"/>
  <c r="M859" i="1"/>
  <c r="Q859" i="1" s="1"/>
  <c r="L859" i="1"/>
  <c r="AG858" i="1"/>
  <c r="U858" i="1"/>
  <c r="U859" i="1" s="1"/>
  <c r="O858" i="1"/>
  <c r="P858" i="1" s="1"/>
  <c r="N858" i="1"/>
  <c r="M858" i="1"/>
  <c r="L858" i="1"/>
  <c r="AG857" i="1"/>
  <c r="X857" i="1"/>
  <c r="U857" i="1"/>
  <c r="O857" i="1"/>
  <c r="P857" i="1" s="1"/>
  <c r="N857" i="1"/>
  <c r="M857" i="1"/>
  <c r="L857" i="1"/>
  <c r="W857" i="1" s="1"/>
  <c r="AG856" i="1"/>
  <c r="O856" i="1"/>
  <c r="P856" i="1" s="1"/>
  <c r="N856" i="1"/>
  <c r="M856" i="1"/>
  <c r="L856" i="1"/>
  <c r="X856" i="1" s="1"/>
  <c r="AG855" i="1"/>
  <c r="O855" i="1"/>
  <c r="P855" i="1" s="1"/>
  <c r="N855" i="1"/>
  <c r="M855" i="1"/>
  <c r="L855" i="1"/>
  <c r="X855" i="1" s="1"/>
  <c r="AG854" i="1"/>
  <c r="O854" i="1"/>
  <c r="P854" i="1" s="1"/>
  <c r="N854" i="1"/>
  <c r="M854" i="1"/>
  <c r="L854" i="1"/>
  <c r="X854" i="1" s="1"/>
  <c r="AG853" i="1"/>
  <c r="O853" i="1"/>
  <c r="P853" i="1" s="1"/>
  <c r="N853" i="1"/>
  <c r="M853" i="1"/>
  <c r="L853" i="1"/>
  <c r="AG852" i="1"/>
  <c r="O852" i="1"/>
  <c r="P852" i="1" s="1"/>
  <c r="N852" i="1"/>
  <c r="M852" i="1"/>
  <c r="L852" i="1"/>
  <c r="AG851" i="1"/>
  <c r="O851" i="1"/>
  <c r="P851" i="1" s="1"/>
  <c r="N851" i="1"/>
  <c r="M851" i="1"/>
  <c r="L851" i="1"/>
  <c r="X851" i="1" s="1"/>
  <c r="AG850" i="1"/>
  <c r="O850" i="1"/>
  <c r="P850" i="1" s="1"/>
  <c r="N850" i="1"/>
  <c r="M850" i="1"/>
  <c r="L850" i="1"/>
  <c r="AG849" i="1"/>
  <c r="O849" i="1"/>
  <c r="P849" i="1" s="1"/>
  <c r="N849" i="1"/>
  <c r="M849" i="1"/>
  <c r="L849" i="1"/>
  <c r="AG848" i="1"/>
  <c r="O848" i="1"/>
  <c r="P848" i="1" s="1"/>
  <c r="N848" i="1"/>
  <c r="M848" i="1"/>
  <c r="L848" i="1"/>
  <c r="X848" i="1" s="1"/>
  <c r="AG847" i="1"/>
  <c r="O847" i="1"/>
  <c r="P847" i="1" s="1"/>
  <c r="N847" i="1"/>
  <c r="M847" i="1"/>
  <c r="L847" i="1"/>
  <c r="X847" i="1" s="1"/>
  <c r="AG846" i="1"/>
  <c r="O846" i="1"/>
  <c r="P846" i="1" s="1"/>
  <c r="N846" i="1"/>
  <c r="M846" i="1"/>
  <c r="L846" i="1"/>
  <c r="X846" i="1" s="1"/>
  <c r="AG845" i="1"/>
  <c r="O845" i="1"/>
  <c r="P845" i="1" s="1"/>
  <c r="N845" i="1"/>
  <c r="M845" i="1"/>
  <c r="L845" i="1"/>
  <c r="X845" i="1" s="1"/>
  <c r="AG844" i="1"/>
  <c r="X844" i="1"/>
  <c r="O844" i="1"/>
  <c r="P844" i="1" s="1"/>
  <c r="N844" i="1"/>
  <c r="M844" i="1"/>
  <c r="L844" i="1"/>
  <c r="W844" i="1" s="1"/>
  <c r="AG843" i="1"/>
  <c r="O843" i="1"/>
  <c r="P843" i="1" s="1"/>
  <c r="N843" i="1"/>
  <c r="M843" i="1"/>
  <c r="L843" i="1"/>
  <c r="X843" i="1" s="1"/>
  <c r="AG842" i="1"/>
  <c r="O842" i="1"/>
  <c r="P842" i="1" s="1"/>
  <c r="N842" i="1"/>
  <c r="M842" i="1"/>
  <c r="L842" i="1"/>
  <c r="X842" i="1" s="1"/>
  <c r="AG841" i="1"/>
  <c r="X841" i="1"/>
  <c r="W841" i="1"/>
  <c r="AC841" i="1" s="1"/>
  <c r="AD841" i="1" s="1"/>
  <c r="O841" i="1"/>
  <c r="P841" i="1" s="1"/>
  <c r="N841" i="1"/>
  <c r="M841" i="1"/>
  <c r="L841" i="1"/>
  <c r="AG840" i="1"/>
  <c r="O840" i="1"/>
  <c r="P840" i="1" s="1"/>
  <c r="N840" i="1"/>
  <c r="M840" i="1"/>
  <c r="L840" i="1"/>
  <c r="AG839" i="1"/>
  <c r="O839" i="1"/>
  <c r="P839" i="1" s="1"/>
  <c r="N839" i="1"/>
  <c r="M839" i="1"/>
  <c r="L839" i="1"/>
  <c r="X839" i="1" s="1"/>
  <c r="AG838" i="1"/>
  <c r="P838" i="1"/>
  <c r="O838" i="1"/>
  <c r="N838" i="1"/>
  <c r="M838" i="1"/>
  <c r="L838" i="1"/>
  <c r="X838" i="1" s="1"/>
  <c r="AG837" i="1"/>
  <c r="X837" i="1"/>
  <c r="W837" i="1"/>
  <c r="O837" i="1"/>
  <c r="P837" i="1" s="1"/>
  <c r="N837" i="1"/>
  <c r="M837" i="1"/>
  <c r="L837" i="1"/>
  <c r="AG836" i="1"/>
  <c r="X836" i="1"/>
  <c r="W836" i="1"/>
  <c r="P836" i="1"/>
  <c r="O836" i="1"/>
  <c r="N836" i="1"/>
  <c r="M836" i="1"/>
  <c r="L836" i="1"/>
  <c r="AG835" i="1"/>
  <c r="X835" i="1"/>
  <c r="O835" i="1"/>
  <c r="P835" i="1" s="1"/>
  <c r="N835" i="1"/>
  <c r="M835" i="1"/>
  <c r="L835" i="1"/>
  <c r="AG834" i="1"/>
  <c r="O834" i="1"/>
  <c r="P834" i="1" s="1"/>
  <c r="N834" i="1"/>
  <c r="M834" i="1"/>
  <c r="L834" i="1"/>
  <c r="X834" i="1" s="1"/>
  <c r="AG833" i="1"/>
  <c r="O833" i="1"/>
  <c r="P833" i="1" s="1"/>
  <c r="N833" i="1"/>
  <c r="M833" i="1"/>
  <c r="L833" i="1"/>
  <c r="X833" i="1" s="1"/>
  <c r="AG832" i="1"/>
  <c r="O832" i="1"/>
  <c r="N832" i="1"/>
  <c r="M832" i="1"/>
  <c r="Q832" i="1" s="1"/>
  <c r="L832" i="1"/>
  <c r="X832" i="1" s="1"/>
  <c r="AG831" i="1"/>
  <c r="U831" i="1"/>
  <c r="U832" i="1" s="1"/>
  <c r="U833" i="1" s="1"/>
  <c r="U834" i="1" s="1"/>
  <c r="U835" i="1" s="1"/>
  <c r="U836" i="1" s="1"/>
  <c r="U837" i="1" s="1"/>
  <c r="U838" i="1" s="1"/>
  <c r="O831" i="1"/>
  <c r="P831" i="1" s="1"/>
  <c r="N831" i="1"/>
  <c r="M831" i="1"/>
  <c r="L831" i="1"/>
  <c r="W831" i="1" s="1"/>
  <c r="AG830" i="1"/>
  <c r="O830" i="1"/>
  <c r="P830" i="1" s="1"/>
  <c r="N830" i="1"/>
  <c r="M830" i="1"/>
  <c r="L830" i="1"/>
  <c r="X830" i="1" s="1"/>
  <c r="AG829" i="1"/>
  <c r="O829" i="1"/>
  <c r="P829" i="1" s="1"/>
  <c r="N829" i="1"/>
  <c r="M829" i="1"/>
  <c r="L829" i="1"/>
  <c r="X829" i="1" s="1"/>
  <c r="AG828" i="1"/>
  <c r="P828" i="1"/>
  <c r="O828" i="1"/>
  <c r="N828" i="1"/>
  <c r="M828" i="1"/>
  <c r="L828" i="1"/>
  <c r="X828" i="1" s="1"/>
  <c r="AG827" i="1"/>
  <c r="O827" i="1"/>
  <c r="P827" i="1" s="1"/>
  <c r="N827" i="1"/>
  <c r="M827" i="1"/>
  <c r="L827" i="1"/>
  <c r="AG826" i="1"/>
  <c r="P826" i="1"/>
  <c r="O826" i="1"/>
  <c r="N826" i="1"/>
  <c r="M826" i="1"/>
  <c r="L826" i="1"/>
  <c r="X826" i="1" s="1"/>
  <c r="AG825" i="1"/>
  <c r="O825" i="1"/>
  <c r="P825" i="1" s="1"/>
  <c r="N825" i="1"/>
  <c r="M825" i="1"/>
  <c r="L825" i="1"/>
  <c r="X825" i="1" s="1"/>
  <c r="AG824" i="1"/>
  <c r="O824" i="1"/>
  <c r="P824" i="1" s="1"/>
  <c r="N824" i="1"/>
  <c r="M824" i="1"/>
  <c r="L824" i="1"/>
  <c r="AG823" i="1"/>
  <c r="O823" i="1"/>
  <c r="P823" i="1" s="1"/>
  <c r="N823" i="1"/>
  <c r="M823" i="1"/>
  <c r="L823" i="1"/>
  <c r="X823" i="1" s="1"/>
  <c r="AG822" i="1"/>
  <c r="O822" i="1"/>
  <c r="P822" i="1" s="1"/>
  <c r="N822" i="1"/>
  <c r="M822" i="1"/>
  <c r="L822" i="1"/>
  <c r="X822" i="1" s="1"/>
  <c r="AG821" i="1"/>
  <c r="O821" i="1"/>
  <c r="P821" i="1" s="1"/>
  <c r="N821" i="1"/>
  <c r="M821" i="1"/>
  <c r="L821" i="1"/>
  <c r="X821" i="1" s="1"/>
  <c r="AG820" i="1"/>
  <c r="O820" i="1"/>
  <c r="P820" i="1" s="1"/>
  <c r="N820" i="1"/>
  <c r="M820" i="1"/>
  <c r="L820" i="1"/>
  <c r="X820" i="1" s="1"/>
  <c r="AG819" i="1"/>
  <c r="O819" i="1"/>
  <c r="P819" i="1" s="1"/>
  <c r="N819" i="1"/>
  <c r="M819" i="1"/>
  <c r="L819" i="1"/>
  <c r="AG818" i="1"/>
  <c r="O818" i="1"/>
  <c r="P818" i="1" s="1"/>
  <c r="N818" i="1"/>
  <c r="M818" i="1"/>
  <c r="L818" i="1"/>
  <c r="X818" i="1" s="1"/>
  <c r="AG817" i="1"/>
  <c r="X817" i="1"/>
  <c r="O817" i="1"/>
  <c r="P817" i="1" s="1"/>
  <c r="N817" i="1"/>
  <c r="M817" i="1"/>
  <c r="L817" i="1"/>
  <c r="AG816" i="1"/>
  <c r="P816" i="1"/>
  <c r="O816" i="1"/>
  <c r="N816" i="1"/>
  <c r="M816" i="1"/>
  <c r="L816" i="1"/>
  <c r="AG815" i="1"/>
  <c r="O815" i="1"/>
  <c r="P815" i="1" s="1"/>
  <c r="N815" i="1"/>
  <c r="M815" i="1"/>
  <c r="L815" i="1"/>
  <c r="X815" i="1" s="1"/>
  <c r="AG814" i="1"/>
  <c r="O814" i="1"/>
  <c r="P814" i="1" s="1"/>
  <c r="N814" i="1"/>
  <c r="M814" i="1"/>
  <c r="L814" i="1"/>
  <c r="X814" i="1" s="1"/>
  <c r="AG813" i="1"/>
  <c r="O813" i="1"/>
  <c r="P813" i="1" s="1"/>
  <c r="N813" i="1"/>
  <c r="M813" i="1"/>
  <c r="L813" i="1"/>
  <c r="X813" i="1" s="1"/>
  <c r="AG812" i="1"/>
  <c r="W812" i="1"/>
  <c r="Z812" i="1" s="1"/>
  <c r="P812" i="1"/>
  <c r="O812" i="1"/>
  <c r="N812" i="1"/>
  <c r="M812" i="1"/>
  <c r="L812" i="1"/>
  <c r="X812" i="1" s="1"/>
  <c r="AG811" i="1"/>
  <c r="O811" i="1"/>
  <c r="P811" i="1" s="1"/>
  <c r="N811" i="1"/>
  <c r="M811" i="1"/>
  <c r="L811" i="1"/>
  <c r="AG810" i="1"/>
  <c r="O810" i="1"/>
  <c r="P810" i="1" s="1"/>
  <c r="N810" i="1"/>
  <c r="M810" i="1"/>
  <c r="L810" i="1"/>
  <c r="X810" i="1" s="1"/>
  <c r="AG809" i="1"/>
  <c r="U809" i="1"/>
  <c r="U810" i="1" s="1"/>
  <c r="U811" i="1" s="1"/>
  <c r="U812" i="1" s="1"/>
  <c r="O809" i="1"/>
  <c r="P809" i="1" s="1"/>
  <c r="N809" i="1"/>
  <c r="M809" i="1"/>
  <c r="L809" i="1"/>
  <c r="X809" i="1" s="1"/>
  <c r="AG808" i="1"/>
  <c r="U808" i="1"/>
  <c r="O808" i="1"/>
  <c r="P808" i="1" s="1"/>
  <c r="N808" i="1"/>
  <c r="M808" i="1"/>
  <c r="L808" i="1"/>
  <c r="AG807" i="1"/>
  <c r="U807" i="1"/>
  <c r="O807" i="1"/>
  <c r="P807" i="1" s="1"/>
  <c r="N807" i="1"/>
  <c r="M807" i="1"/>
  <c r="L807" i="1"/>
  <c r="X807" i="1" s="1"/>
  <c r="AG806" i="1"/>
  <c r="U806" i="1"/>
  <c r="O806" i="1"/>
  <c r="P806" i="1" s="1"/>
  <c r="N806" i="1"/>
  <c r="M806" i="1"/>
  <c r="L806" i="1"/>
  <c r="AG805" i="1"/>
  <c r="O805" i="1"/>
  <c r="P805" i="1" s="1"/>
  <c r="N805" i="1"/>
  <c r="M805" i="1"/>
  <c r="L805" i="1"/>
  <c r="AG804" i="1"/>
  <c r="O804" i="1"/>
  <c r="P804" i="1" s="1"/>
  <c r="N804" i="1"/>
  <c r="M804" i="1"/>
  <c r="L804" i="1"/>
  <c r="AG803" i="1"/>
  <c r="O803" i="1"/>
  <c r="P803" i="1" s="1"/>
  <c r="N803" i="1"/>
  <c r="M803" i="1"/>
  <c r="L803" i="1"/>
  <c r="AG802" i="1"/>
  <c r="O802" i="1"/>
  <c r="P802" i="1" s="1"/>
  <c r="N802" i="1"/>
  <c r="M802" i="1"/>
  <c r="L802" i="1"/>
  <c r="AG801" i="1"/>
  <c r="O801" i="1"/>
  <c r="P801" i="1" s="1"/>
  <c r="N801" i="1"/>
  <c r="M801" i="1"/>
  <c r="L801" i="1"/>
  <c r="AG800" i="1"/>
  <c r="O800" i="1"/>
  <c r="P800" i="1" s="1"/>
  <c r="N800" i="1"/>
  <c r="M800" i="1"/>
  <c r="L800" i="1"/>
  <c r="AG799" i="1"/>
  <c r="O799" i="1"/>
  <c r="P799" i="1" s="1"/>
  <c r="N799" i="1"/>
  <c r="M799" i="1"/>
  <c r="L799" i="1"/>
  <c r="AG798" i="1"/>
  <c r="O798" i="1"/>
  <c r="P798" i="1" s="1"/>
  <c r="N798" i="1"/>
  <c r="M798" i="1"/>
  <c r="L798" i="1"/>
  <c r="AG797" i="1"/>
  <c r="O797" i="1"/>
  <c r="P797" i="1" s="1"/>
  <c r="N797" i="1"/>
  <c r="M797" i="1"/>
  <c r="L797" i="1"/>
  <c r="AG796" i="1"/>
  <c r="O796" i="1"/>
  <c r="P796" i="1" s="1"/>
  <c r="N796" i="1"/>
  <c r="M796" i="1"/>
  <c r="L796" i="1"/>
  <c r="AG795" i="1"/>
  <c r="O795" i="1"/>
  <c r="P795" i="1" s="1"/>
  <c r="N795" i="1"/>
  <c r="M795" i="1"/>
  <c r="L795" i="1"/>
  <c r="AG794" i="1"/>
  <c r="W794" i="1"/>
  <c r="U794" i="1"/>
  <c r="U795" i="1" s="1"/>
  <c r="O794" i="1"/>
  <c r="P794" i="1" s="1"/>
  <c r="N794" i="1"/>
  <c r="M794" i="1"/>
  <c r="L794" i="1"/>
  <c r="X794" i="1" s="1"/>
  <c r="AG793" i="1"/>
  <c r="U793" i="1"/>
  <c r="O793" i="1"/>
  <c r="P793" i="1" s="1"/>
  <c r="N793" i="1"/>
  <c r="M793" i="1"/>
  <c r="L793" i="1"/>
  <c r="X793" i="1" s="1"/>
  <c r="AG792" i="1"/>
  <c r="U792" i="1"/>
  <c r="O792" i="1"/>
  <c r="P792" i="1" s="1"/>
  <c r="N792" i="1"/>
  <c r="M792" i="1"/>
  <c r="L792" i="1"/>
  <c r="AG791" i="1"/>
  <c r="O791" i="1"/>
  <c r="P791" i="1" s="1"/>
  <c r="N791" i="1"/>
  <c r="M791" i="1"/>
  <c r="L791" i="1"/>
  <c r="AG790" i="1"/>
  <c r="U790" i="1"/>
  <c r="U791" i="1" s="1"/>
  <c r="O790" i="1"/>
  <c r="P790" i="1" s="1"/>
  <c r="N790" i="1"/>
  <c r="M790" i="1"/>
  <c r="L790" i="1"/>
  <c r="X790" i="1" s="1"/>
  <c r="AG789" i="1"/>
  <c r="W789" i="1"/>
  <c r="O789" i="1"/>
  <c r="P789" i="1" s="1"/>
  <c r="N789" i="1"/>
  <c r="M789" i="1"/>
  <c r="L789" i="1"/>
  <c r="X789" i="1" s="1"/>
  <c r="AG788" i="1"/>
  <c r="O788" i="1"/>
  <c r="P788" i="1" s="1"/>
  <c r="N788" i="1"/>
  <c r="M788" i="1"/>
  <c r="L788" i="1"/>
  <c r="AG787" i="1"/>
  <c r="O787" i="1"/>
  <c r="P787" i="1" s="1"/>
  <c r="N787" i="1"/>
  <c r="M787" i="1"/>
  <c r="L787" i="1"/>
  <c r="AG786" i="1"/>
  <c r="O786" i="1"/>
  <c r="P786" i="1" s="1"/>
  <c r="N786" i="1"/>
  <c r="M786" i="1"/>
  <c r="L786" i="1"/>
  <c r="X786" i="1" s="1"/>
  <c r="AG785" i="1"/>
  <c r="X785" i="1"/>
  <c r="AC785" i="1" s="1"/>
  <c r="AD785" i="1" s="1"/>
  <c r="P785" i="1"/>
  <c r="O785" i="1"/>
  <c r="N785" i="1"/>
  <c r="M785" i="1"/>
  <c r="L785" i="1"/>
  <c r="W785" i="1" s="1"/>
  <c r="AG784" i="1"/>
  <c r="O784" i="1"/>
  <c r="P784" i="1" s="1"/>
  <c r="N784" i="1"/>
  <c r="M784" i="1"/>
  <c r="L784" i="1"/>
  <c r="AG783" i="1"/>
  <c r="O783" i="1"/>
  <c r="P783" i="1" s="1"/>
  <c r="N783" i="1"/>
  <c r="M783" i="1"/>
  <c r="L783" i="1"/>
  <c r="X783" i="1" s="1"/>
  <c r="AG782" i="1"/>
  <c r="O782" i="1"/>
  <c r="P782" i="1" s="1"/>
  <c r="N782" i="1"/>
  <c r="M782" i="1"/>
  <c r="L782" i="1"/>
  <c r="AG781" i="1"/>
  <c r="O781" i="1"/>
  <c r="P781" i="1" s="1"/>
  <c r="N781" i="1"/>
  <c r="M781" i="1"/>
  <c r="L781" i="1"/>
  <c r="X781" i="1" s="1"/>
  <c r="AG780" i="1"/>
  <c r="O780" i="1"/>
  <c r="P780" i="1" s="1"/>
  <c r="N780" i="1"/>
  <c r="M780" i="1"/>
  <c r="L780" i="1"/>
  <c r="X780" i="1" s="1"/>
  <c r="AG779" i="1"/>
  <c r="P779" i="1"/>
  <c r="O779" i="1"/>
  <c r="N779" i="1"/>
  <c r="M779" i="1"/>
  <c r="L779" i="1"/>
  <c r="AG778" i="1"/>
  <c r="U778" i="1"/>
  <c r="U779" i="1" s="1"/>
  <c r="U780" i="1" s="1"/>
  <c r="U781" i="1" s="1"/>
  <c r="U782" i="1" s="1"/>
  <c r="U783" i="1" s="1"/>
  <c r="U784" i="1" s="1"/>
  <c r="U785" i="1" s="1"/>
  <c r="U786" i="1" s="1"/>
  <c r="Q778" i="1"/>
  <c r="O778" i="1"/>
  <c r="N778" i="1"/>
  <c r="M778" i="1"/>
  <c r="L778" i="1"/>
  <c r="X778" i="1" s="1"/>
  <c r="AG777" i="1"/>
  <c r="O777" i="1"/>
  <c r="P777" i="1" s="1"/>
  <c r="N777" i="1"/>
  <c r="M777" i="1"/>
  <c r="L777" i="1"/>
  <c r="X777" i="1" s="1"/>
  <c r="AG776" i="1"/>
  <c r="O776" i="1"/>
  <c r="P776" i="1" s="1"/>
  <c r="N776" i="1"/>
  <c r="M776" i="1"/>
  <c r="L776" i="1"/>
  <c r="AG775" i="1"/>
  <c r="O775" i="1"/>
  <c r="P775" i="1" s="1"/>
  <c r="N775" i="1"/>
  <c r="M775" i="1"/>
  <c r="L775" i="1"/>
  <c r="W775" i="1" s="1"/>
  <c r="AG774" i="1"/>
  <c r="O774" i="1"/>
  <c r="P774" i="1" s="1"/>
  <c r="N774" i="1"/>
  <c r="M774" i="1"/>
  <c r="L774" i="1"/>
  <c r="X774" i="1" s="1"/>
  <c r="AG773" i="1"/>
  <c r="O773" i="1"/>
  <c r="P773" i="1" s="1"/>
  <c r="N773" i="1"/>
  <c r="M773" i="1"/>
  <c r="L773" i="1"/>
  <c r="AG772" i="1"/>
  <c r="O772" i="1"/>
  <c r="P772" i="1" s="1"/>
  <c r="N772" i="1"/>
  <c r="M772" i="1"/>
  <c r="L772" i="1"/>
  <c r="AG771" i="1"/>
  <c r="P771" i="1"/>
  <c r="O771" i="1"/>
  <c r="N771" i="1"/>
  <c r="M771" i="1"/>
  <c r="L771" i="1"/>
  <c r="X771" i="1" s="1"/>
  <c r="AG770" i="1"/>
  <c r="U770" i="1"/>
  <c r="U771" i="1" s="1"/>
  <c r="U772" i="1" s="1"/>
  <c r="U773" i="1" s="1"/>
  <c r="U774" i="1" s="1"/>
  <c r="U775" i="1" s="1"/>
  <c r="U776" i="1" s="1"/>
  <c r="U777" i="1" s="1"/>
  <c r="O770" i="1"/>
  <c r="P770" i="1" s="1"/>
  <c r="N770" i="1"/>
  <c r="M770" i="1"/>
  <c r="L770" i="1"/>
  <c r="X770" i="1" s="1"/>
  <c r="AG769" i="1"/>
  <c r="O769" i="1"/>
  <c r="P769" i="1" s="1"/>
  <c r="N769" i="1"/>
  <c r="M769" i="1"/>
  <c r="L769" i="1"/>
  <c r="AG768" i="1"/>
  <c r="U768" i="1"/>
  <c r="U769" i="1" s="1"/>
  <c r="O768" i="1"/>
  <c r="P768" i="1" s="1"/>
  <c r="N768" i="1"/>
  <c r="M768" i="1"/>
  <c r="L768" i="1"/>
  <c r="X768" i="1" s="1"/>
  <c r="AG767" i="1"/>
  <c r="O767" i="1"/>
  <c r="P767" i="1" s="1"/>
  <c r="N767" i="1"/>
  <c r="M767" i="1"/>
  <c r="L767" i="1"/>
  <c r="X767" i="1" s="1"/>
  <c r="AG766" i="1"/>
  <c r="O766" i="1"/>
  <c r="P766" i="1" s="1"/>
  <c r="N766" i="1"/>
  <c r="M766" i="1"/>
  <c r="L766" i="1"/>
  <c r="AG765" i="1"/>
  <c r="O765" i="1"/>
  <c r="P765" i="1" s="1"/>
  <c r="N765" i="1"/>
  <c r="M765" i="1"/>
  <c r="L765" i="1"/>
  <c r="AG764" i="1"/>
  <c r="O764" i="1"/>
  <c r="P764" i="1" s="1"/>
  <c r="N764" i="1"/>
  <c r="M764" i="1"/>
  <c r="L764" i="1"/>
  <c r="X764" i="1" s="1"/>
  <c r="AG763" i="1"/>
  <c r="W763" i="1"/>
  <c r="O763" i="1"/>
  <c r="P763" i="1" s="1"/>
  <c r="N763" i="1"/>
  <c r="M763" i="1"/>
  <c r="L763" i="1"/>
  <c r="X763" i="1" s="1"/>
  <c r="AG762" i="1"/>
  <c r="P762" i="1"/>
  <c r="O762" i="1"/>
  <c r="N762" i="1"/>
  <c r="M762" i="1"/>
  <c r="L762" i="1"/>
  <c r="X762" i="1" s="1"/>
  <c r="AG761" i="1"/>
  <c r="O761" i="1"/>
  <c r="P761" i="1" s="1"/>
  <c r="N761" i="1"/>
  <c r="M761" i="1"/>
  <c r="L761" i="1"/>
  <c r="X761" i="1" s="1"/>
  <c r="AG760" i="1"/>
  <c r="O760" i="1"/>
  <c r="P760" i="1" s="1"/>
  <c r="N760" i="1"/>
  <c r="M760" i="1"/>
  <c r="L760" i="1"/>
  <c r="X760" i="1" s="1"/>
  <c r="AG759" i="1"/>
  <c r="X759" i="1"/>
  <c r="P759" i="1"/>
  <c r="O759" i="1"/>
  <c r="N759" i="1"/>
  <c r="M759" i="1"/>
  <c r="L759" i="1"/>
  <c r="AG758" i="1"/>
  <c r="O758" i="1"/>
  <c r="P758" i="1" s="1"/>
  <c r="N758" i="1"/>
  <c r="M758" i="1"/>
  <c r="L758" i="1"/>
  <c r="AG757" i="1"/>
  <c r="O757" i="1"/>
  <c r="P757" i="1" s="1"/>
  <c r="N757" i="1"/>
  <c r="M757" i="1"/>
  <c r="L757" i="1"/>
  <c r="X757" i="1" s="1"/>
  <c r="AG756" i="1"/>
  <c r="O756" i="1"/>
  <c r="P756" i="1" s="1"/>
  <c r="N756" i="1"/>
  <c r="M756" i="1"/>
  <c r="L756" i="1"/>
  <c r="X756" i="1" s="1"/>
  <c r="AG755" i="1"/>
  <c r="W755" i="1"/>
  <c r="O755" i="1"/>
  <c r="P755" i="1" s="1"/>
  <c r="N755" i="1"/>
  <c r="M755" i="1"/>
  <c r="L755" i="1"/>
  <c r="X755" i="1" s="1"/>
  <c r="AG754" i="1"/>
  <c r="W754" i="1"/>
  <c r="O754" i="1"/>
  <c r="P754" i="1" s="1"/>
  <c r="N754" i="1"/>
  <c r="M754" i="1"/>
  <c r="L754" i="1"/>
  <c r="X754" i="1" s="1"/>
  <c r="Z754" i="1" s="1"/>
  <c r="AG753" i="1"/>
  <c r="U753" i="1"/>
  <c r="U754" i="1" s="1"/>
  <c r="O753" i="1"/>
  <c r="P753" i="1" s="1"/>
  <c r="N753" i="1"/>
  <c r="M753" i="1"/>
  <c r="L753" i="1"/>
  <c r="AG752" i="1"/>
  <c r="U752" i="1"/>
  <c r="O752" i="1"/>
  <c r="P752" i="1" s="1"/>
  <c r="N752" i="1"/>
  <c r="M752" i="1"/>
  <c r="L752" i="1"/>
  <c r="AG751" i="1"/>
  <c r="O751" i="1"/>
  <c r="P751" i="1" s="1"/>
  <c r="N751" i="1"/>
  <c r="M751" i="1"/>
  <c r="L751" i="1"/>
  <c r="X751" i="1" s="1"/>
  <c r="AG750" i="1"/>
  <c r="W750" i="1"/>
  <c r="Y750" i="1" s="1"/>
  <c r="O750" i="1"/>
  <c r="N750" i="1"/>
  <c r="M750" i="1"/>
  <c r="Q750" i="1" s="1"/>
  <c r="L750" i="1"/>
  <c r="X750" i="1" s="1"/>
  <c r="AG749" i="1"/>
  <c r="U749" i="1"/>
  <c r="U750" i="1" s="1"/>
  <c r="U751" i="1" s="1"/>
  <c r="O749" i="1"/>
  <c r="P749" i="1" s="1"/>
  <c r="N749" i="1"/>
  <c r="M749" i="1"/>
  <c r="L749" i="1"/>
  <c r="X749" i="1" s="1"/>
  <c r="AG748" i="1"/>
  <c r="U748" i="1"/>
  <c r="O748" i="1"/>
  <c r="P748" i="1" s="1"/>
  <c r="N748" i="1"/>
  <c r="M748" i="1"/>
  <c r="L748" i="1"/>
  <c r="X748" i="1" s="1"/>
  <c r="AG747" i="1"/>
  <c r="O747" i="1"/>
  <c r="P747" i="1" s="1"/>
  <c r="N747" i="1"/>
  <c r="M747" i="1"/>
  <c r="L747" i="1"/>
  <c r="X747" i="1" s="1"/>
  <c r="AG746" i="1"/>
  <c r="O746" i="1"/>
  <c r="P746" i="1" s="1"/>
  <c r="N746" i="1"/>
  <c r="M746" i="1"/>
  <c r="L746" i="1"/>
  <c r="X746" i="1" s="1"/>
  <c r="AG745" i="1"/>
  <c r="O745" i="1"/>
  <c r="P745" i="1" s="1"/>
  <c r="N745" i="1"/>
  <c r="M745" i="1"/>
  <c r="L745" i="1"/>
  <c r="AG744" i="1"/>
  <c r="O744" i="1"/>
  <c r="P744" i="1" s="1"/>
  <c r="N744" i="1"/>
  <c r="M744" i="1"/>
  <c r="L744" i="1"/>
  <c r="X744" i="1" s="1"/>
  <c r="AG743" i="1"/>
  <c r="O743" i="1"/>
  <c r="P743" i="1" s="1"/>
  <c r="N743" i="1"/>
  <c r="M743" i="1"/>
  <c r="L743" i="1"/>
  <c r="AG742" i="1"/>
  <c r="X742" i="1"/>
  <c r="W742" i="1"/>
  <c r="O742" i="1"/>
  <c r="P742" i="1" s="1"/>
  <c r="N742" i="1"/>
  <c r="M742" i="1"/>
  <c r="L742" i="1"/>
  <c r="AG741" i="1"/>
  <c r="O741" i="1"/>
  <c r="P741" i="1" s="1"/>
  <c r="N741" i="1"/>
  <c r="M741" i="1"/>
  <c r="L741" i="1"/>
  <c r="X741" i="1" s="1"/>
  <c r="AG740" i="1"/>
  <c r="O740" i="1"/>
  <c r="P740" i="1" s="1"/>
  <c r="N740" i="1"/>
  <c r="M740" i="1"/>
  <c r="L740" i="1"/>
  <c r="X740" i="1" s="1"/>
  <c r="AG739" i="1"/>
  <c r="X739" i="1"/>
  <c r="O739" i="1"/>
  <c r="P739" i="1" s="1"/>
  <c r="N739" i="1"/>
  <c r="M739" i="1"/>
  <c r="L739" i="1"/>
  <c r="W739" i="1" s="1"/>
  <c r="AG738" i="1"/>
  <c r="W738" i="1"/>
  <c r="Z738" i="1" s="1"/>
  <c r="U738" i="1"/>
  <c r="O738" i="1"/>
  <c r="P738" i="1" s="1"/>
  <c r="N738" i="1"/>
  <c r="M738" i="1"/>
  <c r="L738" i="1"/>
  <c r="X738" i="1" s="1"/>
  <c r="AG737" i="1"/>
  <c r="W737" i="1"/>
  <c r="U737" i="1"/>
  <c r="O737" i="1"/>
  <c r="P737" i="1" s="1"/>
  <c r="N737" i="1"/>
  <c r="M737" i="1"/>
  <c r="L737" i="1"/>
  <c r="X737" i="1" s="1"/>
  <c r="AG736" i="1"/>
  <c r="O736" i="1"/>
  <c r="P736" i="1" s="1"/>
  <c r="N736" i="1"/>
  <c r="M736" i="1"/>
  <c r="L736" i="1"/>
  <c r="AG735" i="1"/>
  <c r="O735" i="1"/>
  <c r="N735" i="1"/>
  <c r="M735" i="1"/>
  <c r="Q735" i="1" s="1"/>
  <c r="L735" i="1"/>
  <c r="AG734" i="1"/>
  <c r="Q734" i="1"/>
  <c r="O734" i="1"/>
  <c r="N734" i="1"/>
  <c r="M734" i="1"/>
  <c r="L734" i="1"/>
  <c r="X734" i="1" s="1"/>
  <c r="AG733" i="1"/>
  <c r="W733" i="1"/>
  <c r="O733" i="1"/>
  <c r="N733" i="1"/>
  <c r="M733" i="1"/>
  <c r="Q733" i="1" s="1"/>
  <c r="L733" i="1"/>
  <c r="X733" i="1" s="1"/>
  <c r="AG732" i="1"/>
  <c r="O732" i="1"/>
  <c r="N732" i="1"/>
  <c r="M732" i="1"/>
  <c r="Q732" i="1" s="1"/>
  <c r="L732" i="1"/>
  <c r="AG731" i="1"/>
  <c r="O731" i="1"/>
  <c r="N731" i="1"/>
  <c r="M731" i="1"/>
  <c r="Q731" i="1" s="1"/>
  <c r="L731" i="1"/>
  <c r="X731" i="1" s="1"/>
  <c r="AG730" i="1"/>
  <c r="X730" i="1"/>
  <c r="O730" i="1"/>
  <c r="N730" i="1"/>
  <c r="M730" i="1"/>
  <c r="Q730" i="1" s="1"/>
  <c r="P730" i="1" s="1"/>
  <c r="L730" i="1"/>
  <c r="AG729" i="1"/>
  <c r="O729" i="1"/>
  <c r="N729" i="1"/>
  <c r="M729" i="1"/>
  <c r="Q729" i="1" s="1"/>
  <c r="P729" i="1" s="1"/>
  <c r="L729" i="1"/>
  <c r="X729" i="1" s="1"/>
  <c r="AG728" i="1"/>
  <c r="O728" i="1"/>
  <c r="N728" i="1"/>
  <c r="M728" i="1"/>
  <c r="Q728" i="1" s="1"/>
  <c r="L728" i="1"/>
  <c r="AG727" i="1"/>
  <c r="X727" i="1"/>
  <c r="P727" i="1"/>
  <c r="O727" i="1"/>
  <c r="N727" i="1"/>
  <c r="M727" i="1"/>
  <c r="L727" i="1"/>
  <c r="AG726" i="1"/>
  <c r="O726" i="1"/>
  <c r="P726" i="1" s="1"/>
  <c r="N726" i="1"/>
  <c r="M726" i="1"/>
  <c r="L726" i="1"/>
  <c r="X726" i="1" s="1"/>
  <c r="AG725" i="1"/>
  <c r="O725" i="1"/>
  <c r="P725" i="1" s="1"/>
  <c r="N725" i="1"/>
  <c r="M725" i="1"/>
  <c r="L725" i="1"/>
  <c r="AG724" i="1"/>
  <c r="O724" i="1"/>
  <c r="P724" i="1" s="1"/>
  <c r="N724" i="1"/>
  <c r="M724" i="1"/>
  <c r="L724" i="1"/>
  <c r="X724" i="1" s="1"/>
  <c r="AG723" i="1"/>
  <c r="O723" i="1"/>
  <c r="P723" i="1" s="1"/>
  <c r="N723" i="1"/>
  <c r="M723" i="1"/>
  <c r="L723" i="1"/>
  <c r="AG722" i="1"/>
  <c r="X722" i="1"/>
  <c r="W722" i="1"/>
  <c r="O722" i="1"/>
  <c r="P722" i="1" s="1"/>
  <c r="N722" i="1"/>
  <c r="M722" i="1"/>
  <c r="L722" i="1"/>
  <c r="AG721" i="1"/>
  <c r="U721" i="1"/>
  <c r="U722" i="1" s="1"/>
  <c r="P721" i="1"/>
  <c r="O721" i="1"/>
  <c r="N721" i="1"/>
  <c r="M721" i="1"/>
  <c r="L721" i="1"/>
  <c r="X721" i="1" s="1"/>
  <c r="AG720" i="1"/>
  <c r="O720" i="1"/>
  <c r="P720" i="1" s="1"/>
  <c r="N720" i="1"/>
  <c r="M720" i="1"/>
  <c r="L720" i="1"/>
  <c r="AG719" i="1"/>
  <c r="O719" i="1"/>
  <c r="P719" i="1" s="1"/>
  <c r="N719" i="1"/>
  <c r="M719" i="1"/>
  <c r="L719" i="1"/>
  <c r="X719" i="1" s="1"/>
  <c r="AG718" i="1"/>
  <c r="O718" i="1"/>
  <c r="P718" i="1" s="1"/>
  <c r="N718" i="1"/>
  <c r="M718" i="1"/>
  <c r="L718" i="1"/>
  <c r="AG717" i="1"/>
  <c r="O717" i="1"/>
  <c r="P717" i="1" s="1"/>
  <c r="N717" i="1"/>
  <c r="M717" i="1"/>
  <c r="L717" i="1"/>
  <c r="AG716" i="1"/>
  <c r="O716" i="1"/>
  <c r="P716" i="1" s="1"/>
  <c r="N716" i="1"/>
  <c r="M716" i="1"/>
  <c r="L716" i="1"/>
  <c r="X716" i="1" s="1"/>
  <c r="AG715" i="1"/>
  <c r="O715" i="1"/>
  <c r="P715" i="1" s="1"/>
  <c r="N715" i="1"/>
  <c r="M715" i="1"/>
  <c r="L715" i="1"/>
  <c r="AG714" i="1"/>
  <c r="X714" i="1"/>
  <c r="U714" i="1"/>
  <c r="U715" i="1" s="1"/>
  <c r="U716" i="1" s="1"/>
  <c r="U717" i="1" s="1"/>
  <c r="U718" i="1" s="1"/>
  <c r="U719" i="1" s="1"/>
  <c r="U720" i="1" s="1"/>
  <c r="O714" i="1"/>
  <c r="P714" i="1" s="1"/>
  <c r="N714" i="1"/>
  <c r="M714" i="1"/>
  <c r="L714" i="1"/>
  <c r="W714" i="1" s="1"/>
  <c r="AG713" i="1"/>
  <c r="U713" i="1"/>
  <c r="O713" i="1"/>
  <c r="N713" i="1"/>
  <c r="M713" i="1"/>
  <c r="Q713" i="1" s="1"/>
  <c r="P713" i="1" s="1"/>
  <c r="L713" i="1"/>
  <c r="X713" i="1" s="1"/>
  <c r="AG712" i="1"/>
  <c r="O712" i="1"/>
  <c r="N712" i="1"/>
  <c r="M712" i="1"/>
  <c r="Q712" i="1" s="1"/>
  <c r="P712" i="1" s="1"/>
  <c r="L712" i="1"/>
  <c r="X712" i="1" s="1"/>
  <c r="AG711" i="1"/>
  <c r="O711" i="1"/>
  <c r="N711" i="1"/>
  <c r="M711" i="1"/>
  <c r="Q711" i="1" s="1"/>
  <c r="L711" i="1"/>
  <c r="AG710" i="1"/>
  <c r="U710" i="1"/>
  <c r="U711" i="1" s="1"/>
  <c r="U712" i="1" s="1"/>
  <c r="O710" i="1"/>
  <c r="N710" i="1"/>
  <c r="M710" i="1"/>
  <c r="Q710" i="1" s="1"/>
  <c r="L710" i="1"/>
  <c r="X710" i="1" s="1"/>
  <c r="AG709" i="1"/>
  <c r="W709" i="1"/>
  <c r="Q709" i="1"/>
  <c r="O709" i="1"/>
  <c r="N709" i="1"/>
  <c r="M709" i="1"/>
  <c r="L709" i="1"/>
  <c r="X709" i="1" s="1"/>
  <c r="AG708" i="1"/>
  <c r="O708" i="1"/>
  <c r="N708" i="1"/>
  <c r="M708" i="1"/>
  <c r="Q708" i="1" s="1"/>
  <c r="L708" i="1"/>
  <c r="X708" i="1" s="1"/>
  <c r="AG707" i="1"/>
  <c r="O707" i="1"/>
  <c r="N707" i="1"/>
  <c r="M707" i="1"/>
  <c r="Q707" i="1" s="1"/>
  <c r="P707" i="1" s="1"/>
  <c r="L707" i="1"/>
  <c r="X707" i="1" s="1"/>
  <c r="AG706" i="1"/>
  <c r="Q706" i="1"/>
  <c r="O706" i="1"/>
  <c r="N706" i="1"/>
  <c r="M706" i="1"/>
  <c r="L706" i="1"/>
  <c r="AG705" i="1"/>
  <c r="U705" i="1"/>
  <c r="U706" i="1" s="1"/>
  <c r="U707" i="1" s="1"/>
  <c r="U708" i="1" s="1"/>
  <c r="U709" i="1" s="1"/>
  <c r="O705" i="1"/>
  <c r="N705" i="1"/>
  <c r="M705" i="1"/>
  <c r="Q705" i="1" s="1"/>
  <c r="L705" i="1"/>
  <c r="X705" i="1" s="1"/>
  <c r="AG704" i="1"/>
  <c r="U704" i="1"/>
  <c r="O704" i="1"/>
  <c r="N704" i="1"/>
  <c r="M704" i="1"/>
  <c r="Q704" i="1" s="1"/>
  <c r="P704" i="1" s="1"/>
  <c r="L704" i="1"/>
  <c r="AG703" i="1"/>
  <c r="O703" i="1"/>
  <c r="P703" i="1" s="1"/>
  <c r="N703" i="1"/>
  <c r="M703" i="1"/>
  <c r="L703" i="1"/>
  <c r="W703" i="1" s="1"/>
  <c r="AG702" i="1"/>
  <c r="O702" i="1"/>
  <c r="P702" i="1" s="1"/>
  <c r="N702" i="1"/>
  <c r="M702" i="1"/>
  <c r="L702" i="1"/>
  <c r="X702" i="1" s="1"/>
  <c r="AG701" i="1"/>
  <c r="U701" i="1"/>
  <c r="U702" i="1" s="1"/>
  <c r="U703" i="1" s="1"/>
  <c r="O701" i="1"/>
  <c r="P701" i="1" s="1"/>
  <c r="N701" i="1"/>
  <c r="M701" i="1"/>
  <c r="L701" i="1"/>
  <c r="X701" i="1" s="1"/>
  <c r="AG700" i="1"/>
  <c r="U700" i="1"/>
  <c r="O700" i="1"/>
  <c r="P700" i="1" s="1"/>
  <c r="N700" i="1"/>
  <c r="M700" i="1"/>
  <c r="L700" i="1"/>
  <c r="X700" i="1" s="1"/>
  <c r="AG699" i="1"/>
  <c r="O699" i="1"/>
  <c r="P699" i="1" s="1"/>
  <c r="N699" i="1"/>
  <c r="M699" i="1"/>
  <c r="L699" i="1"/>
  <c r="X699" i="1" s="1"/>
  <c r="AG698" i="1"/>
  <c r="O698" i="1"/>
  <c r="P698" i="1" s="1"/>
  <c r="N698" i="1"/>
  <c r="M698" i="1"/>
  <c r="L698" i="1"/>
  <c r="X698" i="1" s="1"/>
  <c r="AG697" i="1"/>
  <c r="U697" i="1"/>
  <c r="U698" i="1" s="1"/>
  <c r="O697" i="1"/>
  <c r="P697" i="1" s="1"/>
  <c r="N697" i="1"/>
  <c r="M697" i="1"/>
  <c r="L697" i="1"/>
  <c r="X697" i="1" s="1"/>
  <c r="AG696" i="1"/>
  <c r="O696" i="1"/>
  <c r="P696" i="1" s="1"/>
  <c r="N696" i="1"/>
  <c r="M696" i="1"/>
  <c r="L696" i="1"/>
  <c r="X696" i="1" s="1"/>
  <c r="AG695" i="1"/>
  <c r="W695" i="1"/>
  <c r="U695" i="1"/>
  <c r="U696" i="1" s="1"/>
  <c r="O695" i="1"/>
  <c r="P695" i="1" s="1"/>
  <c r="N695" i="1"/>
  <c r="M695" i="1"/>
  <c r="L695" i="1"/>
  <c r="X695" i="1" s="1"/>
  <c r="AG694" i="1"/>
  <c r="O694" i="1"/>
  <c r="P694" i="1" s="1"/>
  <c r="N694" i="1"/>
  <c r="M694" i="1"/>
  <c r="L694" i="1"/>
  <c r="AG693" i="1"/>
  <c r="O693" i="1"/>
  <c r="P693" i="1" s="1"/>
  <c r="N693" i="1"/>
  <c r="M693" i="1"/>
  <c r="L693" i="1"/>
  <c r="X693" i="1" s="1"/>
  <c r="AG692" i="1"/>
  <c r="P692" i="1"/>
  <c r="O692" i="1"/>
  <c r="N692" i="1"/>
  <c r="M692" i="1"/>
  <c r="L692" i="1"/>
  <c r="AG691" i="1"/>
  <c r="U691" i="1"/>
  <c r="U692" i="1" s="1"/>
  <c r="U693" i="1" s="1"/>
  <c r="U694" i="1" s="1"/>
  <c r="O691" i="1"/>
  <c r="P691" i="1" s="1"/>
  <c r="N691" i="1"/>
  <c r="M691" i="1"/>
  <c r="L691" i="1"/>
  <c r="X691" i="1" s="1"/>
  <c r="AG690" i="1"/>
  <c r="O690" i="1"/>
  <c r="N690" i="1"/>
  <c r="M690" i="1"/>
  <c r="Q690" i="1" s="1"/>
  <c r="L690" i="1"/>
  <c r="X690" i="1" s="1"/>
  <c r="AG689" i="1"/>
  <c r="O689" i="1"/>
  <c r="N689" i="1"/>
  <c r="M689" i="1"/>
  <c r="Q689" i="1" s="1"/>
  <c r="L689" i="1"/>
  <c r="X689" i="1" s="1"/>
  <c r="AG688" i="1"/>
  <c r="O688" i="1"/>
  <c r="N688" i="1"/>
  <c r="M688" i="1"/>
  <c r="Q688" i="1" s="1"/>
  <c r="L688" i="1"/>
  <c r="W688" i="1" s="1"/>
  <c r="AG687" i="1"/>
  <c r="W687" i="1"/>
  <c r="O687" i="1"/>
  <c r="N687" i="1"/>
  <c r="M687" i="1"/>
  <c r="Q687" i="1" s="1"/>
  <c r="L687" i="1"/>
  <c r="X687" i="1" s="1"/>
  <c r="AG686" i="1"/>
  <c r="O686" i="1"/>
  <c r="N686" i="1"/>
  <c r="M686" i="1"/>
  <c r="Q686" i="1" s="1"/>
  <c r="L686" i="1"/>
  <c r="AG685" i="1"/>
  <c r="O685" i="1"/>
  <c r="N685" i="1"/>
  <c r="M685" i="1"/>
  <c r="Q685" i="1" s="1"/>
  <c r="P685" i="1" s="1"/>
  <c r="L685" i="1"/>
  <c r="X685" i="1" s="1"/>
  <c r="AG684" i="1"/>
  <c r="O684" i="1"/>
  <c r="N684" i="1"/>
  <c r="M684" i="1"/>
  <c r="Q684" i="1" s="1"/>
  <c r="L684" i="1"/>
  <c r="W684" i="1" s="1"/>
  <c r="AG683" i="1"/>
  <c r="W683" i="1"/>
  <c r="AC683" i="1" s="1"/>
  <c r="AD683" i="1" s="1"/>
  <c r="O683" i="1"/>
  <c r="N683" i="1"/>
  <c r="M683" i="1"/>
  <c r="Q683" i="1" s="1"/>
  <c r="P683" i="1" s="1"/>
  <c r="L683" i="1"/>
  <c r="X683" i="1" s="1"/>
  <c r="AG682" i="1"/>
  <c r="O682" i="1"/>
  <c r="N682" i="1"/>
  <c r="M682" i="1"/>
  <c r="Q682" i="1" s="1"/>
  <c r="P682" i="1" s="1"/>
  <c r="L682" i="1"/>
  <c r="AG681" i="1"/>
  <c r="Q681" i="1"/>
  <c r="P681" i="1" s="1"/>
  <c r="O681" i="1"/>
  <c r="N681" i="1"/>
  <c r="M681" i="1"/>
  <c r="L681" i="1"/>
  <c r="X681" i="1" s="1"/>
  <c r="AG680" i="1"/>
  <c r="W680" i="1"/>
  <c r="O680" i="1"/>
  <c r="N680" i="1"/>
  <c r="M680" i="1"/>
  <c r="Q680" i="1" s="1"/>
  <c r="L680" i="1"/>
  <c r="X680" i="1" s="1"/>
  <c r="AG679" i="1"/>
  <c r="Z679" i="1"/>
  <c r="W679" i="1"/>
  <c r="AC679" i="1" s="1"/>
  <c r="AD679" i="1" s="1"/>
  <c r="O679" i="1"/>
  <c r="N679" i="1"/>
  <c r="M679" i="1"/>
  <c r="Q679" i="1" s="1"/>
  <c r="L679" i="1"/>
  <c r="X679" i="1" s="1"/>
  <c r="AG678" i="1"/>
  <c r="O678" i="1"/>
  <c r="N678" i="1"/>
  <c r="M678" i="1"/>
  <c r="Q678" i="1" s="1"/>
  <c r="P678" i="1" s="1"/>
  <c r="L678" i="1"/>
  <c r="X678" i="1" s="1"/>
  <c r="AG677" i="1"/>
  <c r="O677" i="1"/>
  <c r="N677" i="1"/>
  <c r="M677" i="1"/>
  <c r="Q677" i="1" s="1"/>
  <c r="L677" i="1"/>
  <c r="AG676" i="1"/>
  <c r="O676" i="1"/>
  <c r="N676" i="1"/>
  <c r="M676" i="1"/>
  <c r="Q676" i="1" s="1"/>
  <c r="P676" i="1" s="1"/>
  <c r="L676" i="1"/>
  <c r="X676" i="1" s="1"/>
  <c r="AG675" i="1"/>
  <c r="Q675" i="1"/>
  <c r="O675" i="1"/>
  <c r="N675" i="1"/>
  <c r="M675" i="1"/>
  <c r="L675" i="1"/>
  <c r="AG674" i="1"/>
  <c r="O674" i="1"/>
  <c r="N674" i="1"/>
  <c r="M674" i="1"/>
  <c r="Q674" i="1" s="1"/>
  <c r="P674" i="1" s="1"/>
  <c r="L674" i="1"/>
  <c r="X674" i="1" s="1"/>
  <c r="AG673" i="1"/>
  <c r="O673" i="1"/>
  <c r="N673" i="1"/>
  <c r="M673" i="1"/>
  <c r="Q673" i="1" s="1"/>
  <c r="L673" i="1"/>
  <c r="AG672" i="1"/>
  <c r="O672" i="1"/>
  <c r="N672" i="1"/>
  <c r="M672" i="1"/>
  <c r="Q672" i="1" s="1"/>
  <c r="L672" i="1"/>
  <c r="X672" i="1" s="1"/>
  <c r="AG671" i="1"/>
  <c r="W671" i="1"/>
  <c r="AC671" i="1" s="1"/>
  <c r="AD671" i="1" s="1"/>
  <c r="O671" i="1"/>
  <c r="N671" i="1"/>
  <c r="M671" i="1"/>
  <c r="Q671" i="1" s="1"/>
  <c r="L671" i="1"/>
  <c r="X671" i="1" s="1"/>
  <c r="AG670" i="1"/>
  <c r="O670" i="1"/>
  <c r="N670" i="1"/>
  <c r="M670" i="1"/>
  <c r="Q670" i="1" s="1"/>
  <c r="P670" i="1" s="1"/>
  <c r="L670" i="1"/>
  <c r="X670" i="1" s="1"/>
  <c r="AG669" i="1"/>
  <c r="O669" i="1"/>
  <c r="N669" i="1"/>
  <c r="M669" i="1"/>
  <c r="Q669" i="1" s="1"/>
  <c r="P669" i="1" s="1"/>
  <c r="L669" i="1"/>
  <c r="X669" i="1" s="1"/>
  <c r="AG668" i="1"/>
  <c r="X668" i="1"/>
  <c r="O668" i="1"/>
  <c r="N668" i="1"/>
  <c r="M668" i="1"/>
  <c r="Q668" i="1" s="1"/>
  <c r="L668" i="1"/>
  <c r="AG667" i="1"/>
  <c r="W667" i="1"/>
  <c r="O667" i="1"/>
  <c r="N667" i="1"/>
  <c r="M667" i="1"/>
  <c r="Q667" i="1" s="1"/>
  <c r="P667" i="1" s="1"/>
  <c r="L667" i="1"/>
  <c r="X667" i="1" s="1"/>
  <c r="AG666" i="1"/>
  <c r="O666" i="1"/>
  <c r="N666" i="1"/>
  <c r="M666" i="1"/>
  <c r="Q666" i="1" s="1"/>
  <c r="P666" i="1" s="1"/>
  <c r="L666" i="1"/>
  <c r="X666" i="1" s="1"/>
  <c r="AG665" i="1"/>
  <c r="O665" i="1"/>
  <c r="N665" i="1"/>
  <c r="M665" i="1"/>
  <c r="Q665" i="1" s="1"/>
  <c r="L665" i="1"/>
  <c r="AG664" i="1"/>
  <c r="O664" i="1"/>
  <c r="N664" i="1"/>
  <c r="M664" i="1"/>
  <c r="Q664" i="1" s="1"/>
  <c r="L664" i="1"/>
  <c r="AG663" i="1"/>
  <c r="O663" i="1"/>
  <c r="N663" i="1"/>
  <c r="M663" i="1"/>
  <c r="Q663" i="1" s="1"/>
  <c r="P663" i="1" s="1"/>
  <c r="L663" i="1"/>
  <c r="X663" i="1" s="1"/>
  <c r="AG662" i="1"/>
  <c r="O662" i="1"/>
  <c r="N662" i="1"/>
  <c r="M662" i="1"/>
  <c r="Q662" i="1" s="1"/>
  <c r="L662" i="1"/>
  <c r="W662" i="1" s="1"/>
  <c r="AG661" i="1"/>
  <c r="X661" i="1"/>
  <c r="W661" i="1"/>
  <c r="O661" i="1"/>
  <c r="N661" i="1"/>
  <c r="M661" i="1"/>
  <c r="Q661" i="1" s="1"/>
  <c r="P661" i="1" s="1"/>
  <c r="L661" i="1"/>
  <c r="AG660" i="1"/>
  <c r="W660" i="1"/>
  <c r="O660" i="1"/>
  <c r="N660" i="1"/>
  <c r="M660" i="1"/>
  <c r="Q660" i="1" s="1"/>
  <c r="P660" i="1" s="1"/>
  <c r="L660" i="1"/>
  <c r="X660" i="1" s="1"/>
  <c r="AG659" i="1"/>
  <c r="O659" i="1"/>
  <c r="N659" i="1"/>
  <c r="M659" i="1"/>
  <c r="Q659" i="1" s="1"/>
  <c r="L659" i="1"/>
  <c r="X659" i="1" s="1"/>
  <c r="AG658" i="1"/>
  <c r="O658" i="1"/>
  <c r="N658" i="1"/>
  <c r="M658" i="1"/>
  <c r="Q658" i="1" s="1"/>
  <c r="L658" i="1"/>
  <c r="X658" i="1" s="1"/>
  <c r="AG657" i="1"/>
  <c r="O657" i="1"/>
  <c r="N657" i="1"/>
  <c r="M657" i="1"/>
  <c r="Q657" i="1" s="1"/>
  <c r="P657" i="1" s="1"/>
  <c r="L657" i="1"/>
  <c r="X657" i="1" s="1"/>
  <c r="AG656" i="1"/>
  <c r="O656" i="1"/>
  <c r="N656" i="1"/>
  <c r="M656" i="1"/>
  <c r="Q656" i="1" s="1"/>
  <c r="L656" i="1"/>
  <c r="X656" i="1" s="1"/>
  <c r="AG655" i="1"/>
  <c r="O655" i="1"/>
  <c r="N655" i="1"/>
  <c r="M655" i="1"/>
  <c r="Q655" i="1" s="1"/>
  <c r="L655" i="1"/>
  <c r="AG654" i="1"/>
  <c r="O654" i="1"/>
  <c r="N654" i="1"/>
  <c r="M654" i="1"/>
  <c r="Q654" i="1" s="1"/>
  <c r="P654" i="1" s="1"/>
  <c r="L654" i="1"/>
  <c r="X654" i="1" s="1"/>
  <c r="AG653" i="1"/>
  <c r="O653" i="1"/>
  <c r="N653" i="1"/>
  <c r="M653" i="1"/>
  <c r="Q653" i="1" s="1"/>
  <c r="L653" i="1"/>
  <c r="X653" i="1" s="1"/>
  <c r="AG652" i="1"/>
  <c r="Q652" i="1"/>
  <c r="O652" i="1"/>
  <c r="N652" i="1"/>
  <c r="M652" i="1"/>
  <c r="L652" i="1"/>
  <c r="X652" i="1" s="1"/>
  <c r="AG651" i="1"/>
  <c r="Q651" i="1"/>
  <c r="O651" i="1"/>
  <c r="N651" i="1"/>
  <c r="M651" i="1"/>
  <c r="L651" i="1"/>
  <c r="AG650" i="1"/>
  <c r="O650" i="1"/>
  <c r="N650" i="1"/>
  <c r="M650" i="1"/>
  <c r="Q650" i="1" s="1"/>
  <c r="P650" i="1" s="1"/>
  <c r="L650" i="1"/>
  <c r="X650" i="1" s="1"/>
  <c r="AG649" i="1"/>
  <c r="O649" i="1"/>
  <c r="N649" i="1"/>
  <c r="M649" i="1"/>
  <c r="Q649" i="1" s="1"/>
  <c r="P649" i="1" s="1"/>
  <c r="L649" i="1"/>
  <c r="W649" i="1" s="1"/>
  <c r="AG648" i="1"/>
  <c r="O648" i="1"/>
  <c r="N648" i="1"/>
  <c r="M648" i="1"/>
  <c r="Q648" i="1" s="1"/>
  <c r="L648" i="1"/>
  <c r="W648" i="1" s="1"/>
  <c r="AG647" i="1"/>
  <c r="O647" i="1"/>
  <c r="N647" i="1"/>
  <c r="M647" i="1"/>
  <c r="Q647" i="1" s="1"/>
  <c r="P647" i="1" s="1"/>
  <c r="L647" i="1"/>
  <c r="AG646" i="1"/>
  <c r="O646" i="1"/>
  <c r="N646" i="1"/>
  <c r="M646" i="1"/>
  <c r="Q646" i="1" s="1"/>
  <c r="P646" i="1" s="1"/>
  <c r="L646" i="1"/>
  <c r="X646" i="1" s="1"/>
  <c r="AG645" i="1"/>
  <c r="O645" i="1"/>
  <c r="N645" i="1"/>
  <c r="M645" i="1"/>
  <c r="Q645" i="1" s="1"/>
  <c r="L645" i="1"/>
  <c r="AG644" i="1"/>
  <c r="X644" i="1"/>
  <c r="W644" i="1"/>
  <c r="O644" i="1"/>
  <c r="N644" i="1"/>
  <c r="M644" i="1"/>
  <c r="Q644" i="1" s="1"/>
  <c r="L644" i="1"/>
  <c r="AG643" i="1"/>
  <c r="W643" i="1"/>
  <c r="O643" i="1"/>
  <c r="N643" i="1"/>
  <c r="M643" i="1"/>
  <c r="Q643" i="1" s="1"/>
  <c r="P643" i="1" s="1"/>
  <c r="L643" i="1"/>
  <c r="X643" i="1" s="1"/>
  <c r="AG642" i="1"/>
  <c r="O642" i="1"/>
  <c r="N642" i="1"/>
  <c r="M642" i="1"/>
  <c r="Q642" i="1" s="1"/>
  <c r="L642" i="1"/>
  <c r="AG641" i="1"/>
  <c r="O641" i="1"/>
  <c r="N641" i="1"/>
  <c r="M641" i="1"/>
  <c r="Q641" i="1" s="1"/>
  <c r="L641" i="1"/>
  <c r="W641" i="1" s="1"/>
  <c r="AG640" i="1"/>
  <c r="X640" i="1"/>
  <c r="W640" i="1"/>
  <c r="O640" i="1"/>
  <c r="N640" i="1"/>
  <c r="M640" i="1"/>
  <c r="Q640" i="1" s="1"/>
  <c r="L640" i="1"/>
  <c r="AG639" i="1"/>
  <c r="W639" i="1"/>
  <c r="O639" i="1"/>
  <c r="N639" i="1"/>
  <c r="M639" i="1"/>
  <c r="Q639" i="1" s="1"/>
  <c r="L639" i="1"/>
  <c r="X639" i="1" s="1"/>
  <c r="AG638" i="1"/>
  <c r="O638" i="1"/>
  <c r="N638" i="1"/>
  <c r="M638" i="1"/>
  <c r="Q638" i="1" s="1"/>
  <c r="L638" i="1"/>
  <c r="AG637" i="1"/>
  <c r="O637" i="1"/>
  <c r="N637" i="1"/>
  <c r="M637" i="1"/>
  <c r="Q637" i="1" s="1"/>
  <c r="L637" i="1"/>
  <c r="AG636" i="1"/>
  <c r="O636" i="1"/>
  <c r="N636" i="1"/>
  <c r="M636" i="1"/>
  <c r="Q636" i="1" s="1"/>
  <c r="L636" i="1"/>
  <c r="AG635" i="1"/>
  <c r="O635" i="1"/>
  <c r="N635" i="1"/>
  <c r="M635" i="1"/>
  <c r="Q635" i="1" s="1"/>
  <c r="L635" i="1"/>
  <c r="AG634" i="1"/>
  <c r="O634" i="1"/>
  <c r="N634" i="1"/>
  <c r="M634" i="1"/>
  <c r="Q634" i="1" s="1"/>
  <c r="L634" i="1"/>
  <c r="AG633" i="1"/>
  <c r="O633" i="1"/>
  <c r="N633" i="1"/>
  <c r="M633" i="1"/>
  <c r="Q633" i="1" s="1"/>
  <c r="L633" i="1"/>
  <c r="AG632" i="1"/>
  <c r="O632" i="1"/>
  <c r="N632" i="1"/>
  <c r="M632" i="1"/>
  <c r="Q632" i="1" s="1"/>
  <c r="L632" i="1"/>
  <c r="AG631" i="1"/>
  <c r="U631" i="1"/>
  <c r="U632" i="1" s="1"/>
  <c r="U633" i="1" s="1"/>
  <c r="U634" i="1" s="1"/>
  <c r="U635" i="1" s="1"/>
  <c r="U636" i="1" s="1"/>
  <c r="U637" i="1" s="1"/>
  <c r="U638" i="1" s="1"/>
  <c r="U639" i="1" s="1"/>
  <c r="U640" i="1" s="1"/>
  <c r="U641" i="1" s="1"/>
  <c r="U642" i="1" s="1"/>
  <c r="U643" i="1" s="1"/>
  <c r="U644" i="1" s="1"/>
  <c r="U645" i="1" s="1"/>
  <c r="U646" i="1" s="1"/>
  <c r="U647" i="1" s="1"/>
  <c r="O631" i="1"/>
  <c r="P631" i="1" s="1"/>
  <c r="N631" i="1"/>
  <c r="M631" i="1"/>
  <c r="L631" i="1"/>
  <c r="AG630" i="1"/>
  <c r="P630" i="1"/>
  <c r="O630" i="1"/>
  <c r="N630" i="1"/>
  <c r="M630" i="1"/>
  <c r="L630" i="1"/>
  <c r="W630" i="1" s="1"/>
  <c r="AG629" i="1"/>
  <c r="O629" i="1"/>
  <c r="P629" i="1" s="1"/>
  <c r="N629" i="1"/>
  <c r="M629" i="1"/>
  <c r="L629" i="1"/>
  <c r="W629" i="1" s="1"/>
  <c r="AG628" i="1"/>
  <c r="X628" i="1"/>
  <c r="O628" i="1"/>
  <c r="P628" i="1" s="1"/>
  <c r="N628" i="1"/>
  <c r="M628" i="1"/>
  <c r="L628" i="1"/>
  <c r="W628" i="1" s="1"/>
  <c r="Y628" i="1" s="1"/>
  <c r="AG627" i="1"/>
  <c r="X627" i="1"/>
  <c r="U627" i="1"/>
  <c r="U628" i="1" s="1"/>
  <c r="U629" i="1" s="1"/>
  <c r="U630" i="1" s="1"/>
  <c r="O627" i="1"/>
  <c r="P627" i="1" s="1"/>
  <c r="N627" i="1"/>
  <c r="M627" i="1"/>
  <c r="L627" i="1"/>
  <c r="AG626" i="1"/>
  <c r="O626" i="1"/>
  <c r="P626" i="1" s="1"/>
  <c r="N626" i="1"/>
  <c r="M626" i="1"/>
  <c r="L626" i="1"/>
  <c r="X626" i="1" s="1"/>
  <c r="AG625" i="1"/>
  <c r="O625" i="1"/>
  <c r="P625" i="1" s="1"/>
  <c r="N625" i="1"/>
  <c r="M625" i="1"/>
  <c r="L625" i="1"/>
  <c r="AG624" i="1"/>
  <c r="O624" i="1"/>
  <c r="P624" i="1" s="1"/>
  <c r="N624" i="1"/>
  <c r="M624" i="1"/>
  <c r="L624" i="1"/>
  <c r="AG623" i="1"/>
  <c r="O623" i="1"/>
  <c r="P623" i="1" s="1"/>
  <c r="N623" i="1"/>
  <c r="M623" i="1"/>
  <c r="L623" i="1"/>
  <c r="X623" i="1" s="1"/>
  <c r="AG622" i="1"/>
  <c r="P622" i="1"/>
  <c r="O622" i="1"/>
  <c r="N622" i="1"/>
  <c r="M622" i="1"/>
  <c r="L622" i="1"/>
  <c r="W622" i="1" s="1"/>
  <c r="AG621" i="1"/>
  <c r="O621" i="1"/>
  <c r="P621" i="1" s="1"/>
  <c r="N621" i="1"/>
  <c r="M621" i="1"/>
  <c r="L621" i="1"/>
  <c r="X621" i="1" s="1"/>
  <c r="AG620" i="1"/>
  <c r="X620" i="1"/>
  <c r="P620" i="1"/>
  <c r="O620" i="1"/>
  <c r="N620" i="1"/>
  <c r="M620" i="1"/>
  <c r="L620" i="1"/>
  <c r="AG619" i="1"/>
  <c r="X619" i="1"/>
  <c r="U619" i="1"/>
  <c r="U620" i="1" s="1"/>
  <c r="U621" i="1" s="1"/>
  <c r="U622" i="1" s="1"/>
  <c r="P619" i="1"/>
  <c r="O619" i="1"/>
  <c r="N619" i="1"/>
  <c r="M619" i="1"/>
  <c r="L619" i="1"/>
  <c r="AG618" i="1"/>
  <c r="O618" i="1"/>
  <c r="P618" i="1" s="1"/>
  <c r="N618" i="1"/>
  <c r="M618" i="1"/>
  <c r="L618" i="1"/>
  <c r="X618" i="1" s="1"/>
  <c r="AG617" i="1"/>
  <c r="O617" i="1"/>
  <c r="P617" i="1" s="1"/>
  <c r="N617" i="1"/>
  <c r="M617" i="1"/>
  <c r="L617" i="1"/>
  <c r="X617" i="1" s="1"/>
  <c r="AG616" i="1"/>
  <c r="O616" i="1"/>
  <c r="P616" i="1" s="1"/>
  <c r="N616" i="1"/>
  <c r="M616" i="1"/>
  <c r="L616" i="1"/>
  <c r="X616" i="1" s="1"/>
  <c r="AG615" i="1"/>
  <c r="O615" i="1"/>
  <c r="P615" i="1" s="1"/>
  <c r="N615" i="1"/>
  <c r="M615" i="1"/>
  <c r="L615" i="1"/>
  <c r="X615" i="1" s="1"/>
  <c r="AG614" i="1"/>
  <c r="U614" i="1"/>
  <c r="U615" i="1" s="1"/>
  <c r="U616" i="1" s="1"/>
  <c r="U617" i="1" s="1"/>
  <c r="U618" i="1" s="1"/>
  <c r="O614" i="1"/>
  <c r="P614" i="1" s="1"/>
  <c r="N614" i="1"/>
  <c r="M614" i="1"/>
  <c r="L614" i="1"/>
  <c r="AG613" i="1"/>
  <c r="O613" i="1"/>
  <c r="P613" i="1" s="1"/>
  <c r="N613" i="1"/>
  <c r="M613" i="1"/>
  <c r="L613" i="1"/>
  <c r="X613" i="1" s="1"/>
  <c r="AG612" i="1"/>
  <c r="O612" i="1"/>
  <c r="P612" i="1" s="1"/>
  <c r="N612" i="1"/>
  <c r="M612" i="1"/>
  <c r="L612" i="1"/>
  <c r="AG611" i="1"/>
  <c r="O611" i="1"/>
  <c r="P611" i="1" s="1"/>
  <c r="N611" i="1"/>
  <c r="M611" i="1"/>
  <c r="L611" i="1"/>
  <c r="W611" i="1" s="1"/>
  <c r="AA611" i="1" s="1"/>
  <c r="AG610" i="1"/>
  <c r="O610" i="1"/>
  <c r="P610" i="1" s="1"/>
  <c r="N610" i="1"/>
  <c r="M610" i="1"/>
  <c r="L610" i="1"/>
  <c r="W610" i="1" s="1"/>
  <c r="AA610" i="1" s="1"/>
  <c r="AG609" i="1"/>
  <c r="P609" i="1"/>
  <c r="O609" i="1"/>
  <c r="N609" i="1"/>
  <c r="M609" i="1"/>
  <c r="L609" i="1"/>
  <c r="W609" i="1" s="1"/>
  <c r="AA609" i="1" s="1"/>
  <c r="AG608" i="1"/>
  <c r="W608" i="1"/>
  <c r="AA608" i="1" s="1"/>
  <c r="O608" i="1"/>
  <c r="P608" i="1" s="1"/>
  <c r="N608" i="1"/>
  <c r="M608" i="1"/>
  <c r="L608" i="1"/>
  <c r="X608" i="1" s="1"/>
  <c r="AG607" i="1"/>
  <c r="O607" i="1"/>
  <c r="P607" i="1" s="1"/>
  <c r="N607" i="1"/>
  <c r="M607" i="1"/>
  <c r="L607" i="1"/>
  <c r="AG606" i="1"/>
  <c r="O606" i="1"/>
  <c r="P606" i="1" s="1"/>
  <c r="N606" i="1"/>
  <c r="M606" i="1"/>
  <c r="L606" i="1"/>
  <c r="AG605" i="1"/>
  <c r="X605" i="1"/>
  <c r="W605" i="1"/>
  <c r="Z605" i="1" s="1"/>
  <c r="O605" i="1"/>
  <c r="P605" i="1" s="1"/>
  <c r="N605" i="1"/>
  <c r="M605" i="1"/>
  <c r="L605" i="1"/>
  <c r="AG604" i="1"/>
  <c r="X604" i="1"/>
  <c r="O604" i="1"/>
  <c r="P604" i="1" s="1"/>
  <c r="N604" i="1"/>
  <c r="M604" i="1"/>
  <c r="L604" i="1"/>
  <c r="W604" i="1" s="1"/>
  <c r="AG603" i="1"/>
  <c r="O603" i="1"/>
  <c r="P603" i="1" s="1"/>
  <c r="N603" i="1"/>
  <c r="M603" i="1"/>
  <c r="L603" i="1"/>
  <c r="AG602" i="1"/>
  <c r="O602" i="1"/>
  <c r="P602" i="1" s="1"/>
  <c r="N602" i="1"/>
  <c r="M602" i="1"/>
  <c r="L602" i="1"/>
  <c r="X602" i="1" s="1"/>
  <c r="AG601" i="1"/>
  <c r="O601" i="1"/>
  <c r="P601" i="1" s="1"/>
  <c r="N601" i="1"/>
  <c r="M601" i="1"/>
  <c r="L601" i="1"/>
  <c r="AG600" i="1"/>
  <c r="Y600" i="1"/>
  <c r="X600" i="1"/>
  <c r="P600" i="1"/>
  <c r="O600" i="1"/>
  <c r="N600" i="1"/>
  <c r="M600" i="1"/>
  <c r="L600" i="1"/>
  <c r="W600" i="1" s="1"/>
  <c r="AC600" i="1" s="1"/>
  <c r="AD600" i="1" s="1"/>
  <c r="AG599" i="1"/>
  <c r="O599" i="1"/>
  <c r="P599" i="1" s="1"/>
  <c r="N599" i="1"/>
  <c r="M599" i="1"/>
  <c r="L599" i="1"/>
  <c r="AG598" i="1"/>
  <c r="O598" i="1"/>
  <c r="P598" i="1" s="1"/>
  <c r="N598" i="1"/>
  <c r="M598" i="1"/>
  <c r="L598" i="1"/>
  <c r="X598" i="1" s="1"/>
  <c r="AG597" i="1"/>
  <c r="W597" i="1"/>
  <c r="O597" i="1"/>
  <c r="P597" i="1" s="1"/>
  <c r="N597" i="1"/>
  <c r="M597" i="1"/>
  <c r="L597" i="1"/>
  <c r="X597" i="1" s="1"/>
  <c r="AG596" i="1"/>
  <c r="O596" i="1"/>
  <c r="P596" i="1" s="1"/>
  <c r="N596" i="1"/>
  <c r="M596" i="1"/>
  <c r="L596" i="1"/>
  <c r="X596" i="1" s="1"/>
  <c r="AG595" i="1"/>
  <c r="W595" i="1"/>
  <c r="O595" i="1"/>
  <c r="P595" i="1" s="1"/>
  <c r="N595" i="1"/>
  <c r="M595" i="1"/>
  <c r="L595" i="1"/>
  <c r="X595" i="1" s="1"/>
  <c r="AG594" i="1"/>
  <c r="P594" i="1"/>
  <c r="O594" i="1"/>
  <c r="N594" i="1"/>
  <c r="M594" i="1"/>
  <c r="L594" i="1"/>
  <c r="X594" i="1" s="1"/>
  <c r="AG593" i="1"/>
  <c r="O593" i="1"/>
  <c r="P593" i="1" s="1"/>
  <c r="N593" i="1"/>
  <c r="M593" i="1"/>
  <c r="L593" i="1"/>
  <c r="X593" i="1" s="1"/>
  <c r="AG592" i="1"/>
  <c r="O592" i="1"/>
  <c r="P592" i="1" s="1"/>
  <c r="N592" i="1"/>
  <c r="M592" i="1"/>
  <c r="L592" i="1"/>
  <c r="X592" i="1" s="1"/>
  <c r="AG591" i="1"/>
  <c r="P591" i="1"/>
  <c r="O591" i="1"/>
  <c r="N591" i="1"/>
  <c r="M591" i="1"/>
  <c r="L591" i="1"/>
  <c r="X591" i="1" s="1"/>
  <c r="AG590" i="1"/>
  <c r="O590" i="1"/>
  <c r="P590" i="1" s="1"/>
  <c r="N590" i="1"/>
  <c r="M590" i="1"/>
  <c r="L590" i="1"/>
  <c r="X590" i="1" s="1"/>
  <c r="AG589" i="1"/>
  <c r="O589" i="1"/>
  <c r="P589" i="1" s="1"/>
  <c r="N589" i="1"/>
  <c r="M589" i="1"/>
  <c r="L589" i="1"/>
  <c r="X589" i="1" s="1"/>
  <c r="AG588" i="1"/>
  <c r="O588" i="1"/>
  <c r="P588" i="1" s="1"/>
  <c r="N588" i="1"/>
  <c r="M588" i="1"/>
  <c r="L588" i="1"/>
  <c r="X588" i="1" s="1"/>
  <c r="AG587" i="1"/>
  <c r="O587" i="1"/>
  <c r="P587" i="1" s="1"/>
  <c r="N587" i="1"/>
  <c r="M587" i="1"/>
  <c r="L587" i="1"/>
  <c r="X587" i="1" s="1"/>
  <c r="AG586" i="1"/>
  <c r="P586" i="1"/>
  <c r="O586" i="1"/>
  <c r="N586" i="1"/>
  <c r="M586" i="1"/>
  <c r="L586" i="1"/>
  <c r="X586" i="1" s="1"/>
  <c r="AG585" i="1"/>
  <c r="O585" i="1"/>
  <c r="P585" i="1" s="1"/>
  <c r="N585" i="1"/>
  <c r="M585" i="1"/>
  <c r="L585" i="1"/>
  <c r="AG584" i="1"/>
  <c r="P584" i="1"/>
  <c r="O584" i="1"/>
  <c r="N584" i="1"/>
  <c r="M584" i="1"/>
  <c r="L584" i="1"/>
  <c r="AG583" i="1"/>
  <c r="P583" i="1"/>
  <c r="O583" i="1"/>
  <c r="N583" i="1"/>
  <c r="M583" i="1"/>
  <c r="L583" i="1"/>
  <c r="AG582" i="1"/>
  <c r="O582" i="1"/>
  <c r="P582" i="1" s="1"/>
  <c r="N582" i="1"/>
  <c r="M582" i="1"/>
  <c r="L582" i="1"/>
  <c r="X582" i="1" s="1"/>
  <c r="AG581" i="1"/>
  <c r="P581" i="1"/>
  <c r="O581" i="1"/>
  <c r="N581" i="1"/>
  <c r="M581" i="1"/>
  <c r="L581" i="1"/>
  <c r="AG580" i="1"/>
  <c r="X580" i="1"/>
  <c r="O580" i="1"/>
  <c r="P580" i="1" s="1"/>
  <c r="N580" i="1"/>
  <c r="M580" i="1"/>
  <c r="L580" i="1"/>
  <c r="AG579" i="1"/>
  <c r="O579" i="1"/>
  <c r="P579" i="1" s="1"/>
  <c r="N579" i="1"/>
  <c r="M579" i="1"/>
  <c r="L579" i="1"/>
  <c r="X579" i="1" s="1"/>
  <c r="AG578" i="1"/>
  <c r="O578" i="1"/>
  <c r="P578" i="1" s="1"/>
  <c r="N578" i="1"/>
  <c r="M578" i="1"/>
  <c r="L578" i="1"/>
  <c r="X578" i="1" s="1"/>
  <c r="AG577" i="1"/>
  <c r="O577" i="1"/>
  <c r="P577" i="1" s="1"/>
  <c r="N577" i="1"/>
  <c r="M577" i="1"/>
  <c r="L577" i="1"/>
  <c r="AG576" i="1"/>
  <c r="O576" i="1"/>
  <c r="P576" i="1" s="1"/>
  <c r="N576" i="1"/>
  <c r="M576" i="1"/>
  <c r="L576" i="1"/>
  <c r="AG575" i="1"/>
  <c r="O575" i="1"/>
  <c r="P575" i="1" s="1"/>
  <c r="N575" i="1"/>
  <c r="M575" i="1"/>
  <c r="L575" i="1"/>
  <c r="X575" i="1" s="1"/>
  <c r="AG574" i="1"/>
  <c r="O574" i="1"/>
  <c r="P574" i="1" s="1"/>
  <c r="N574" i="1"/>
  <c r="M574" i="1"/>
  <c r="L574" i="1"/>
  <c r="W574" i="1" s="1"/>
  <c r="AG573" i="1"/>
  <c r="W573" i="1"/>
  <c r="O573" i="1"/>
  <c r="P573" i="1" s="1"/>
  <c r="N573" i="1"/>
  <c r="M573" i="1"/>
  <c r="L573" i="1"/>
  <c r="X573" i="1" s="1"/>
  <c r="AG572" i="1"/>
  <c r="O572" i="1"/>
  <c r="P572" i="1" s="1"/>
  <c r="N572" i="1"/>
  <c r="M572" i="1"/>
  <c r="L572" i="1"/>
  <c r="AG571" i="1"/>
  <c r="P571" i="1"/>
  <c r="O571" i="1"/>
  <c r="N571" i="1"/>
  <c r="M571" i="1"/>
  <c r="L571" i="1"/>
  <c r="X571" i="1" s="1"/>
  <c r="AG570" i="1"/>
  <c r="O570" i="1"/>
  <c r="P570" i="1" s="1"/>
  <c r="N570" i="1"/>
  <c r="M570" i="1"/>
  <c r="L570" i="1"/>
  <c r="X570" i="1" s="1"/>
  <c r="AG569" i="1"/>
  <c r="P569" i="1"/>
  <c r="O569" i="1"/>
  <c r="N569" i="1"/>
  <c r="M569" i="1"/>
  <c r="L569" i="1"/>
  <c r="AG568" i="1"/>
  <c r="O568" i="1"/>
  <c r="P568" i="1" s="1"/>
  <c r="N568" i="1"/>
  <c r="M568" i="1"/>
  <c r="L568" i="1"/>
  <c r="X568" i="1" s="1"/>
  <c r="AG567" i="1"/>
  <c r="O567" i="1"/>
  <c r="P567" i="1" s="1"/>
  <c r="N567" i="1"/>
  <c r="M567" i="1"/>
  <c r="L567" i="1"/>
  <c r="X567" i="1" s="1"/>
  <c r="AG566" i="1"/>
  <c r="O566" i="1"/>
  <c r="P566" i="1" s="1"/>
  <c r="N566" i="1"/>
  <c r="M566" i="1"/>
  <c r="L566" i="1"/>
  <c r="X566" i="1" s="1"/>
  <c r="AG565" i="1"/>
  <c r="O565" i="1"/>
  <c r="P565" i="1" s="1"/>
  <c r="N565" i="1"/>
  <c r="M565" i="1"/>
  <c r="L565" i="1"/>
  <c r="X565" i="1" s="1"/>
  <c r="AG564" i="1"/>
  <c r="X564" i="1"/>
  <c r="O564" i="1"/>
  <c r="P564" i="1" s="1"/>
  <c r="N564" i="1"/>
  <c r="M564" i="1"/>
  <c r="L564" i="1"/>
  <c r="W564" i="1" s="1"/>
  <c r="AG563" i="1"/>
  <c r="P563" i="1"/>
  <c r="O563" i="1"/>
  <c r="N563" i="1"/>
  <c r="M563" i="1"/>
  <c r="L563" i="1"/>
  <c r="X563" i="1" s="1"/>
  <c r="AG562" i="1"/>
  <c r="O562" i="1"/>
  <c r="P562" i="1" s="1"/>
  <c r="N562" i="1"/>
  <c r="M562" i="1"/>
  <c r="L562" i="1"/>
  <c r="X562" i="1" s="1"/>
  <c r="AG561" i="1"/>
  <c r="O561" i="1"/>
  <c r="P561" i="1" s="1"/>
  <c r="N561" i="1"/>
  <c r="M561" i="1"/>
  <c r="L561" i="1"/>
  <c r="AG560" i="1"/>
  <c r="X560" i="1"/>
  <c r="O560" i="1"/>
  <c r="P560" i="1" s="1"/>
  <c r="N560" i="1"/>
  <c r="M560" i="1"/>
  <c r="L560" i="1"/>
  <c r="W560" i="1" s="1"/>
  <c r="AG559" i="1"/>
  <c r="O559" i="1"/>
  <c r="P559" i="1" s="1"/>
  <c r="N559" i="1"/>
  <c r="M559" i="1"/>
  <c r="L559" i="1"/>
  <c r="X559" i="1" s="1"/>
  <c r="AG558" i="1"/>
  <c r="O558" i="1"/>
  <c r="P558" i="1" s="1"/>
  <c r="N558" i="1"/>
  <c r="M558" i="1"/>
  <c r="L558" i="1"/>
  <c r="X558" i="1" s="1"/>
  <c r="AG557" i="1"/>
  <c r="O557" i="1"/>
  <c r="P557" i="1" s="1"/>
  <c r="N557" i="1"/>
  <c r="M557" i="1"/>
  <c r="L557" i="1"/>
  <c r="AG556" i="1"/>
  <c r="X556" i="1"/>
  <c r="W556" i="1"/>
  <c r="O556" i="1"/>
  <c r="P556" i="1" s="1"/>
  <c r="N556" i="1"/>
  <c r="M556" i="1"/>
  <c r="L556" i="1"/>
  <c r="AG555" i="1"/>
  <c r="W555" i="1"/>
  <c r="O555" i="1"/>
  <c r="P555" i="1" s="1"/>
  <c r="N555" i="1"/>
  <c r="M555" i="1"/>
  <c r="L555" i="1"/>
  <c r="X555" i="1" s="1"/>
  <c r="AG554" i="1"/>
  <c r="O554" i="1"/>
  <c r="P554" i="1" s="1"/>
  <c r="N554" i="1"/>
  <c r="M554" i="1"/>
  <c r="L554" i="1"/>
  <c r="X554" i="1" s="1"/>
  <c r="AG553" i="1"/>
  <c r="O553" i="1"/>
  <c r="P553" i="1" s="1"/>
  <c r="N553" i="1"/>
  <c r="M553" i="1"/>
  <c r="L553" i="1"/>
  <c r="AG552" i="1"/>
  <c r="O552" i="1"/>
  <c r="P552" i="1" s="1"/>
  <c r="N552" i="1"/>
  <c r="M552" i="1"/>
  <c r="L552" i="1"/>
  <c r="W552" i="1" s="1"/>
  <c r="AG551" i="1"/>
  <c r="O551" i="1"/>
  <c r="P551" i="1" s="1"/>
  <c r="N551" i="1"/>
  <c r="M551" i="1"/>
  <c r="L551" i="1"/>
  <c r="X551" i="1" s="1"/>
  <c r="AG550" i="1"/>
  <c r="O550" i="1"/>
  <c r="P550" i="1" s="1"/>
  <c r="N550" i="1"/>
  <c r="M550" i="1"/>
  <c r="L550" i="1"/>
  <c r="X550" i="1" s="1"/>
  <c r="AG549" i="1"/>
  <c r="P549" i="1"/>
  <c r="O549" i="1"/>
  <c r="N549" i="1"/>
  <c r="M549" i="1"/>
  <c r="L549" i="1"/>
  <c r="AG548" i="1"/>
  <c r="O548" i="1"/>
  <c r="P548" i="1" s="1"/>
  <c r="N548" i="1"/>
  <c r="M548" i="1"/>
  <c r="L548" i="1"/>
  <c r="AG547" i="1"/>
  <c r="O547" i="1"/>
  <c r="P547" i="1" s="1"/>
  <c r="N547" i="1"/>
  <c r="M547" i="1"/>
  <c r="L547" i="1"/>
  <c r="X547" i="1" s="1"/>
  <c r="AG546" i="1"/>
  <c r="X546" i="1"/>
  <c r="O546" i="1"/>
  <c r="P546" i="1" s="1"/>
  <c r="N546" i="1"/>
  <c r="M546" i="1"/>
  <c r="L546" i="1"/>
  <c r="AG545" i="1"/>
  <c r="O545" i="1"/>
  <c r="P545" i="1" s="1"/>
  <c r="N545" i="1"/>
  <c r="M545" i="1"/>
  <c r="L545" i="1"/>
  <c r="AG544" i="1"/>
  <c r="O544" i="1"/>
  <c r="P544" i="1" s="1"/>
  <c r="N544" i="1"/>
  <c r="M544" i="1"/>
  <c r="L544" i="1"/>
  <c r="W544" i="1" s="1"/>
  <c r="AG543" i="1"/>
  <c r="O543" i="1"/>
  <c r="P543" i="1" s="1"/>
  <c r="N543" i="1"/>
  <c r="M543" i="1"/>
  <c r="L543" i="1"/>
  <c r="X543" i="1" s="1"/>
  <c r="AG542" i="1"/>
  <c r="O542" i="1"/>
  <c r="P542" i="1" s="1"/>
  <c r="N542" i="1"/>
  <c r="M542" i="1"/>
  <c r="L542" i="1"/>
  <c r="X542" i="1" s="1"/>
  <c r="AG541" i="1"/>
  <c r="O541" i="1"/>
  <c r="P541" i="1" s="1"/>
  <c r="N541" i="1"/>
  <c r="M541" i="1"/>
  <c r="L541" i="1"/>
  <c r="X541" i="1" s="1"/>
  <c r="AG540" i="1"/>
  <c r="W540" i="1"/>
  <c r="O540" i="1"/>
  <c r="P540" i="1" s="1"/>
  <c r="N540" i="1"/>
  <c r="M540" i="1"/>
  <c r="L540" i="1"/>
  <c r="X540" i="1" s="1"/>
  <c r="AG539" i="1"/>
  <c r="W539" i="1"/>
  <c r="O539" i="1"/>
  <c r="P539" i="1" s="1"/>
  <c r="N539" i="1"/>
  <c r="M539" i="1"/>
  <c r="L539" i="1"/>
  <c r="X539" i="1" s="1"/>
  <c r="AG538" i="1"/>
  <c r="U538" i="1"/>
  <c r="U539" i="1" s="1"/>
  <c r="U540" i="1" s="1"/>
  <c r="U541" i="1" s="1"/>
  <c r="U542" i="1" s="1"/>
  <c r="U543" i="1" s="1"/>
  <c r="U544" i="1" s="1"/>
  <c r="O538" i="1"/>
  <c r="P538" i="1" s="1"/>
  <c r="N538" i="1"/>
  <c r="M538" i="1"/>
  <c r="L538" i="1"/>
  <c r="X538" i="1" s="1"/>
  <c r="AG537" i="1"/>
  <c r="O537" i="1"/>
  <c r="P537" i="1" s="1"/>
  <c r="N537" i="1"/>
  <c r="M537" i="1"/>
  <c r="L537" i="1"/>
  <c r="AG536" i="1"/>
  <c r="O536" i="1"/>
  <c r="P536" i="1" s="1"/>
  <c r="N536" i="1"/>
  <c r="M536" i="1"/>
  <c r="L536" i="1"/>
  <c r="AG535" i="1"/>
  <c r="O535" i="1"/>
  <c r="P535" i="1" s="1"/>
  <c r="N535" i="1"/>
  <c r="M535" i="1"/>
  <c r="L535" i="1"/>
  <c r="AG534" i="1"/>
  <c r="O534" i="1"/>
  <c r="P534" i="1" s="1"/>
  <c r="N534" i="1"/>
  <c r="M534" i="1"/>
  <c r="L534" i="1"/>
  <c r="AG533" i="1"/>
  <c r="O533" i="1"/>
  <c r="P533" i="1" s="1"/>
  <c r="N533" i="1"/>
  <c r="M533" i="1"/>
  <c r="L533" i="1"/>
  <c r="AG532" i="1"/>
  <c r="O532" i="1"/>
  <c r="P532" i="1" s="1"/>
  <c r="N532" i="1"/>
  <c r="M532" i="1"/>
  <c r="L532" i="1"/>
  <c r="AG531" i="1"/>
  <c r="O531" i="1"/>
  <c r="P531" i="1" s="1"/>
  <c r="N531" i="1"/>
  <c r="M531" i="1"/>
  <c r="L531" i="1"/>
  <c r="AG530" i="1"/>
  <c r="O530" i="1"/>
  <c r="P530" i="1" s="1"/>
  <c r="N530" i="1"/>
  <c r="M530" i="1"/>
  <c r="L530" i="1"/>
  <c r="AG529" i="1"/>
  <c r="O529" i="1"/>
  <c r="P529" i="1" s="1"/>
  <c r="N529" i="1"/>
  <c r="M529" i="1"/>
  <c r="L529" i="1"/>
  <c r="AG528" i="1"/>
  <c r="O528" i="1"/>
  <c r="P528" i="1" s="1"/>
  <c r="N528" i="1"/>
  <c r="M528" i="1"/>
  <c r="L528" i="1"/>
  <c r="AG527" i="1"/>
  <c r="O527" i="1"/>
  <c r="P527" i="1" s="1"/>
  <c r="N527" i="1"/>
  <c r="M527" i="1"/>
  <c r="L527" i="1"/>
  <c r="AG526" i="1"/>
  <c r="O526" i="1"/>
  <c r="P526" i="1" s="1"/>
  <c r="N526" i="1"/>
  <c r="M526" i="1"/>
  <c r="L526" i="1"/>
  <c r="AG525" i="1"/>
  <c r="O525" i="1"/>
  <c r="P525" i="1" s="1"/>
  <c r="N525" i="1"/>
  <c r="M525" i="1"/>
  <c r="L525" i="1"/>
  <c r="AG524" i="1"/>
  <c r="O524" i="1"/>
  <c r="P524" i="1" s="1"/>
  <c r="N524" i="1"/>
  <c r="M524" i="1"/>
  <c r="L524" i="1"/>
  <c r="AG523" i="1"/>
  <c r="O523" i="1"/>
  <c r="P523" i="1" s="1"/>
  <c r="N523" i="1"/>
  <c r="M523" i="1"/>
  <c r="L523" i="1"/>
  <c r="AG522" i="1"/>
  <c r="O522" i="1"/>
  <c r="P522" i="1" s="1"/>
  <c r="N522" i="1"/>
  <c r="M522" i="1"/>
  <c r="L522" i="1"/>
  <c r="AG521" i="1"/>
  <c r="O521" i="1"/>
  <c r="P521" i="1" s="1"/>
  <c r="N521" i="1"/>
  <c r="M521" i="1"/>
  <c r="L521" i="1"/>
  <c r="AG520" i="1"/>
  <c r="O520" i="1"/>
  <c r="P520" i="1" s="1"/>
  <c r="N520" i="1"/>
  <c r="M520" i="1"/>
  <c r="L520" i="1"/>
  <c r="AG519" i="1"/>
  <c r="O519" i="1"/>
  <c r="P519" i="1" s="1"/>
  <c r="N519" i="1"/>
  <c r="M519" i="1"/>
  <c r="L519" i="1"/>
  <c r="AG518" i="1"/>
  <c r="O518" i="1"/>
  <c r="P518" i="1" s="1"/>
  <c r="N518" i="1"/>
  <c r="M518" i="1"/>
  <c r="L518" i="1"/>
  <c r="AG517" i="1"/>
  <c r="O517" i="1"/>
  <c r="P517" i="1" s="1"/>
  <c r="N517" i="1"/>
  <c r="M517" i="1"/>
  <c r="L517" i="1"/>
  <c r="AG516" i="1"/>
  <c r="O516" i="1"/>
  <c r="P516" i="1" s="1"/>
  <c r="N516" i="1"/>
  <c r="M516" i="1"/>
  <c r="L516" i="1"/>
  <c r="AG515" i="1"/>
  <c r="O515" i="1"/>
  <c r="P515" i="1" s="1"/>
  <c r="N515" i="1"/>
  <c r="M515" i="1"/>
  <c r="L515" i="1"/>
  <c r="AG514" i="1"/>
  <c r="O514" i="1"/>
  <c r="P514" i="1" s="1"/>
  <c r="N514" i="1"/>
  <c r="M514" i="1"/>
  <c r="L514" i="1"/>
  <c r="AG513" i="1"/>
  <c r="O513" i="1"/>
  <c r="P513" i="1" s="1"/>
  <c r="N513" i="1"/>
  <c r="M513" i="1"/>
  <c r="L513" i="1"/>
  <c r="AG512" i="1"/>
  <c r="O512" i="1"/>
  <c r="P512" i="1" s="1"/>
  <c r="N512" i="1"/>
  <c r="M512" i="1"/>
  <c r="L512" i="1"/>
  <c r="AG511" i="1"/>
  <c r="O511" i="1"/>
  <c r="P511" i="1" s="1"/>
  <c r="N511" i="1"/>
  <c r="M511" i="1"/>
  <c r="L511" i="1"/>
  <c r="AG510" i="1"/>
  <c r="O510" i="1"/>
  <c r="P510" i="1" s="1"/>
  <c r="N510" i="1"/>
  <c r="M510" i="1"/>
  <c r="L510" i="1"/>
  <c r="AG509" i="1"/>
  <c r="O509" i="1"/>
  <c r="P509" i="1" s="1"/>
  <c r="N509" i="1"/>
  <c r="M509" i="1"/>
  <c r="L509" i="1"/>
  <c r="AG508" i="1"/>
  <c r="O508" i="1"/>
  <c r="P508" i="1" s="1"/>
  <c r="N508" i="1"/>
  <c r="M508" i="1"/>
  <c r="L508" i="1"/>
  <c r="AG507" i="1"/>
  <c r="O507" i="1"/>
  <c r="P507" i="1" s="1"/>
  <c r="N507" i="1"/>
  <c r="M507" i="1"/>
  <c r="L507" i="1"/>
  <c r="AG506" i="1"/>
  <c r="O506" i="1"/>
  <c r="P506" i="1" s="1"/>
  <c r="N506" i="1"/>
  <c r="M506" i="1"/>
  <c r="L506" i="1"/>
  <c r="AG505" i="1"/>
  <c r="O505" i="1"/>
  <c r="P505" i="1" s="1"/>
  <c r="N505" i="1"/>
  <c r="M505" i="1"/>
  <c r="L505" i="1"/>
  <c r="AG504" i="1"/>
  <c r="O504" i="1"/>
  <c r="P504" i="1" s="1"/>
  <c r="N504" i="1"/>
  <c r="M504" i="1"/>
  <c r="L504" i="1"/>
  <c r="AG503" i="1"/>
  <c r="O503" i="1"/>
  <c r="P503" i="1" s="1"/>
  <c r="N503" i="1"/>
  <c r="M503" i="1"/>
  <c r="L503" i="1"/>
  <c r="AG502" i="1"/>
  <c r="O502" i="1"/>
  <c r="P502" i="1" s="1"/>
  <c r="N502" i="1"/>
  <c r="M502" i="1"/>
  <c r="L502" i="1"/>
  <c r="AG501" i="1"/>
  <c r="O501" i="1"/>
  <c r="P501" i="1" s="1"/>
  <c r="N501" i="1"/>
  <c r="M501" i="1"/>
  <c r="L501" i="1"/>
  <c r="AG500" i="1"/>
  <c r="O500" i="1"/>
  <c r="P500" i="1" s="1"/>
  <c r="N500" i="1"/>
  <c r="M500" i="1"/>
  <c r="L500" i="1"/>
  <c r="X500" i="1" s="1"/>
  <c r="AG499" i="1"/>
  <c r="O499" i="1"/>
  <c r="P499" i="1" s="1"/>
  <c r="N499" i="1"/>
  <c r="M499" i="1"/>
  <c r="L499" i="1"/>
  <c r="AG498" i="1"/>
  <c r="O498" i="1"/>
  <c r="P498" i="1" s="1"/>
  <c r="N498" i="1"/>
  <c r="M498" i="1"/>
  <c r="L498" i="1"/>
  <c r="AG497" i="1"/>
  <c r="O497" i="1"/>
  <c r="P497" i="1" s="1"/>
  <c r="N497" i="1"/>
  <c r="M497" i="1"/>
  <c r="L497" i="1"/>
  <c r="AG496" i="1"/>
  <c r="O496" i="1"/>
  <c r="P496" i="1" s="1"/>
  <c r="N496" i="1"/>
  <c r="M496" i="1"/>
  <c r="L496" i="1"/>
  <c r="X496" i="1" s="1"/>
  <c r="AG495" i="1"/>
  <c r="O495" i="1"/>
  <c r="P495" i="1" s="1"/>
  <c r="N495" i="1"/>
  <c r="M495" i="1"/>
  <c r="L495" i="1"/>
  <c r="AG494" i="1"/>
  <c r="O494" i="1"/>
  <c r="P494" i="1" s="1"/>
  <c r="N494" i="1"/>
  <c r="M494" i="1"/>
  <c r="L494" i="1"/>
  <c r="X494" i="1" s="1"/>
  <c r="AG493" i="1"/>
  <c r="O493" i="1"/>
  <c r="P493" i="1" s="1"/>
  <c r="N493" i="1"/>
  <c r="M493" i="1"/>
  <c r="L493" i="1"/>
  <c r="AG492" i="1"/>
  <c r="O492" i="1"/>
  <c r="P492" i="1" s="1"/>
  <c r="N492" i="1"/>
  <c r="M492" i="1"/>
  <c r="L492" i="1"/>
  <c r="X492" i="1" s="1"/>
  <c r="AG491" i="1"/>
  <c r="O491" i="1"/>
  <c r="P491" i="1" s="1"/>
  <c r="N491" i="1"/>
  <c r="M491" i="1"/>
  <c r="L491" i="1"/>
  <c r="AG490" i="1"/>
  <c r="W490" i="1"/>
  <c r="O490" i="1"/>
  <c r="P490" i="1" s="1"/>
  <c r="N490" i="1"/>
  <c r="M490" i="1"/>
  <c r="L490" i="1"/>
  <c r="X490" i="1" s="1"/>
  <c r="AG489" i="1"/>
  <c r="O489" i="1"/>
  <c r="P489" i="1" s="1"/>
  <c r="N489" i="1"/>
  <c r="M489" i="1"/>
  <c r="L489" i="1"/>
  <c r="AG488" i="1"/>
  <c r="O488" i="1"/>
  <c r="P488" i="1" s="1"/>
  <c r="N488" i="1"/>
  <c r="M488" i="1"/>
  <c r="L488" i="1"/>
  <c r="AG487" i="1"/>
  <c r="O487" i="1"/>
  <c r="P487" i="1" s="1"/>
  <c r="N487" i="1"/>
  <c r="M487" i="1"/>
  <c r="L487" i="1"/>
  <c r="AG486" i="1"/>
  <c r="O486" i="1"/>
  <c r="P486" i="1" s="1"/>
  <c r="N486" i="1"/>
  <c r="M486" i="1"/>
  <c r="L486" i="1"/>
  <c r="AG485" i="1"/>
  <c r="O485" i="1"/>
  <c r="P485" i="1" s="1"/>
  <c r="N485" i="1"/>
  <c r="M485" i="1"/>
  <c r="L485" i="1"/>
  <c r="AG484" i="1"/>
  <c r="O484" i="1"/>
  <c r="P484" i="1" s="1"/>
  <c r="N484" i="1"/>
  <c r="M484" i="1"/>
  <c r="L484" i="1"/>
  <c r="X484" i="1" s="1"/>
  <c r="AG483" i="1"/>
  <c r="X483" i="1"/>
  <c r="O483" i="1"/>
  <c r="P483" i="1" s="1"/>
  <c r="N483" i="1"/>
  <c r="M483" i="1"/>
  <c r="L483" i="1"/>
  <c r="W483" i="1" s="1"/>
  <c r="AG482" i="1"/>
  <c r="P482" i="1"/>
  <c r="O482" i="1"/>
  <c r="N482" i="1"/>
  <c r="M482" i="1"/>
  <c r="L482" i="1"/>
  <c r="AG481" i="1"/>
  <c r="O481" i="1"/>
  <c r="P481" i="1" s="1"/>
  <c r="N481" i="1"/>
  <c r="M481" i="1"/>
  <c r="L481" i="1"/>
  <c r="X481" i="1" s="1"/>
  <c r="AG480" i="1"/>
  <c r="O480" i="1"/>
  <c r="P480" i="1" s="1"/>
  <c r="N480" i="1"/>
  <c r="M480" i="1"/>
  <c r="L480" i="1"/>
  <c r="AG479" i="1"/>
  <c r="X479" i="1"/>
  <c r="O479" i="1"/>
  <c r="P479" i="1" s="1"/>
  <c r="N479" i="1"/>
  <c r="M479" i="1"/>
  <c r="L479" i="1"/>
  <c r="AG478" i="1"/>
  <c r="O478" i="1"/>
  <c r="P478" i="1" s="1"/>
  <c r="N478" i="1"/>
  <c r="M478" i="1"/>
  <c r="L478" i="1"/>
  <c r="X478" i="1" s="1"/>
  <c r="AG477" i="1"/>
  <c r="O477" i="1"/>
  <c r="P477" i="1" s="1"/>
  <c r="N477" i="1"/>
  <c r="M477" i="1"/>
  <c r="L477" i="1"/>
  <c r="X477" i="1" s="1"/>
  <c r="AG476" i="1"/>
  <c r="O476" i="1"/>
  <c r="P476" i="1" s="1"/>
  <c r="N476" i="1"/>
  <c r="M476" i="1"/>
  <c r="L476" i="1"/>
  <c r="X476" i="1" s="1"/>
  <c r="AG475" i="1"/>
  <c r="O475" i="1"/>
  <c r="P475" i="1" s="1"/>
  <c r="N475" i="1"/>
  <c r="M475" i="1"/>
  <c r="L475" i="1"/>
  <c r="X475" i="1" s="1"/>
  <c r="AG474" i="1"/>
  <c r="O474" i="1"/>
  <c r="P474" i="1" s="1"/>
  <c r="N474" i="1"/>
  <c r="M474" i="1"/>
  <c r="L474" i="1"/>
  <c r="X474" i="1" s="1"/>
  <c r="AG473" i="1"/>
  <c r="O473" i="1"/>
  <c r="P473" i="1" s="1"/>
  <c r="N473" i="1"/>
  <c r="M473" i="1"/>
  <c r="L473" i="1"/>
  <c r="X473" i="1" s="1"/>
  <c r="AG472" i="1"/>
  <c r="O472" i="1"/>
  <c r="P472" i="1" s="1"/>
  <c r="N472" i="1"/>
  <c r="M472" i="1"/>
  <c r="L472" i="1"/>
  <c r="AG471" i="1"/>
  <c r="O471" i="1"/>
  <c r="P471" i="1" s="1"/>
  <c r="N471" i="1"/>
  <c r="M471" i="1"/>
  <c r="L471" i="1"/>
  <c r="AG470" i="1"/>
  <c r="O470" i="1"/>
  <c r="P470" i="1" s="1"/>
  <c r="N470" i="1"/>
  <c r="M470" i="1"/>
  <c r="L470" i="1"/>
  <c r="X470" i="1" s="1"/>
  <c r="AG469" i="1"/>
  <c r="O469" i="1"/>
  <c r="P469" i="1" s="1"/>
  <c r="N469" i="1"/>
  <c r="M469" i="1"/>
  <c r="L469" i="1"/>
  <c r="AG468" i="1"/>
  <c r="O468" i="1"/>
  <c r="P468" i="1" s="1"/>
  <c r="N468" i="1"/>
  <c r="M468" i="1"/>
  <c r="L468" i="1"/>
  <c r="W468" i="1" s="1"/>
  <c r="AG467" i="1"/>
  <c r="X467" i="1"/>
  <c r="P467" i="1"/>
  <c r="O467" i="1"/>
  <c r="N467" i="1"/>
  <c r="M467" i="1"/>
  <c r="L467" i="1"/>
  <c r="W467" i="1" s="1"/>
  <c r="AG466" i="1"/>
  <c r="O466" i="1"/>
  <c r="P466" i="1" s="1"/>
  <c r="N466" i="1"/>
  <c r="M466" i="1"/>
  <c r="L466" i="1"/>
  <c r="AG465" i="1"/>
  <c r="O465" i="1"/>
  <c r="P465" i="1" s="1"/>
  <c r="N465" i="1"/>
  <c r="M465" i="1"/>
  <c r="L465" i="1"/>
  <c r="X465" i="1" s="1"/>
  <c r="AG464" i="1"/>
  <c r="O464" i="1"/>
  <c r="P464" i="1" s="1"/>
  <c r="N464" i="1"/>
  <c r="M464" i="1"/>
  <c r="L464" i="1"/>
  <c r="X464" i="1" s="1"/>
  <c r="AG463" i="1"/>
  <c r="O463" i="1"/>
  <c r="P463" i="1" s="1"/>
  <c r="N463" i="1"/>
  <c r="M463" i="1"/>
  <c r="L463" i="1"/>
  <c r="X463" i="1" s="1"/>
  <c r="AG462" i="1"/>
  <c r="O462" i="1"/>
  <c r="P462" i="1" s="1"/>
  <c r="N462" i="1"/>
  <c r="M462" i="1"/>
  <c r="L462" i="1"/>
  <c r="X462" i="1" s="1"/>
  <c r="AG461" i="1"/>
  <c r="O461" i="1"/>
  <c r="P461" i="1" s="1"/>
  <c r="N461" i="1"/>
  <c r="M461" i="1"/>
  <c r="L461" i="1"/>
  <c r="X461" i="1" s="1"/>
  <c r="AG460" i="1"/>
  <c r="X460" i="1"/>
  <c r="O460" i="1"/>
  <c r="P460" i="1" s="1"/>
  <c r="N460" i="1"/>
  <c r="M460" i="1"/>
  <c r="L460" i="1"/>
  <c r="W460" i="1" s="1"/>
  <c r="AG459" i="1"/>
  <c r="P459" i="1"/>
  <c r="O459" i="1"/>
  <c r="N459" i="1"/>
  <c r="M459" i="1"/>
  <c r="L459" i="1"/>
  <c r="X459" i="1" s="1"/>
  <c r="AG458" i="1"/>
  <c r="U458" i="1"/>
  <c r="U459" i="1" s="1"/>
  <c r="U460" i="1" s="1"/>
  <c r="U461" i="1" s="1"/>
  <c r="U462" i="1" s="1"/>
  <c r="U463" i="1" s="1"/>
  <c r="U464" i="1" s="1"/>
  <c r="U465" i="1" s="1"/>
  <c r="U466" i="1" s="1"/>
  <c r="U467" i="1" s="1"/>
  <c r="U468" i="1" s="1"/>
  <c r="U469" i="1" s="1"/>
  <c r="U470" i="1" s="1"/>
  <c r="O458" i="1"/>
  <c r="P458" i="1" s="1"/>
  <c r="N458" i="1"/>
  <c r="M458" i="1"/>
  <c r="L458" i="1"/>
  <c r="AG457" i="1"/>
  <c r="O457" i="1"/>
  <c r="P457" i="1" s="1"/>
  <c r="N457" i="1"/>
  <c r="M457" i="1"/>
  <c r="L457" i="1"/>
  <c r="AG456" i="1"/>
  <c r="O456" i="1"/>
  <c r="P456" i="1" s="1"/>
  <c r="N456" i="1"/>
  <c r="M456" i="1"/>
  <c r="L456" i="1"/>
  <c r="AG455" i="1"/>
  <c r="O455" i="1"/>
  <c r="P455" i="1" s="1"/>
  <c r="N455" i="1"/>
  <c r="M455" i="1"/>
  <c r="L455" i="1"/>
  <c r="AG454" i="1"/>
  <c r="O454" i="1"/>
  <c r="P454" i="1" s="1"/>
  <c r="N454" i="1"/>
  <c r="M454" i="1"/>
  <c r="L454" i="1"/>
  <c r="AG453" i="1"/>
  <c r="Z453" i="1"/>
  <c r="W453" i="1"/>
  <c r="AC453" i="1" s="1"/>
  <c r="AD453" i="1" s="1"/>
  <c r="O453" i="1"/>
  <c r="P453" i="1" s="1"/>
  <c r="N453" i="1"/>
  <c r="M453" i="1"/>
  <c r="L453" i="1"/>
  <c r="X453" i="1" s="1"/>
  <c r="AG452" i="1"/>
  <c r="O452" i="1"/>
  <c r="P452" i="1" s="1"/>
  <c r="N452" i="1"/>
  <c r="M452" i="1"/>
  <c r="L452" i="1"/>
  <c r="X452" i="1" s="1"/>
  <c r="AG451" i="1"/>
  <c r="O451" i="1"/>
  <c r="P451" i="1" s="1"/>
  <c r="N451" i="1"/>
  <c r="M451" i="1"/>
  <c r="L451" i="1"/>
  <c r="AG450" i="1"/>
  <c r="U450" i="1"/>
  <c r="U451" i="1" s="1"/>
  <c r="U452" i="1" s="1"/>
  <c r="U453" i="1" s="1"/>
  <c r="O450" i="1"/>
  <c r="P450" i="1" s="1"/>
  <c r="N450" i="1"/>
  <c r="M450" i="1"/>
  <c r="L450" i="1"/>
  <c r="X450" i="1" s="1"/>
  <c r="AG449" i="1"/>
  <c r="O449" i="1"/>
  <c r="P449" i="1" s="1"/>
  <c r="N449" i="1"/>
  <c r="M449" i="1"/>
  <c r="L449" i="1"/>
  <c r="X449" i="1" s="1"/>
  <c r="AG448" i="1"/>
  <c r="O448" i="1"/>
  <c r="P448" i="1" s="1"/>
  <c r="N448" i="1"/>
  <c r="M448" i="1"/>
  <c r="L448" i="1"/>
  <c r="W448" i="1" s="1"/>
  <c r="AG447" i="1"/>
  <c r="O447" i="1"/>
  <c r="P447" i="1" s="1"/>
  <c r="N447" i="1"/>
  <c r="M447" i="1"/>
  <c r="L447" i="1"/>
  <c r="AG446" i="1"/>
  <c r="X446" i="1"/>
  <c r="U446" i="1"/>
  <c r="U447" i="1" s="1"/>
  <c r="U448" i="1" s="1"/>
  <c r="U449" i="1" s="1"/>
  <c r="O446" i="1"/>
  <c r="P446" i="1" s="1"/>
  <c r="N446" i="1"/>
  <c r="M446" i="1"/>
  <c r="L446" i="1"/>
  <c r="W446" i="1" s="1"/>
  <c r="AG445" i="1"/>
  <c r="P445" i="1"/>
  <c r="O445" i="1"/>
  <c r="N445" i="1"/>
  <c r="M445" i="1"/>
  <c r="L445" i="1"/>
  <c r="X445" i="1" s="1"/>
  <c r="AG444" i="1"/>
  <c r="U444" i="1"/>
  <c r="U445" i="1" s="1"/>
  <c r="O444" i="1"/>
  <c r="P444" i="1" s="1"/>
  <c r="N444" i="1"/>
  <c r="M444" i="1"/>
  <c r="L444" i="1"/>
  <c r="AG443" i="1"/>
  <c r="O443" i="1"/>
  <c r="P443" i="1" s="1"/>
  <c r="N443" i="1"/>
  <c r="M443" i="1"/>
  <c r="L443" i="1"/>
  <c r="X443" i="1" s="1"/>
  <c r="AG442" i="1"/>
  <c r="O442" i="1"/>
  <c r="P442" i="1" s="1"/>
  <c r="N442" i="1"/>
  <c r="M442" i="1"/>
  <c r="L442" i="1"/>
  <c r="X442" i="1" s="1"/>
  <c r="AG441" i="1"/>
  <c r="O441" i="1"/>
  <c r="P441" i="1" s="1"/>
  <c r="N441" i="1"/>
  <c r="M441" i="1"/>
  <c r="L441" i="1"/>
  <c r="X441" i="1" s="1"/>
  <c r="AG440" i="1"/>
  <c r="O440" i="1"/>
  <c r="P440" i="1" s="1"/>
  <c r="N440" i="1"/>
  <c r="M440" i="1"/>
  <c r="L440" i="1"/>
  <c r="AG439" i="1"/>
  <c r="O439" i="1"/>
  <c r="P439" i="1" s="1"/>
  <c r="N439" i="1"/>
  <c r="M439" i="1"/>
  <c r="L439" i="1"/>
  <c r="X439" i="1" s="1"/>
  <c r="AG438" i="1"/>
  <c r="O438" i="1"/>
  <c r="P438" i="1" s="1"/>
  <c r="N438" i="1"/>
  <c r="M438" i="1"/>
  <c r="L438" i="1"/>
  <c r="X438" i="1" s="1"/>
  <c r="AG437" i="1"/>
  <c r="P437" i="1"/>
  <c r="O437" i="1"/>
  <c r="N437" i="1"/>
  <c r="M437" i="1"/>
  <c r="L437" i="1"/>
  <c r="X437" i="1" s="1"/>
  <c r="AG436" i="1"/>
  <c r="O436" i="1"/>
  <c r="P436" i="1" s="1"/>
  <c r="N436" i="1"/>
  <c r="M436" i="1"/>
  <c r="L436" i="1"/>
  <c r="W436" i="1" s="1"/>
  <c r="AG435" i="1"/>
  <c r="W435" i="1"/>
  <c r="Z435" i="1" s="1"/>
  <c r="O435" i="1"/>
  <c r="P435" i="1" s="1"/>
  <c r="N435" i="1"/>
  <c r="M435" i="1"/>
  <c r="L435" i="1"/>
  <c r="X435" i="1" s="1"/>
  <c r="AG434" i="1"/>
  <c r="P434" i="1"/>
  <c r="O434" i="1"/>
  <c r="N434" i="1"/>
  <c r="M434" i="1"/>
  <c r="L434" i="1"/>
  <c r="W434" i="1" s="1"/>
  <c r="AG433" i="1"/>
  <c r="O433" i="1"/>
  <c r="P433" i="1" s="1"/>
  <c r="N433" i="1"/>
  <c r="M433" i="1"/>
  <c r="L433" i="1"/>
  <c r="AG432" i="1"/>
  <c r="U432" i="1"/>
  <c r="U433" i="1" s="1"/>
  <c r="U434" i="1" s="1"/>
  <c r="U435" i="1" s="1"/>
  <c r="U436" i="1" s="1"/>
  <c r="O432" i="1"/>
  <c r="P432" i="1" s="1"/>
  <c r="N432" i="1"/>
  <c r="M432" i="1"/>
  <c r="L432" i="1"/>
  <c r="W432" i="1" s="1"/>
  <c r="AG431" i="1"/>
  <c r="X431" i="1"/>
  <c r="O431" i="1"/>
  <c r="P431" i="1" s="1"/>
  <c r="N431" i="1"/>
  <c r="M431" i="1"/>
  <c r="L431" i="1"/>
  <c r="W431" i="1" s="1"/>
  <c r="AG430" i="1"/>
  <c r="O430" i="1"/>
  <c r="P430" i="1" s="1"/>
  <c r="N430" i="1"/>
  <c r="M430" i="1"/>
  <c r="L430" i="1"/>
  <c r="AG429" i="1"/>
  <c r="O429" i="1"/>
  <c r="P429" i="1" s="1"/>
  <c r="N429" i="1"/>
  <c r="M429" i="1"/>
  <c r="L429" i="1"/>
  <c r="W429" i="1" s="1"/>
  <c r="AG428" i="1"/>
  <c r="O428" i="1"/>
  <c r="P428" i="1" s="1"/>
  <c r="N428" i="1"/>
  <c r="M428" i="1"/>
  <c r="L428" i="1"/>
  <c r="X428" i="1" s="1"/>
  <c r="AG427" i="1"/>
  <c r="Y427" i="1"/>
  <c r="X427" i="1"/>
  <c r="W427" i="1"/>
  <c r="AA427" i="1" s="1"/>
  <c r="O427" i="1"/>
  <c r="P427" i="1" s="1"/>
  <c r="N427" i="1"/>
  <c r="M427" i="1"/>
  <c r="L427" i="1"/>
  <c r="AG426" i="1"/>
  <c r="X426" i="1"/>
  <c r="O426" i="1"/>
  <c r="P426" i="1" s="1"/>
  <c r="N426" i="1"/>
  <c r="M426" i="1"/>
  <c r="L426" i="1"/>
  <c r="W426" i="1" s="1"/>
  <c r="AA426" i="1" s="1"/>
  <c r="AB426" i="1" s="1"/>
  <c r="AG425" i="1"/>
  <c r="O425" i="1"/>
  <c r="P425" i="1" s="1"/>
  <c r="N425" i="1"/>
  <c r="M425" i="1"/>
  <c r="L425" i="1"/>
  <c r="W425" i="1" s="1"/>
  <c r="AG424" i="1"/>
  <c r="O424" i="1"/>
  <c r="P424" i="1" s="1"/>
  <c r="N424" i="1"/>
  <c r="M424" i="1"/>
  <c r="L424" i="1"/>
  <c r="X424" i="1" s="1"/>
  <c r="AG423" i="1"/>
  <c r="W423" i="1"/>
  <c r="O423" i="1"/>
  <c r="P423" i="1" s="1"/>
  <c r="N423" i="1"/>
  <c r="M423" i="1"/>
  <c r="L423" i="1"/>
  <c r="X423" i="1" s="1"/>
  <c r="AG422" i="1"/>
  <c r="O422" i="1"/>
  <c r="P422" i="1" s="1"/>
  <c r="N422" i="1"/>
  <c r="M422" i="1"/>
  <c r="L422" i="1"/>
  <c r="W422" i="1" s="1"/>
  <c r="AA422" i="1" s="1"/>
  <c r="AB422" i="1" s="1"/>
  <c r="AG421" i="1"/>
  <c r="O421" i="1"/>
  <c r="P421" i="1" s="1"/>
  <c r="N421" i="1"/>
  <c r="M421" i="1"/>
  <c r="L421" i="1"/>
  <c r="W421" i="1" s="1"/>
  <c r="AG420" i="1"/>
  <c r="O420" i="1"/>
  <c r="P420" i="1" s="1"/>
  <c r="N420" i="1"/>
  <c r="M420" i="1"/>
  <c r="L420" i="1"/>
  <c r="X420" i="1" s="1"/>
  <c r="AG419" i="1"/>
  <c r="O419" i="1"/>
  <c r="P419" i="1" s="1"/>
  <c r="N419" i="1"/>
  <c r="M419" i="1"/>
  <c r="L419" i="1"/>
  <c r="W419" i="1" s="1"/>
  <c r="AG418" i="1"/>
  <c r="O418" i="1"/>
  <c r="P418" i="1" s="1"/>
  <c r="N418" i="1"/>
  <c r="M418" i="1"/>
  <c r="L418" i="1"/>
  <c r="W418" i="1" s="1"/>
  <c r="AG417" i="1"/>
  <c r="O417" i="1"/>
  <c r="P417" i="1" s="1"/>
  <c r="N417" i="1"/>
  <c r="M417" i="1"/>
  <c r="L417" i="1"/>
  <c r="W417" i="1" s="1"/>
  <c r="AG416" i="1"/>
  <c r="O416" i="1"/>
  <c r="P416" i="1" s="1"/>
  <c r="N416" i="1"/>
  <c r="M416" i="1"/>
  <c r="L416" i="1"/>
  <c r="AG415" i="1"/>
  <c r="O415" i="1"/>
  <c r="P415" i="1" s="1"/>
  <c r="N415" i="1"/>
  <c r="M415" i="1"/>
  <c r="L415" i="1"/>
  <c r="W415" i="1" s="1"/>
  <c r="AG414" i="1"/>
  <c r="X414" i="1"/>
  <c r="O414" i="1"/>
  <c r="P414" i="1" s="1"/>
  <c r="N414" i="1"/>
  <c r="M414" i="1"/>
  <c r="L414" i="1"/>
  <c r="W414" i="1" s="1"/>
  <c r="AG413" i="1"/>
  <c r="O413" i="1"/>
  <c r="P413" i="1" s="1"/>
  <c r="N413" i="1"/>
  <c r="M413" i="1"/>
  <c r="L413" i="1"/>
  <c r="W413" i="1" s="1"/>
  <c r="AG412" i="1"/>
  <c r="O412" i="1"/>
  <c r="P412" i="1" s="1"/>
  <c r="N412" i="1"/>
  <c r="M412" i="1"/>
  <c r="L412" i="1"/>
  <c r="W412" i="1" s="1"/>
  <c r="AG411" i="1"/>
  <c r="X411" i="1"/>
  <c r="O411" i="1"/>
  <c r="P411" i="1" s="1"/>
  <c r="N411" i="1"/>
  <c r="M411" i="1"/>
  <c r="L411" i="1"/>
  <c r="W411" i="1" s="1"/>
  <c r="AG410" i="1"/>
  <c r="X410" i="1"/>
  <c r="O410" i="1"/>
  <c r="P410" i="1" s="1"/>
  <c r="N410" i="1"/>
  <c r="M410" i="1"/>
  <c r="L410" i="1"/>
  <c r="W410" i="1" s="1"/>
  <c r="AG409" i="1"/>
  <c r="O409" i="1"/>
  <c r="P409" i="1" s="1"/>
  <c r="N409" i="1"/>
  <c r="M409" i="1"/>
  <c r="L409" i="1"/>
  <c r="X409" i="1" s="1"/>
  <c r="AG408" i="1"/>
  <c r="W408" i="1"/>
  <c r="AA408" i="1" s="1"/>
  <c r="AE408" i="1" s="1"/>
  <c r="AF408" i="1" s="1"/>
  <c r="O408" i="1"/>
  <c r="P408" i="1" s="1"/>
  <c r="N408" i="1"/>
  <c r="M408" i="1"/>
  <c r="L408" i="1"/>
  <c r="X408" i="1" s="1"/>
  <c r="AG407" i="1"/>
  <c r="O407" i="1"/>
  <c r="P407" i="1" s="1"/>
  <c r="N407" i="1"/>
  <c r="M407" i="1"/>
  <c r="L407" i="1"/>
  <c r="X407" i="1" s="1"/>
  <c r="AG406" i="1"/>
  <c r="O406" i="1"/>
  <c r="P406" i="1" s="1"/>
  <c r="N406" i="1"/>
  <c r="M406" i="1"/>
  <c r="L406" i="1"/>
  <c r="X406" i="1" s="1"/>
  <c r="AG405" i="1"/>
  <c r="O405" i="1"/>
  <c r="P405" i="1" s="1"/>
  <c r="N405" i="1"/>
  <c r="M405" i="1"/>
  <c r="L405" i="1"/>
  <c r="X405" i="1" s="1"/>
  <c r="AG404" i="1"/>
  <c r="O404" i="1"/>
  <c r="P404" i="1" s="1"/>
  <c r="N404" i="1"/>
  <c r="M404" i="1"/>
  <c r="L404" i="1"/>
  <c r="X404" i="1" s="1"/>
  <c r="AG403" i="1"/>
  <c r="O403" i="1"/>
  <c r="P403" i="1" s="1"/>
  <c r="N403" i="1"/>
  <c r="M403" i="1"/>
  <c r="L403" i="1"/>
  <c r="X403" i="1" s="1"/>
  <c r="AG402" i="1"/>
  <c r="O402" i="1"/>
  <c r="P402" i="1" s="1"/>
  <c r="N402" i="1"/>
  <c r="M402" i="1"/>
  <c r="L402" i="1"/>
  <c r="X402" i="1" s="1"/>
  <c r="AG401" i="1"/>
  <c r="O401" i="1"/>
  <c r="P401" i="1" s="1"/>
  <c r="N401" i="1"/>
  <c r="M401" i="1"/>
  <c r="L401" i="1"/>
  <c r="X401" i="1" s="1"/>
  <c r="AG400" i="1"/>
  <c r="O400" i="1"/>
  <c r="N400" i="1"/>
  <c r="M400" i="1"/>
  <c r="Q400" i="1" s="1"/>
  <c r="L400" i="1"/>
  <c r="X400" i="1" s="1"/>
  <c r="AG399" i="1"/>
  <c r="O399" i="1"/>
  <c r="N399" i="1"/>
  <c r="M399" i="1"/>
  <c r="Q399" i="1" s="1"/>
  <c r="P399" i="1" s="1"/>
  <c r="L399" i="1"/>
  <c r="W399" i="1" s="1"/>
  <c r="AG398" i="1"/>
  <c r="O398" i="1"/>
  <c r="N398" i="1"/>
  <c r="M398" i="1"/>
  <c r="Q398" i="1" s="1"/>
  <c r="P398" i="1" s="1"/>
  <c r="L398" i="1"/>
  <c r="X398" i="1" s="1"/>
  <c r="AG397" i="1"/>
  <c r="X397" i="1"/>
  <c r="P397" i="1"/>
  <c r="O397" i="1"/>
  <c r="N397" i="1"/>
  <c r="M397" i="1"/>
  <c r="L397" i="1"/>
  <c r="AG396" i="1"/>
  <c r="O396" i="1"/>
  <c r="P396" i="1" s="1"/>
  <c r="N396" i="1"/>
  <c r="M396" i="1"/>
  <c r="L396" i="1"/>
  <c r="X396" i="1" s="1"/>
  <c r="AG395" i="1"/>
  <c r="X395" i="1"/>
  <c r="O395" i="1"/>
  <c r="P395" i="1" s="1"/>
  <c r="N395" i="1"/>
  <c r="M395" i="1"/>
  <c r="L395" i="1"/>
  <c r="AG394" i="1"/>
  <c r="O394" i="1"/>
  <c r="P394" i="1" s="1"/>
  <c r="N394" i="1"/>
  <c r="M394" i="1"/>
  <c r="L394" i="1"/>
  <c r="X394" i="1" s="1"/>
  <c r="AG393" i="1"/>
  <c r="O393" i="1"/>
  <c r="P393" i="1" s="1"/>
  <c r="N393" i="1"/>
  <c r="M393" i="1"/>
  <c r="L393" i="1"/>
  <c r="X393" i="1" s="1"/>
  <c r="AG392" i="1"/>
  <c r="X392" i="1"/>
  <c r="O392" i="1"/>
  <c r="P392" i="1" s="1"/>
  <c r="N392" i="1"/>
  <c r="M392" i="1"/>
  <c r="L392" i="1"/>
  <c r="AG391" i="1"/>
  <c r="X391" i="1"/>
  <c r="O391" i="1"/>
  <c r="P391" i="1" s="1"/>
  <c r="N391" i="1"/>
  <c r="M391" i="1"/>
  <c r="L391" i="1"/>
  <c r="AG390" i="1"/>
  <c r="O390" i="1"/>
  <c r="P390" i="1" s="1"/>
  <c r="N390" i="1"/>
  <c r="M390" i="1"/>
  <c r="L390" i="1"/>
  <c r="X390" i="1" s="1"/>
  <c r="AG389" i="1"/>
  <c r="O389" i="1"/>
  <c r="P389" i="1" s="1"/>
  <c r="N389" i="1"/>
  <c r="M389" i="1"/>
  <c r="L389" i="1"/>
  <c r="X389" i="1" s="1"/>
  <c r="AG388" i="1"/>
  <c r="X388" i="1"/>
  <c r="O388" i="1"/>
  <c r="P388" i="1" s="1"/>
  <c r="N388" i="1"/>
  <c r="M388" i="1"/>
  <c r="L388" i="1"/>
  <c r="AG387" i="1"/>
  <c r="O387" i="1"/>
  <c r="P387" i="1" s="1"/>
  <c r="N387" i="1"/>
  <c r="M387" i="1"/>
  <c r="L387" i="1"/>
  <c r="X387" i="1" s="1"/>
  <c r="AG386" i="1"/>
  <c r="O386" i="1"/>
  <c r="P386" i="1" s="1"/>
  <c r="N386" i="1"/>
  <c r="M386" i="1"/>
  <c r="L386" i="1"/>
  <c r="X386" i="1" s="1"/>
  <c r="AG385" i="1"/>
  <c r="O385" i="1"/>
  <c r="P385" i="1" s="1"/>
  <c r="N385" i="1"/>
  <c r="M385" i="1"/>
  <c r="L385" i="1"/>
  <c r="X385" i="1" s="1"/>
  <c r="AG384" i="1"/>
  <c r="O384" i="1"/>
  <c r="P384" i="1" s="1"/>
  <c r="N384" i="1"/>
  <c r="M384" i="1"/>
  <c r="L384" i="1"/>
  <c r="X384" i="1" s="1"/>
  <c r="AG383" i="1"/>
  <c r="O383" i="1"/>
  <c r="P383" i="1" s="1"/>
  <c r="N383" i="1"/>
  <c r="M383" i="1"/>
  <c r="L383" i="1"/>
  <c r="X383" i="1" s="1"/>
  <c r="AG382" i="1"/>
  <c r="O382" i="1"/>
  <c r="P382" i="1" s="1"/>
  <c r="N382" i="1"/>
  <c r="M382" i="1"/>
  <c r="L382" i="1"/>
  <c r="X382" i="1" s="1"/>
  <c r="AG381" i="1"/>
  <c r="O381" i="1"/>
  <c r="P381" i="1" s="1"/>
  <c r="N381" i="1"/>
  <c r="M381" i="1"/>
  <c r="L381" i="1"/>
  <c r="X381" i="1" s="1"/>
  <c r="AG380" i="1"/>
  <c r="O380" i="1"/>
  <c r="P380" i="1" s="1"/>
  <c r="N380" i="1"/>
  <c r="M380" i="1"/>
  <c r="L380" i="1"/>
  <c r="X380" i="1" s="1"/>
  <c r="AG379" i="1"/>
  <c r="O379" i="1"/>
  <c r="P379" i="1" s="1"/>
  <c r="N379" i="1"/>
  <c r="M379" i="1"/>
  <c r="L379" i="1"/>
  <c r="X379" i="1" s="1"/>
  <c r="AG378" i="1"/>
  <c r="O378" i="1"/>
  <c r="P378" i="1" s="1"/>
  <c r="N378" i="1"/>
  <c r="M378" i="1"/>
  <c r="L378" i="1"/>
  <c r="AG377" i="1"/>
  <c r="O377" i="1"/>
  <c r="P377" i="1" s="1"/>
  <c r="N377" i="1"/>
  <c r="M377" i="1"/>
  <c r="L377" i="1"/>
  <c r="X377" i="1" s="1"/>
  <c r="AG376" i="1"/>
  <c r="O376" i="1"/>
  <c r="P376" i="1" s="1"/>
  <c r="N376" i="1"/>
  <c r="M376" i="1"/>
  <c r="L376" i="1"/>
  <c r="X376" i="1" s="1"/>
  <c r="AG375" i="1"/>
  <c r="O375" i="1"/>
  <c r="P375" i="1" s="1"/>
  <c r="N375" i="1"/>
  <c r="M375" i="1"/>
  <c r="L375" i="1"/>
  <c r="AG374" i="1"/>
  <c r="O374" i="1"/>
  <c r="P374" i="1" s="1"/>
  <c r="N374" i="1"/>
  <c r="M374" i="1"/>
  <c r="L374" i="1"/>
  <c r="X374" i="1" s="1"/>
  <c r="AG373" i="1"/>
  <c r="O373" i="1"/>
  <c r="P373" i="1" s="1"/>
  <c r="N373" i="1"/>
  <c r="M373" i="1"/>
  <c r="L373" i="1"/>
  <c r="X373" i="1" s="1"/>
  <c r="AG372" i="1"/>
  <c r="O372" i="1"/>
  <c r="P372" i="1" s="1"/>
  <c r="N372" i="1"/>
  <c r="M372" i="1"/>
  <c r="L372" i="1"/>
  <c r="X372" i="1" s="1"/>
  <c r="AG371" i="1"/>
  <c r="O371" i="1"/>
  <c r="P371" i="1" s="1"/>
  <c r="N371" i="1"/>
  <c r="M371" i="1"/>
  <c r="L371" i="1"/>
  <c r="X371" i="1" s="1"/>
  <c r="AG370" i="1"/>
  <c r="O370" i="1"/>
  <c r="P370" i="1" s="1"/>
  <c r="N370" i="1"/>
  <c r="M370" i="1"/>
  <c r="L370" i="1"/>
  <c r="AG369" i="1"/>
  <c r="O369" i="1"/>
  <c r="P369" i="1" s="1"/>
  <c r="N369" i="1"/>
  <c r="M369" i="1"/>
  <c r="L369" i="1"/>
  <c r="X369" i="1" s="1"/>
  <c r="AG368" i="1"/>
  <c r="O368" i="1"/>
  <c r="P368" i="1" s="1"/>
  <c r="N368" i="1"/>
  <c r="M368" i="1"/>
  <c r="L368" i="1"/>
  <c r="X368" i="1" s="1"/>
  <c r="AG367" i="1"/>
  <c r="O367" i="1"/>
  <c r="P367" i="1" s="1"/>
  <c r="N367" i="1"/>
  <c r="M367" i="1"/>
  <c r="L367" i="1"/>
  <c r="AG366" i="1"/>
  <c r="O366" i="1"/>
  <c r="P366" i="1" s="1"/>
  <c r="N366" i="1"/>
  <c r="M366" i="1"/>
  <c r="L366" i="1"/>
  <c r="X366" i="1" s="1"/>
  <c r="AG365" i="1"/>
  <c r="O365" i="1"/>
  <c r="P365" i="1" s="1"/>
  <c r="N365" i="1"/>
  <c r="M365" i="1"/>
  <c r="L365" i="1"/>
  <c r="AG364" i="1"/>
  <c r="O364" i="1"/>
  <c r="P364" i="1" s="1"/>
  <c r="N364" i="1"/>
  <c r="M364" i="1"/>
  <c r="L364" i="1"/>
  <c r="X364" i="1" s="1"/>
  <c r="AG363" i="1"/>
  <c r="O363" i="1"/>
  <c r="P363" i="1" s="1"/>
  <c r="N363" i="1"/>
  <c r="M363" i="1"/>
  <c r="L363" i="1"/>
  <c r="AG362" i="1"/>
  <c r="O362" i="1"/>
  <c r="P362" i="1" s="1"/>
  <c r="N362" i="1"/>
  <c r="M362" i="1"/>
  <c r="L362" i="1"/>
  <c r="X362" i="1" s="1"/>
  <c r="AG361" i="1"/>
  <c r="O361" i="1"/>
  <c r="P361" i="1" s="1"/>
  <c r="N361" i="1"/>
  <c r="M361" i="1"/>
  <c r="L361" i="1"/>
  <c r="AG360" i="1"/>
  <c r="O360" i="1"/>
  <c r="P360" i="1" s="1"/>
  <c r="N360" i="1"/>
  <c r="M360" i="1"/>
  <c r="L360" i="1"/>
  <c r="X360" i="1" s="1"/>
  <c r="AG359" i="1"/>
  <c r="O359" i="1"/>
  <c r="P359" i="1" s="1"/>
  <c r="N359" i="1"/>
  <c r="M359" i="1"/>
  <c r="L359" i="1"/>
  <c r="AG358" i="1"/>
  <c r="O358" i="1"/>
  <c r="P358" i="1" s="1"/>
  <c r="N358" i="1"/>
  <c r="M358" i="1"/>
  <c r="L358" i="1"/>
  <c r="X358" i="1" s="1"/>
  <c r="AG357" i="1"/>
  <c r="O357" i="1"/>
  <c r="P357" i="1" s="1"/>
  <c r="N357" i="1"/>
  <c r="M357" i="1"/>
  <c r="L357" i="1"/>
  <c r="AG356" i="1"/>
  <c r="O356" i="1"/>
  <c r="P356" i="1" s="1"/>
  <c r="N356" i="1"/>
  <c r="M356" i="1"/>
  <c r="L356" i="1"/>
  <c r="X356" i="1" s="1"/>
  <c r="AG355" i="1"/>
  <c r="O355" i="1"/>
  <c r="P355" i="1" s="1"/>
  <c r="N355" i="1"/>
  <c r="M355" i="1"/>
  <c r="L355" i="1"/>
  <c r="AG354" i="1"/>
  <c r="X354" i="1"/>
  <c r="O354" i="1"/>
  <c r="P354" i="1" s="1"/>
  <c r="N354" i="1"/>
  <c r="M354" i="1"/>
  <c r="L354" i="1"/>
  <c r="AG353" i="1"/>
  <c r="O353" i="1"/>
  <c r="P353" i="1" s="1"/>
  <c r="N353" i="1"/>
  <c r="M353" i="1"/>
  <c r="L353" i="1"/>
  <c r="AG352" i="1"/>
  <c r="O352" i="1"/>
  <c r="P352" i="1" s="1"/>
  <c r="N352" i="1"/>
  <c r="M352" i="1"/>
  <c r="L352" i="1"/>
  <c r="X352" i="1" s="1"/>
  <c r="AG351" i="1"/>
  <c r="O351" i="1"/>
  <c r="P351" i="1" s="1"/>
  <c r="N351" i="1"/>
  <c r="M351" i="1"/>
  <c r="L351" i="1"/>
  <c r="AG350" i="1"/>
  <c r="X350" i="1"/>
  <c r="O350" i="1"/>
  <c r="P350" i="1" s="1"/>
  <c r="N350" i="1"/>
  <c r="M350" i="1"/>
  <c r="L350" i="1"/>
  <c r="AG349" i="1"/>
  <c r="O349" i="1"/>
  <c r="P349" i="1" s="1"/>
  <c r="N349" i="1"/>
  <c r="M349" i="1"/>
  <c r="L349" i="1"/>
  <c r="AG348" i="1"/>
  <c r="O348" i="1"/>
  <c r="P348" i="1" s="1"/>
  <c r="N348" i="1"/>
  <c r="M348" i="1"/>
  <c r="L348" i="1"/>
  <c r="X348" i="1" s="1"/>
  <c r="AG347" i="1"/>
  <c r="O347" i="1"/>
  <c r="P347" i="1" s="1"/>
  <c r="N347" i="1"/>
  <c r="M347" i="1"/>
  <c r="L347" i="1"/>
  <c r="AG346" i="1"/>
  <c r="O346" i="1"/>
  <c r="P346" i="1" s="1"/>
  <c r="N346" i="1"/>
  <c r="M346" i="1"/>
  <c r="L346" i="1"/>
  <c r="X346" i="1" s="1"/>
  <c r="AG345" i="1"/>
  <c r="O345" i="1"/>
  <c r="P345" i="1" s="1"/>
  <c r="N345" i="1"/>
  <c r="M345" i="1"/>
  <c r="L345" i="1"/>
  <c r="AG344" i="1"/>
  <c r="O344" i="1"/>
  <c r="P344" i="1" s="1"/>
  <c r="N344" i="1"/>
  <c r="M344" i="1"/>
  <c r="L344" i="1"/>
  <c r="X344" i="1" s="1"/>
  <c r="AG343" i="1"/>
  <c r="O343" i="1"/>
  <c r="P343" i="1" s="1"/>
  <c r="N343" i="1"/>
  <c r="M343" i="1"/>
  <c r="L343" i="1"/>
  <c r="AG342" i="1"/>
  <c r="O342" i="1"/>
  <c r="P342" i="1" s="1"/>
  <c r="N342" i="1"/>
  <c r="M342" i="1"/>
  <c r="L342" i="1"/>
  <c r="X342" i="1" s="1"/>
  <c r="AG341" i="1"/>
  <c r="O341" i="1"/>
  <c r="P341" i="1" s="1"/>
  <c r="N341" i="1"/>
  <c r="M341" i="1"/>
  <c r="L341" i="1"/>
  <c r="AG340" i="1"/>
  <c r="O340" i="1"/>
  <c r="P340" i="1" s="1"/>
  <c r="N340" i="1"/>
  <c r="M340" i="1"/>
  <c r="L340" i="1"/>
  <c r="X340" i="1" s="1"/>
  <c r="AG339" i="1"/>
  <c r="O339" i="1"/>
  <c r="P339" i="1" s="1"/>
  <c r="N339" i="1"/>
  <c r="M339" i="1"/>
  <c r="L339" i="1"/>
  <c r="AG338" i="1"/>
  <c r="O338" i="1"/>
  <c r="P338" i="1" s="1"/>
  <c r="N338" i="1"/>
  <c r="M338" i="1"/>
  <c r="L338" i="1"/>
  <c r="X338" i="1" s="1"/>
  <c r="AG337" i="1"/>
  <c r="O337" i="1"/>
  <c r="P337" i="1" s="1"/>
  <c r="N337" i="1"/>
  <c r="M337" i="1"/>
  <c r="L337" i="1"/>
  <c r="X337" i="1" s="1"/>
  <c r="AG336" i="1"/>
  <c r="O336" i="1"/>
  <c r="P336" i="1" s="1"/>
  <c r="N336" i="1"/>
  <c r="M336" i="1"/>
  <c r="L336" i="1"/>
  <c r="AG335" i="1"/>
  <c r="O335" i="1"/>
  <c r="P335" i="1" s="1"/>
  <c r="N335" i="1"/>
  <c r="M335" i="1"/>
  <c r="L335" i="1"/>
  <c r="X335" i="1" s="1"/>
  <c r="AG334" i="1"/>
  <c r="P334" i="1"/>
  <c r="O334" i="1"/>
  <c r="N334" i="1"/>
  <c r="M334" i="1"/>
  <c r="L334" i="1"/>
  <c r="X334" i="1" s="1"/>
  <c r="AG333" i="1"/>
  <c r="X333" i="1"/>
  <c r="O333" i="1"/>
  <c r="P333" i="1" s="1"/>
  <c r="N333" i="1"/>
  <c r="M333" i="1"/>
  <c r="L333" i="1"/>
  <c r="AG332" i="1"/>
  <c r="O332" i="1"/>
  <c r="P332" i="1" s="1"/>
  <c r="N332" i="1"/>
  <c r="M332" i="1"/>
  <c r="L332" i="1"/>
  <c r="AG331" i="1"/>
  <c r="O331" i="1"/>
  <c r="P331" i="1" s="1"/>
  <c r="N331" i="1"/>
  <c r="M331" i="1"/>
  <c r="L331" i="1"/>
  <c r="X331" i="1" s="1"/>
  <c r="AG330" i="1"/>
  <c r="P330" i="1"/>
  <c r="O330" i="1"/>
  <c r="N330" i="1"/>
  <c r="M330" i="1"/>
  <c r="L330" i="1"/>
  <c r="X330" i="1" s="1"/>
  <c r="AG329" i="1"/>
  <c r="X329" i="1"/>
  <c r="O329" i="1"/>
  <c r="P329" i="1" s="1"/>
  <c r="N329" i="1"/>
  <c r="M329" i="1"/>
  <c r="L329" i="1"/>
  <c r="AG328" i="1"/>
  <c r="O328" i="1"/>
  <c r="N328" i="1"/>
  <c r="M328" i="1"/>
  <c r="Q328" i="1" s="1"/>
  <c r="L328" i="1"/>
  <c r="AG327" i="1"/>
  <c r="O327" i="1"/>
  <c r="N327" i="1"/>
  <c r="M327" i="1"/>
  <c r="Q327" i="1" s="1"/>
  <c r="L327" i="1"/>
  <c r="AG326" i="1"/>
  <c r="X326" i="1"/>
  <c r="O326" i="1"/>
  <c r="N326" i="1"/>
  <c r="M326" i="1"/>
  <c r="Q326" i="1" s="1"/>
  <c r="L326" i="1"/>
  <c r="W326" i="1" s="1"/>
  <c r="AG325" i="1"/>
  <c r="O325" i="1"/>
  <c r="N325" i="1"/>
  <c r="M325" i="1"/>
  <c r="Q325" i="1" s="1"/>
  <c r="L325" i="1"/>
  <c r="AG324" i="1"/>
  <c r="O324" i="1"/>
  <c r="N324" i="1"/>
  <c r="M324" i="1"/>
  <c r="Q324" i="1" s="1"/>
  <c r="L324" i="1"/>
  <c r="AG323" i="1"/>
  <c r="O323" i="1"/>
  <c r="N323" i="1"/>
  <c r="M323" i="1"/>
  <c r="Q323" i="1" s="1"/>
  <c r="P323" i="1" s="1"/>
  <c r="L323" i="1"/>
  <c r="AG322" i="1"/>
  <c r="O322" i="1"/>
  <c r="N322" i="1"/>
  <c r="M322" i="1"/>
  <c r="Q322" i="1" s="1"/>
  <c r="L322" i="1"/>
  <c r="W322" i="1" s="1"/>
  <c r="Y322" i="1" s="1"/>
  <c r="AG321" i="1"/>
  <c r="O321" i="1"/>
  <c r="N321" i="1"/>
  <c r="M321" i="1"/>
  <c r="Q321" i="1" s="1"/>
  <c r="L321" i="1"/>
  <c r="X321" i="1" s="1"/>
  <c r="AG320" i="1"/>
  <c r="X320" i="1"/>
  <c r="Q320" i="1"/>
  <c r="P320" i="1" s="1"/>
  <c r="O320" i="1"/>
  <c r="N320" i="1"/>
  <c r="M320" i="1"/>
  <c r="L320" i="1"/>
  <c r="AG319" i="1"/>
  <c r="O319" i="1"/>
  <c r="N319" i="1"/>
  <c r="M319" i="1"/>
  <c r="Q319" i="1" s="1"/>
  <c r="P319" i="1" s="1"/>
  <c r="L319" i="1"/>
  <c r="X319" i="1" s="1"/>
  <c r="AG318" i="1"/>
  <c r="O318" i="1"/>
  <c r="N318" i="1"/>
  <c r="M318" i="1"/>
  <c r="Q318" i="1" s="1"/>
  <c r="P318" i="1" s="1"/>
  <c r="L318" i="1"/>
  <c r="X318" i="1" s="1"/>
  <c r="AG317" i="1"/>
  <c r="O317" i="1"/>
  <c r="N317" i="1"/>
  <c r="M317" i="1"/>
  <c r="Q317" i="1" s="1"/>
  <c r="L317" i="1"/>
  <c r="AG316" i="1"/>
  <c r="W316" i="1"/>
  <c r="AA316" i="1" s="1"/>
  <c r="AB316" i="1" s="1"/>
  <c r="Q316" i="1"/>
  <c r="O316" i="1"/>
  <c r="N316" i="1"/>
  <c r="M316" i="1"/>
  <c r="L316" i="1"/>
  <c r="X316" i="1" s="1"/>
  <c r="AG315" i="1"/>
  <c r="O315" i="1"/>
  <c r="N315" i="1"/>
  <c r="M315" i="1"/>
  <c r="Q315" i="1" s="1"/>
  <c r="L315" i="1"/>
  <c r="AG314" i="1"/>
  <c r="O314" i="1"/>
  <c r="N314" i="1"/>
  <c r="M314" i="1"/>
  <c r="Q314" i="1" s="1"/>
  <c r="L314" i="1"/>
  <c r="W314" i="1" s="1"/>
  <c r="AG313" i="1"/>
  <c r="O313" i="1"/>
  <c r="N313" i="1"/>
  <c r="M313" i="1"/>
  <c r="Q313" i="1" s="1"/>
  <c r="L313" i="1"/>
  <c r="X313" i="1" s="1"/>
  <c r="AG312" i="1"/>
  <c r="O312" i="1"/>
  <c r="P312" i="1" s="1"/>
  <c r="N312" i="1"/>
  <c r="M312" i="1"/>
  <c r="L312" i="1"/>
  <c r="AG311" i="1"/>
  <c r="O311" i="1"/>
  <c r="P311" i="1" s="1"/>
  <c r="N311" i="1"/>
  <c r="M311" i="1"/>
  <c r="L311" i="1"/>
  <c r="X311" i="1" s="1"/>
  <c r="AG310" i="1"/>
  <c r="O310" i="1"/>
  <c r="P310" i="1" s="1"/>
  <c r="N310" i="1"/>
  <c r="M310" i="1"/>
  <c r="L310" i="1"/>
  <c r="X310" i="1" s="1"/>
  <c r="AG309" i="1"/>
  <c r="O309" i="1"/>
  <c r="P309" i="1" s="1"/>
  <c r="N309" i="1"/>
  <c r="M309" i="1"/>
  <c r="L309" i="1"/>
  <c r="X309" i="1" s="1"/>
  <c r="AG308" i="1"/>
  <c r="O308" i="1"/>
  <c r="P308" i="1" s="1"/>
  <c r="N308" i="1"/>
  <c r="M308" i="1"/>
  <c r="L308" i="1"/>
  <c r="AG307" i="1"/>
  <c r="O307" i="1"/>
  <c r="P307" i="1" s="1"/>
  <c r="N307" i="1"/>
  <c r="M307" i="1"/>
  <c r="L307" i="1"/>
  <c r="X307" i="1" s="1"/>
  <c r="AG306" i="1"/>
  <c r="O306" i="1"/>
  <c r="P306" i="1" s="1"/>
  <c r="N306" i="1"/>
  <c r="M306" i="1"/>
  <c r="L306" i="1"/>
  <c r="X306" i="1" s="1"/>
  <c r="AG305" i="1"/>
  <c r="O305" i="1"/>
  <c r="P305" i="1" s="1"/>
  <c r="N305" i="1"/>
  <c r="M305" i="1"/>
  <c r="L305" i="1"/>
  <c r="X305" i="1" s="1"/>
  <c r="AG304" i="1"/>
  <c r="O304" i="1"/>
  <c r="P304" i="1" s="1"/>
  <c r="N304" i="1"/>
  <c r="M304" i="1"/>
  <c r="L304" i="1"/>
  <c r="AG303" i="1"/>
  <c r="O303" i="1"/>
  <c r="P303" i="1" s="1"/>
  <c r="N303" i="1"/>
  <c r="M303" i="1"/>
  <c r="L303" i="1"/>
  <c r="X303" i="1" s="1"/>
  <c r="AG302" i="1"/>
  <c r="O302" i="1"/>
  <c r="P302" i="1" s="1"/>
  <c r="N302" i="1"/>
  <c r="M302" i="1"/>
  <c r="L302" i="1"/>
  <c r="X302" i="1" s="1"/>
  <c r="AG301" i="1"/>
  <c r="O301" i="1"/>
  <c r="P301" i="1" s="1"/>
  <c r="N301" i="1"/>
  <c r="M301" i="1"/>
  <c r="L301" i="1"/>
  <c r="X301" i="1" s="1"/>
  <c r="AG300" i="1"/>
  <c r="O300" i="1"/>
  <c r="P300" i="1" s="1"/>
  <c r="N300" i="1"/>
  <c r="M300" i="1"/>
  <c r="L300" i="1"/>
  <c r="AG299" i="1"/>
  <c r="O299" i="1"/>
  <c r="P299" i="1" s="1"/>
  <c r="N299" i="1"/>
  <c r="M299" i="1"/>
  <c r="L299" i="1"/>
  <c r="X299" i="1" s="1"/>
  <c r="AG298" i="1"/>
  <c r="O298" i="1"/>
  <c r="P298" i="1" s="1"/>
  <c r="N298" i="1"/>
  <c r="M298" i="1"/>
  <c r="L298" i="1"/>
  <c r="X298" i="1" s="1"/>
  <c r="AG297" i="1"/>
  <c r="O297" i="1"/>
  <c r="P297" i="1" s="1"/>
  <c r="N297" i="1"/>
  <c r="M297" i="1"/>
  <c r="L297" i="1"/>
  <c r="X297" i="1" s="1"/>
  <c r="AG296" i="1"/>
  <c r="O296" i="1"/>
  <c r="P296" i="1" s="1"/>
  <c r="N296" i="1"/>
  <c r="M296" i="1"/>
  <c r="L296" i="1"/>
  <c r="AG295" i="1"/>
  <c r="O295" i="1"/>
  <c r="P295" i="1" s="1"/>
  <c r="N295" i="1"/>
  <c r="M295" i="1"/>
  <c r="L295" i="1"/>
  <c r="X295" i="1" s="1"/>
  <c r="AG294" i="1"/>
  <c r="P294" i="1"/>
  <c r="O294" i="1"/>
  <c r="N294" i="1"/>
  <c r="M294" i="1"/>
  <c r="L294" i="1"/>
  <c r="X294" i="1" s="1"/>
  <c r="AG293" i="1"/>
  <c r="O293" i="1"/>
  <c r="N293" i="1"/>
  <c r="M293" i="1"/>
  <c r="Q293" i="1" s="1"/>
  <c r="L293" i="1"/>
  <c r="X293" i="1" s="1"/>
  <c r="AG292" i="1"/>
  <c r="O292" i="1"/>
  <c r="P292" i="1" s="1"/>
  <c r="N292" i="1"/>
  <c r="M292" i="1"/>
  <c r="L292" i="1"/>
  <c r="X292" i="1" s="1"/>
  <c r="AG291" i="1"/>
  <c r="P291" i="1"/>
  <c r="O291" i="1"/>
  <c r="N291" i="1"/>
  <c r="M291" i="1"/>
  <c r="L291" i="1"/>
  <c r="AG290" i="1"/>
  <c r="P290" i="1"/>
  <c r="O290" i="1"/>
  <c r="N290" i="1"/>
  <c r="M290" i="1"/>
  <c r="L290" i="1"/>
  <c r="X290" i="1" s="1"/>
  <c r="AG289" i="1"/>
  <c r="O289" i="1"/>
  <c r="N289" i="1"/>
  <c r="M289" i="1"/>
  <c r="Q289" i="1" s="1"/>
  <c r="L289" i="1"/>
  <c r="X289" i="1" s="1"/>
  <c r="AG288" i="1"/>
  <c r="O288" i="1"/>
  <c r="P288" i="1" s="1"/>
  <c r="N288" i="1"/>
  <c r="M288" i="1"/>
  <c r="L288" i="1"/>
  <c r="W288" i="1" s="1"/>
  <c r="AG287" i="1"/>
  <c r="O287" i="1"/>
  <c r="P287" i="1" s="1"/>
  <c r="N287" i="1"/>
  <c r="M287" i="1"/>
  <c r="L287" i="1"/>
  <c r="X287" i="1" s="1"/>
  <c r="AG286" i="1"/>
  <c r="O286" i="1"/>
  <c r="P286" i="1" s="1"/>
  <c r="N286" i="1"/>
  <c r="M286" i="1"/>
  <c r="L286" i="1"/>
  <c r="X286" i="1" s="1"/>
  <c r="AG285" i="1"/>
  <c r="X285" i="1"/>
  <c r="W285" i="1"/>
  <c r="O285" i="1"/>
  <c r="N285" i="1"/>
  <c r="M285" i="1"/>
  <c r="Q285" i="1" s="1"/>
  <c r="L285" i="1"/>
  <c r="AG284" i="1"/>
  <c r="O284" i="1"/>
  <c r="P284" i="1" s="1"/>
  <c r="N284" i="1"/>
  <c r="M284" i="1"/>
  <c r="L284" i="1"/>
  <c r="AG283" i="1"/>
  <c r="O283" i="1"/>
  <c r="P283" i="1" s="1"/>
  <c r="N283" i="1"/>
  <c r="M283" i="1"/>
  <c r="L283" i="1"/>
  <c r="X283" i="1" s="1"/>
  <c r="AG282" i="1"/>
  <c r="P282" i="1"/>
  <c r="O282" i="1"/>
  <c r="N282" i="1"/>
  <c r="M282" i="1"/>
  <c r="L282" i="1"/>
  <c r="AG281" i="1"/>
  <c r="O281" i="1"/>
  <c r="P281" i="1" s="1"/>
  <c r="N281" i="1"/>
  <c r="M281" i="1"/>
  <c r="L281" i="1"/>
  <c r="AG280" i="1"/>
  <c r="O280" i="1"/>
  <c r="P280" i="1" s="1"/>
  <c r="N280" i="1"/>
  <c r="M280" i="1"/>
  <c r="L280" i="1"/>
  <c r="AG279" i="1"/>
  <c r="O279" i="1"/>
  <c r="P279" i="1" s="1"/>
  <c r="N279" i="1"/>
  <c r="M279" i="1"/>
  <c r="L279" i="1"/>
  <c r="AG278" i="1"/>
  <c r="O278" i="1"/>
  <c r="P278" i="1" s="1"/>
  <c r="N278" i="1"/>
  <c r="M278" i="1"/>
  <c r="L278" i="1"/>
  <c r="AG277" i="1"/>
  <c r="P277" i="1"/>
  <c r="O277" i="1"/>
  <c r="N277" i="1"/>
  <c r="M277" i="1"/>
  <c r="L277" i="1"/>
  <c r="AG276" i="1"/>
  <c r="P276" i="1"/>
  <c r="O276" i="1"/>
  <c r="N276" i="1"/>
  <c r="M276" i="1"/>
  <c r="L276" i="1"/>
  <c r="AG275" i="1"/>
  <c r="O275" i="1"/>
  <c r="P275" i="1" s="1"/>
  <c r="N275" i="1"/>
  <c r="M275" i="1"/>
  <c r="L275" i="1"/>
  <c r="AG274" i="1"/>
  <c r="O274" i="1"/>
  <c r="P274" i="1" s="1"/>
  <c r="N274" i="1"/>
  <c r="M274" i="1"/>
  <c r="L274" i="1"/>
  <c r="AG273" i="1"/>
  <c r="O273" i="1"/>
  <c r="P273" i="1" s="1"/>
  <c r="N273" i="1"/>
  <c r="M273" i="1"/>
  <c r="L273" i="1"/>
  <c r="AG272" i="1"/>
  <c r="O272" i="1"/>
  <c r="P272" i="1" s="1"/>
  <c r="N272" i="1"/>
  <c r="M272" i="1"/>
  <c r="L272" i="1"/>
  <c r="AG271" i="1"/>
  <c r="O271" i="1"/>
  <c r="P271" i="1" s="1"/>
  <c r="N271" i="1"/>
  <c r="M271" i="1"/>
  <c r="L271" i="1"/>
  <c r="AG270" i="1"/>
  <c r="P270" i="1"/>
  <c r="O270" i="1"/>
  <c r="N270" i="1"/>
  <c r="M270" i="1"/>
  <c r="L270" i="1"/>
  <c r="AG269" i="1"/>
  <c r="P269" i="1"/>
  <c r="O269" i="1"/>
  <c r="N269" i="1"/>
  <c r="M269" i="1"/>
  <c r="L269" i="1"/>
  <c r="AG268" i="1"/>
  <c r="O268" i="1"/>
  <c r="P268" i="1" s="1"/>
  <c r="N268" i="1"/>
  <c r="M268" i="1"/>
  <c r="L268" i="1"/>
  <c r="AG267" i="1"/>
  <c r="O267" i="1"/>
  <c r="P267" i="1" s="1"/>
  <c r="N267" i="1"/>
  <c r="M267" i="1"/>
  <c r="L267" i="1"/>
  <c r="AG266" i="1"/>
  <c r="O266" i="1"/>
  <c r="P266" i="1" s="1"/>
  <c r="N266" i="1"/>
  <c r="M266" i="1"/>
  <c r="L266" i="1"/>
  <c r="AG265" i="1"/>
  <c r="O265" i="1"/>
  <c r="P265" i="1" s="1"/>
  <c r="N265" i="1"/>
  <c r="M265" i="1"/>
  <c r="L265" i="1"/>
  <c r="AG264" i="1"/>
  <c r="P264" i="1"/>
  <c r="O264" i="1"/>
  <c r="N264" i="1"/>
  <c r="M264" i="1"/>
  <c r="L264" i="1"/>
  <c r="AG263" i="1"/>
  <c r="O263" i="1"/>
  <c r="P263" i="1" s="1"/>
  <c r="N263" i="1"/>
  <c r="M263" i="1"/>
  <c r="L263" i="1"/>
  <c r="AG262" i="1"/>
  <c r="O262" i="1"/>
  <c r="P262" i="1" s="1"/>
  <c r="N262" i="1"/>
  <c r="M262" i="1"/>
  <c r="L262" i="1"/>
  <c r="AG261" i="1"/>
  <c r="O261" i="1"/>
  <c r="P261" i="1" s="1"/>
  <c r="N261" i="1"/>
  <c r="M261" i="1"/>
  <c r="L261" i="1"/>
  <c r="AG260" i="1"/>
  <c r="O260" i="1"/>
  <c r="P260" i="1" s="1"/>
  <c r="N260" i="1"/>
  <c r="M260" i="1"/>
  <c r="L260" i="1"/>
  <c r="AG259" i="1"/>
  <c r="O259" i="1"/>
  <c r="P259" i="1" s="1"/>
  <c r="N259" i="1"/>
  <c r="M259" i="1"/>
  <c r="L259" i="1"/>
  <c r="AG258" i="1"/>
  <c r="O258" i="1"/>
  <c r="P258" i="1" s="1"/>
  <c r="N258" i="1"/>
  <c r="M258" i="1"/>
  <c r="L258" i="1"/>
  <c r="AG257" i="1"/>
  <c r="P257" i="1"/>
  <c r="O257" i="1"/>
  <c r="N257" i="1"/>
  <c r="M257" i="1"/>
  <c r="L257" i="1"/>
  <c r="AG256" i="1"/>
  <c r="O256" i="1"/>
  <c r="P256" i="1" s="1"/>
  <c r="N256" i="1"/>
  <c r="M256" i="1"/>
  <c r="L256" i="1"/>
  <c r="AG255" i="1"/>
  <c r="O255" i="1"/>
  <c r="P255" i="1" s="1"/>
  <c r="N255" i="1"/>
  <c r="M255" i="1"/>
  <c r="L255" i="1"/>
  <c r="AG254" i="1"/>
  <c r="O254" i="1"/>
  <c r="N254" i="1"/>
  <c r="M254" i="1"/>
  <c r="Q254" i="1" s="1"/>
  <c r="L254" i="1"/>
  <c r="AG253" i="1"/>
  <c r="O253" i="1"/>
  <c r="P253" i="1" s="1"/>
  <c r="N253" i="1"/>
  <c r="M253" i="1"/>
  <c r="L253" i="1"/>
  <c r="AG252" i="1"/>
  <c r="P252" i="1"/>
  <c r="O252" i="1"/>
  <c r="N252" i="1"/>
  <c r="M252" i="1"/>
  <c r="L252" i="1"/>
  <c r="AG251" i="1"/>
  <c r="P251" i="1"/>
  <c r="O251" i="1"/>
  <c r="N251" i="1"/>
  <c r="M251" i="1"/>
  <c r="L251" i="1"/>
  <c r="AG250" i="1"/>
  <c r="O250" i="1"/>
  <c r="P250" i="1" s="1"/>
  <c r="N250" i="1"/>
  <c r="M250" i="1"/>
  <c r="L250" i="1"/>
  <c r="AG249" i="1"/>
  <c r="O249" i="1"/>
  <c r="P249" i="1" s="1"/>
  <c r="N249" i="1"/>
  <c r="M249" i="1"/>
  <c r="L249" i="1"/>
  <c r="AG248" i="1"/>
  <c r="O248" i="1"/>
  <c r="P248" i="1" s="1"/>
  <c r="N248" i="1"/>
  <c r="M248" i="1"/>
  <c r="L248" i="1"/>
  <c r="AG247" i="1"/>
  <c r="O247" i="1"/>
  <c r="P247" i="1" s="1"/>
  <c r="N247" i="1"/>
  <c r="M247" i="1"/>
  <c r="L247" i="1"/>
  <c r="AG246" i="1"/>
  <c r="O246" i="1"/>
  <c r="P246" i="1" s="1"/>
  <c r="N246" i="1"/>
  <c r="M246" i="1"/>
  <c r="L246" i="1"/>
  <c r="AG245" i="1"/>
  <c r="O245" i="1"/>
  <c r="P245" i="1" s="1"/>
  <c r="N245" i="1"/>
  <c r="M245" i="1"/>
  <c r="L245" i="1"/>
  <c r="AG244" i="1"/>
  <c r="P244" i="1"/>
  <c r="O244" i="1"/>
  <c r="N244" i="1"/>
  <c r="M244" i="1"/>
  <c r="L244" i="1"/>
  <c r="AG243" i="1"/>
  <c r="O243" i="1"/>
  <c r="P243" i="1" s="1"/>
  <c r="N243" i="1"/>
  <c r="M243" i="1"/>
  <c r="L243" i="1"/>
  <c r="AG242" i="1"/>
  <c r="P242" i="1"/>
  <c r="O242" i="1"/>
  <c r="N242" i="1"/>
  <c r="M242" i="1"/>
  <c r="L242" i="1"/>
  <c r="AG241" i="1"/>
  <c r="O241" i="1"/>
  <c r="P241" i="1" s="1"/>
  <c r="N241" i="1"/>
  <c r="M241" i="1"/>
  <c r="L241" i="1"/>
  <c r="AG240" i="1"/>
  <c r="O240" i="1"/>
  <c r="P240" i="1" s="1"/>
  <c r="N240" i="1"/>
  <c r="M240" i="1"/>
  <c r="L240" i="1"/>
  <c r="AG239" i="1"/>
  <c r="O239" i="1"/>
  <c r="N239" i="1"/>
  <c r="M239" i="1"/>
  <c r="Q239" i="1" s="1"/>
  <c r="L239" i="1"/>
  <c r="AG238" i="1"/>
  <c r="O238" i="1"/>
  <c r="N238" i="1"/>
  <c r="M238" i="1"/>
  <c r="Q238" i="1" s="1"/>
  <c r="L238" i="1"/>
  <c r="X238" i="1" s="1"/>
  <c r="AG237" i="1"/>
  <c r="X237" i="1"/>
  <c r="O237" i="1"/>
  <c r="N237" i="1"/>
  <c r="M237" i="1"/>
  <c r="Q237" i="1" s="1"/>
  <c r="P237" i="1" s="1"/>
  <c r="L237" i="1"/>
  <c r="AG236" i="1"/>
  <c r="O236" i="1"/>
  <c r="N236" i="1"/>
  <c r="M236" i="1"/>
  <c r="Q236" i="1" s="1"/>
  <c r="L236" i="1"/>
  <c r="X236" i="1" s="1"/>
  <c r="AG235" i="1"/>
  <c r="O235" i="1"/>
  <c r="N235" i="1"/>
  <c r="M235" i="1"/>
  <c r="Q235" i="1" s="1"/>
  <c r="P235" i="1" s="1"/>
  <c r="L235" i="1"/>
  <c r="AG234" i="1"/>
  <c r="W234" i="1"/>
  <c r="O234" i="1"/>
  <c r="N234" i="1"/>
  <c r="M234" i="1"/>
  <c r="Q234" i="1" s="1"/>
  <c r="L234" i="1"/>
  <c r="X234" i="1" s="1"/>
  <c r="AG233" i="1"/>
  <c r="X233" i="1"/>
  <c r="O233" i="1"/>
  <c r="N233" i="1"/>
  <c r="M233" i="1"/>
  <c r="Q233" i="1" s="1"/>
  <c r="L233" i="1"/>
  <c r="W233" i="1" s="1"/>
  <c r="Y233" i="1" s="1"/>
  <c r="AG232" i="1"/>
  <c r="O232" i="1"/>
  <c r="N232" i="1"/>
  <c r="M232" i="1"/>
  <c r="Q232" i="1" s="1"/>
  <c r="L232" i="1"/>
  <c r="AG231" i="1"/>
  <c r="O231" i="1"/>
  <c r="N231" i="1"/>
  <c r="M231" i="1"/>
  <c r="Q231" i="1" s="1"/>
  <c r="L231" i="1"/>
  <c r="AG230" i="1"/>
  <c r="O230" i="1"/>
  <c r="N230" i="1"/>
  <c r="M230" i="1"/>
  <c r="Q230" i="1" s="1"/>
  <c r="L230" i="1"/>
  <c r="X230" i="1" s="1"/>
  <c r="AG229" i="1"/>
  <c r="O229" i="1"/>
  <c r="N229" i="1"/>
  <c r="M229" i="1"/>
  <c r="Q229" i="1" s="1"/>
  <c r="P229" i="1" s="1"/>
  <c r="L229" i="1"/>
  <c r="X229" i="1" s="1"/>
  <c r="AG228" i="1"/>
  <c r="W228" i="1"/>
  <c r="O228" i="1"/>
  <c r="N228" i="1"/>
  <c r="M228" i="1"/>
  <c r="Q228" i="1" s="1"/>
  <c r="P228" i="1" s="1"/>
  <c r="L228" i="1"/>
  <c r="X228" i="1" s="1"/>
  <c r="AG227" i="1"/>
  <c r="X227" i="1"/>
  <c r="AC227" i="1" s="1"/>
  <c r="AD227" i="1" s="1"/>
  <c r="W227" i="1"/>
  <c r="O227" i="1"/>
  <c r="P227" i="1" s="1"/>
  <c r="N227" i="1"/>
  <c r="M227" i="1"/>
  <c r="L227" i="1"/>
  <c r="AG226" i="1"/>
  <c r="X226" i="1"/>
  <c r="W226" i="1"/>
  <c r="O226" i="1"/>
  <c r="P226" i="1" s="1"/>
  <c r="N226" i="1"/>
  <c r="M226" i="1"/>
  <c r="L226" i="1"/>
  <c r="AG225" i="1"/>
  <c r="X225" i="1"/>
  <c r="O225" i="1"/>
  <c r="P225" i="1" s="1"/>
  <c r="N225" i="1"/>
  <c r="M225" i="1"/>
  <c r="L225" i="1"/>
  <c r="W225" i="1" s="1"/>
  <c r="AG224" i="1"/>
  <c r="X224" i="1"/>
  <c r="W224" i="1"/>
  <c r="O224" i="1"/>
  <c r="P224" i="1" s="1"/>
  <c r="N224" i="1"/>
  <c r="M224" i="1"/>
  <c r="L224" i="1"/>
  <c r="AG223" i="1"/>
  <c r="O223" i="1"/>
  <c r="P223" i="1" s="1"/>
  <c r="N223" i="1"/>
  <c r="M223" i="1"/>
  <c r="L223" i="1"/>
  <c r="X223" i="1" s="1"/>
  <c r="AG222" i="1"/>
  <c r="O222" i="1"/>
  <c r="P222" i="1" s="1"/>
  <c r="N222" i="1"/>
  <c r="M222" i="1"/>
  <c r="L222" i="1"/>
  <c r="X222" i="1" s="1"/>
  <c r="AG221" i="1"/>
  <c r="X221" i="1"/>
  <c r="W221" i="1"/>
  <c r="O221" i="1"/>
  <c r="P221" i="1" s="1"/>
  <c r="N221" i="1"/>
  <c r="M221" i="1"/>
  <c r="L221" i="1"/>
  <c r="AG220" i="1"/>
  <c r="W220" i="1"/>
  <c r="P220" i="1"/>
  <c r="O220" i="1"/>
  <c r="N220" i="1"/>
  <c r="M220" i="1"/>
  <c r="L220" i="1"/>
  <c r="X220" i="1" s="1"/>
  <c r="AG219" i="1"/>
  <c r="X219" i="1"/>
  <c r="W219" i="1"/>
  <c r="AC219" i="1" s="1"/>
  <c r="AD219" i="1" s="1"/>
  <c r="O219" i="1"/>
  <c r="P219" i="1" s="1"/>
  <c r="N219" i="1"/>
  <c r="M219" i="1"/>
  <c r="L219" i="1"/>
  <c r="AG218" i="1"/>
  <c r="W218" i="1"/>
  <c r="O218" i="1"/>
  <c r="P218" i="1" s="1"/>
  <c r="N218" i="1"/>
  <c r="M218" i="1"/>
  <c r="L218" i="1"/>
  <c r="X218" i="1" s="1"/>
  <c r="AG217" i="1"/>
  <c r="O217" i="1"/>
  <c r="P217" i="1" s="1"/>
  <c r="N217" i="1"/>
  <c r="M217" i="1"/>
  <c r="L217" i="1"/>
  <c r="X217" i="1" s="1"/>
  <c r="AG216" i="1"/>
  <c r="O216" i="1"/>
  <c r="P216" i="1" s="1"/>
  <c r="N216" i="1"/>
  <c r="M216" i="1"/>
  <c r="L216" i="1"/>
  <c r="X216" i="1" s="1"/>
  <c r="AG215" i="1"/>
  <c r="X215" i="1"/>
  <c r="W215" i="1"/>
  <c r="AC215" i="1" s="1"/>
  <c r="AD215" i="1" s="1"/>
  <c r="O215" i="1"/>
  <c r="P215" i="1" s="1"/>
  <c r="N215" i="1"/>
  <c r="M215" i="1"/>
  <c r="L215" i="1"/>
  <c r="AG214" i="1"/>
  <c r="W214" i="1"/>
  <c r="O214" i="1"/>
  <c r="P214" i="1" s="1"/>
  <c r="N214" i="1"/>
  <c r="M214" i="1"/>
  <c r="L214" i="1"/>
  <c r="X214" i="1" s="1"/>
  <c r="AG213" i="1"/>
  <c r="O213" i="1"/>
  <c r="P213" i="1" s="1"/>
  <c r="N213" i="1"/>
  <c r="M213" i="1"/>
  <c r="L213" i="1"/>
  <c r="W213" i="1" s="1"/>
  <c r="AG212" i="1"/>
  <c r="O212" i="1"/>
  <c r="P212" i="1" s="1"/>
  <c r="N212" i="1"/>
  <c r="M212" i="1"/>
  <c r="L212" i="1"/>
  <c r="AG211" i="1"/>
  <c r="X211" i="1"/>
  <c r="W211" i="1"/>
  <c r="O211" i="1"/>
  <c r="P211" i="1" s="1"/>
  <c r="N211" i="1"/>
  <c r="M211" i="1"/>
  <c r="L211" i="1"/>
  <c r="AG210" i="1"/>
  <c r="O210" i="1"/>
  <c r="P210" i="1" s="1"/>
  <c r="N210" i="1"/>
  <c r="M210" i="1"/>
  <c r="L210" i="1"/>
  <c r="W210" i="1" s="1"/>
  <c r="AG209" i="1"/>
  <c r="O209" i="1"/>
  <c r="P209" i="1" s="1"/>
  <c r="N209" i="1"/>
  <c r="M209" i="1"/>
  <c r="L209" i="1"/>
  <c r="X209" i="1" s="1"/>
  <c r="AG208" i="1"/>
  <c r="U208" i="1"/>
  <c r="O208" i="1"/>
  <c r="P208" i="1" s="1"/>
  <c r="N208" i="1"/>
  <c r="M208" i="1"/>
  <c r="L208" i="1"/>
  <c r="X208" i="1" s="1"/>
  <c r="AG207" i="1"/>
  <c r="O207" i="1"/>
  <c r="P207" i="1" s="1"/>
  <c r="N207" i="1"/>
  <c r="M207" i="1"/>
  <c r="L207" i="1"/>
  <c r="X207" i="1" s="1"/>
  <c r="AG206" i="1"/>
  <c r="X206" i="1"/>
  <c r="W206" i="1"/>
  <c r="O206" i="1"/>
  <c r="P206" i="1" s="1"/>
  <c r="N206" i="1"/>
  <c r="M206" i="1"/>
  <c r="L206" i="1"/>
  <c r="AG205" i="1"/>
  <c r="O205" i="1"/>
  <c r="P205" i="1" s="1"/>
  <c r="N205" i="1"/>
  <c r="M205" i="1"/>
  <c r="L205" i="1"/>
  <c r="W205" i="1" s="1"/>
  <c r="AG204" i="1"/>
  <c r="O204" i="1"/>
  <c r="P204" i="1" s="1"/>
  <c r="N204" i="1"/>
  <c r="M204" i="1"/>
  <c r="L204" i="1"/>
  <c r="AG203" i="1"/>
  <c r="O203" i="1"/>
  <c r="P203" i="1" s="1"/>
  <c r="N203" i="1"/>
  <c r="M203" i="1"/>
  <c r="L203" i="1"/>
  <c r="X203" i="1" s="1"/>
  <c r="AG202" i="1"/>
  <c r="O202" i="1"/>
  <c r="P202" i="1" s="1"/>
  <c r="N202" i="1"/>
  <c r="M202" i="1"/>
  <c r="L202" i="1"/>
  <c r="X202" i="1" s="1"/>
  <c r="AG201" i="1"/>
  <c r="O201" i="1"/>
  <c r="P201" i="1" s="1"/>
  <c r="N201" i="1"/>
  <c r="M201" i="1"/>
  <c r="L201" i="1"/>
  <c r="X201" i="1" s="1"/>
  <c r="AG200" i="1"/>
  <c r="W200" i="1"/>
  <c r="AC200" i="1" s="1"/>
  <c r="AD200" i="1" s="1"/>
  <c r="O200" i="1"/>
  <c r="P200" i="1" s="1"/>
  <c r="N200" i="1"/>
  <c r="M200" i="1"/>
  <c r="L200" i="1"/>
  <c r="X200" i="1" s="1"/>
  <c r="AG199" i="1"/>
  <c r="W199" i="1"/>
  <c r="AA199" i="1" s="1"/>
  <c r="AE199" i="1" s="1"/>
  <c r="AF199" i="1" s="1"/>
  <c r="O199" i="1"/>
  <c r="P199" i="1" s="1"/>
  <c r="N199" i="1"/>
  <c r="M199" i="1"/>
  <c r="L199" i="1"/>
  <c r="X199" i="1" s="1"/>
  <c r="AG198" i="1"/>
  <c r="O198" i="1"/>
  <c r="P198" i="1" s="1"/>
  <c r="N198" i="1"/>
  <c r="M198" i="1"/>
  <c r="L198" i="1"/>
  <c r="X198" i="1" s="1"/>
  <c r="AG197" i="1"/>
  <c r="O197" i="1"/>
  <c r="P197" i="1" s="1"/>
  <c r="N197" i="1"/>
  <c r="M197" i="1"/>
  <c r="L197" i="1"/>
  <c r="AG196" i="1"/>
  <c r="O196" i="1"/>
  <c r="P196" i="1" s="1"/>
  <c r="N196" i="1"/>
  <c r="M196" i="1"/>
  <c r="L196" i="1"/>
  <c r="AG195" i="1"/>
  <c r="O195" i="1"/>
  <c r="P195" i="1" s="1"/>
  <c r="N195" i="1"/>
  <c r="M195" i="1"/>
  <c r="L195" i="1"/>
  <c r="AG194" i="1"/>
  <c r="O194" i="1"/>
  <c r="P194" i="1" s="1"/>
  <c r="N194" i="1"/>
  <c r="M194" i="1"/>
  <c r="L194" i="1"/>
  <c r="AG193" i="1"/>
  <c r="O193" i="1"/>
  <c r="P193" i="1" s="1"/>
  <c r="N193" i="1"/>
  <c r="M193" i="1"/>
  <c r="L193" i="1"/>
  <c r="AG192" i="1"/>
  <c r="O192" i="1"/>
  <c r="P192" i="1" s="1"/>
  <c r="N192" i="1"/>
  <c r="M192" i="1"/>
  <c r="L192" i="1"/>
  <c r="AG191" i="1"/>
  <c r="O191" i="1"/>
  <c r="P191" i="1" s="1"/>
  <c r="N191" i="1"/>
  <c r="M191" i="1"/>
  <c r="L191" i="1"/>
  <c r="AG190" i="1"/>
  <c r="O190" i="1"/>
  <c r="P190" i="1" s="1"/>
  <c r="N190" i="1"/>
  <c r="M190" i="1"/>
  <c r="L190" i="1"/>
  <c r="AG189" i="1"/>
  <c r="O189" i="1"/>
  <c r="P189" i="1" s="1"/>
  <c r="N189" i="1"/>
  <c r="M189" i="1"/>
  <c r="L189" i="1"/>
  <c r="AG188" i="1"/>
  <c r="O188" i="1"/>
  <c r="P188" i="1" s="1"/>
  <c r="N188" i="1"/>
  <c r="M188" i="1"/>
  <c r="L188" i="1"/>
  <c r="AG187" i="1"/>
  <c r="O187" i="1"/>
  <c r="P187" i="1" s="1"/>
  <c r="N187" i="1"/>
  <c r="M187" i="1"/>
  <c r="L187" i="1"/>
  <c r="AG186" i="1"/>
  <c r="O186" i="1"/>
  <c r="P186" i="1" s="1"/>
  <c r="N186" i="1"/>
  <c r="M186" i="1"/>
  <c r="L186" i="1"/>
  <c r="AG185" i="1"/>
  <c r="O185" i="1"/>
  <c r="P185" i="1" s="1"/>
  <c r="N185" i="1"/>
  <c r="M185" i="1"/>
  <c r="L185" i="1"/>
  <c r="AG184" i="1"/>
  <c r="O184" i="1"/>
  <c r="P184" i="1" s="1"/>
  <c r="N184" i="1"/>
  <c r="M184" i="1"/>
  <c r="L184" i="1"/>
  <c r="AG183" i="1"/>
  <c r="O183" i="1"/>
  <c r="P183" i="1" s="1"/>
  <c r="N183" i="1"/>
  <c r="M183" i="1"/>
  <c r="L183" i="1"/>
  <c r="AG182" i="1"/>
  <c r="O182" i="1"/>
  <c r="P182" i="1" s="1"/>
  <c r="N182" i="1"/>
  <c r="M182" i="1"/>
  <c r="L182" i="1"/>
  <c r="AG181" i="1"/>
  <c r="O181" i="1"/>
  <c r="P181" i="1" s="1"/>
  <c r="N181" i="1"/>
  <c r="M181" i="1"/>
  <c r="L181" i="1"/>
  <c r="AG180" i="1"/>
  <c r="O180" i="1"/>
  <c r="P180" i="1" s="1"/>
  <c r="N180" i="1"/>
  <c r="M180" i="1"/>
  <c r="L180" i="1"/>
  <c r="AG179" i="1"/>
  <c r="O179" i="1"/>
  <c r="P179" i="1" s="1"/>
  <c r="N179" i="1"/>
  <c r="M179" i="1"/>
  <c r="L179" i="1"/>
  <c r="AG178" i="1"/>
  <c r="O178" i="1"/>
  <c r="P178" i="1" s="1"/>
  <c r="N178" i="1"/>
  <c r="M178" i="1"/>
  <c r="L178" i="1"/>
  <c r="AG177" i="1"/>
  <c r="O177" i="1"/>
  <c r="P177" i="1" s="1"/>
  <c r="N177" i="1"/>
  <c r="M177" i="1"/>
  <c r="L177" i="1"/>
  <c r="AG176" i="1"/>
  <c r="O176" i="1"/>
  <c r="P176" i="1" s="1"/>
  <c r="N176" i="1"/>
  <c r="M176" i="1"/>
  <c r="L176" i="1"/>
  <c r="AG175" i="1"/>
  <c r="O175" i="1"/>
  <c r="P175" i="1" s="1"/>
  <c r="N175" i="1"/>
  <c r="M175" i="1"/>
  <c r="L175" i="1"/>
  <c r="AG174" i="1"/>
  <c r="O174" i="1"/>
  <c r="P174" i="1" s="1"/>
  <c r="N174" i="1"/>
  <c r="M174" i="1"/>
  <c r="L174" i="1"/>
  <c r="AG173" i="1"/>
  <c r="O173" i="1"/>
  <c r="P173" i="1" s="1"/>
  <c r="N173" i="1"/>
  <c r="M173" i="1"/>
  <c r="L173" i="1"/>
  <c r="AG172" i="1"/>
  <c r="O172" i="1"/>
  <c r="P172" i="1" s="1"/>
  <c r="N172" i="1"/>
  <c r="M172" i="1"/>
  <c r="L172" i="1"/>
  <c r="AG171" i="1"/>
  <c r="O171" i="1"/>
  <c r="P171" i="1" s="1"/>
  <c r="N171" i="1"/>
  <c r="M171" i="1"/>
  <c r="L171" i="1"/>
  <c r="AG170" i="1"/>
  <c r="O170" i="1"/>
  <c r="P170" i="1" s="1"/>
  <c r="N170" i="1"/>
  <c r="M170" i="1"/>
  <c r="L170" i="1"/>
  <c r="AG169" i="1"/>
  <c r="O169" i="1"/>
  <c r="P169" i="1" s="1"/>
  <c r="N169" i="1"/>
  <c r="M169" i="1"/>
  <c r="L169" i="1"/>
  <c r="AG168" i="1"/>
  <c r="O168" i="1"/>
  <c r="P168" i="1" s="1"/>
  <c r="N168" i="1"/>
  <c r="M168" i="1"/>
  <c r="L168" i="1"/>
  <c r="AG167" i="1"/>
  <c r="O167" i="1"/>
  <c r="P167" i="1" s="1"/>
  <c r="N167" i="1"/>
  <c r="M167" i="1"/>
  <c r="L167" i="1"/>
  <c r="AG166" i="1"/>
  <c r="O166" i="1"/>
  <c r="P166" i="1" s="1"/>
  <c r="N166" i="1"/>
  <c r="M166" i="1"/>
  <c r="L166" i="1"/>
  <c r="AG165" i="1"/>
  <c r="O165" i="1"/>
  <c r="P165" i="1" s="1"/>
  <c r="N165" i="1"/>
  <c r="M165" i="1"/>
  <c r="L165" i="1"/>
  <c r="AG164" i="1"/>
  <c r="O164" i="1"/>
  <c r="P164" i="1" s="1"/>
  <c r="N164" i="1"/>
  <c r="M164" i="1"/>
  <c r="L164" i="1"/>
  <c r="AG163" i="1"/>
  <c r="O163" i="1"/>
  <c r="P163" i="1" s="1"/>
  <c r="N163" i="1"/>
  <c r="M163" i="1"/>
  <c r="L163" i="1"/>
  <c r="AG162" i="1"/>
  <c r="O162" i="1"/>
  <c r="P162" i="1" s="1"/>
  <c r="N162" i="1"/>
  <c r="M162" i="1"/>
  <c r="L162" i="1"/>
  <c r="AG161" i="1"/>
  <c r="O161" i="1"/>
  <c r="P161" i="1" s="1"/>
  <c r="N161" i="1"/>
  <c r="M161" i="1"/>
  <c r="L161" i="1"/>
  <c r="AG160" i="1"/>
  <c r="O160" i="1"/>
  <c r="P160" i="1" s="1"/>
  <c r="N160" i="1"/>
  <c r="M160" i="1"/>
  <c r="L160" i="1"/>
  <c r="AG159" i="1"/>
  <c r="O159" i="1"/>
  <c r="P159" i="1" s="1"/>
  <c r="N159" i="1"/>
  <c r="M159" i="1"/>
  <c r="L159" i="1"/>
  <c r="AG158" i="1"/>
  <c r="O158" i="1"/>
  <c r="P158" i="1" s="1"/>
  <c r="N158" i="1"/>
  <c r="M158" i="1"/>
  <c r="L158" i="1"/>
  <c r="AG157" i="1"/>
  <c r="O157" i="1"/>
  <c r="P157" i="1" s="1"/>
  <c r="N157" i="1"/>
  <c r="M157" i="1"/>
  <c r="L157" i="1"/>
  <c r="AG156" i="1"/>
  <c r="O156" i="1"/>
  <c r="P156" i="1" s="1"/>
  <c r="N156" i="1"/>
  <c r="M156" i="1"/>
  <c r="L156" i="1"/>
  <c r="AG155" i="1"/>
  <c r="O155" i="1"/>
  <c r="P155" i="1" s="1"/>
  <c r="N155" i="1"/>
  <c r="M155" i="1"/>
  <c r="L155" i="1"/>
  <c r="AG154" i="1"/>
  <c r="O154" i="1"/>
  <c r="P154" i="1" s="1"/>
  <c r="N154" i="1"/>
  <c r="M154" i="1"/>
  <c r="L154" i="1"/>
  <c r="AG153" i="1"/>
  <c r="O153" i="1"/>
  <c r="P153" i="1" s="1"/>
  <c r="N153" i="1"/>
  <c r="M153" i="1"/>
  <c r="L153" i="1"/>
  <c r="AG152" i="1"/>
  <c r="O152" i="1"/>
  <c r="P152" i="1" s="1"/>
  <c r="N152" i="1"/>
  <c r="M152" i="1"/>
  <c r="L152" i="1"/>
  <c r="AG151" i="1"/>
  <c r="O151" i="1"/>
  <c r="P151" i="1" s="1"/>
  <c r="N151" i="1"/>
  <c r="M151" i="1"/>
  <c r="L151" i="1"/>
  <c r="AG150" i="1"/>
  <c r="O150" i="1"/>
  <c r="P150" i="1" s="1"/>
  <c r="N150" i="1"/>
  <c r="M150" i="1"/>
  <c r="L150" i="1"/>
  <c r="AG149" i="1"/>
  <c r="O149" i="1"/>
  <c r="P149" i="1" s="1"/>
  <c r="N149" i="1"/>
  <c r="M149" i="1"/>
  <c r="L149" i="1"/>
  <c r="AG148" i="1"/>
  <c r="O148" i="1"/>
  <c r="P148" i="1" s="1"/>
  <c r="N148" i="1"/>
  <c r="M148" i="1"/>
  <c r="L148" i="1"/>
  <c r="AG147" i="1"/>
  <c r="O147" i="1"/>
  <c r="P147" i="1" s="1"/>
  <c r="N147" i="1"/>
  <c r="M147" i="1"/>
  <c r="L147" i="1"/>
  <c r="AG146" i="1"/>
  <c r="O146" i="1"/>
  <c r="P146" i="1" s="1"/>
  <c r="N146" i="1"/>
  <c r="M146" i="1"/>
  <c r="L146" i="1"/>
  <c r="AG145" i="1"/>
  <c r="O145" i="1"/>
  <c r="N145" i="1"/>
  <c r="M145" i="1"/>
  <c r="Q145" i="1" s="1"/>
  <c r="L145" i="1"/>
  <c r="AG144" i="1"/>
  <c r="X144" i="1"/>
  <c r="W144" i="1"/>
  <c r="Y144" i="1" s="1"/>
  <c r="O144" i="1"/>
  <c r="N144" i="1"/>
  <c r="M144" i="1"/>
  <c r="Q144" i="1" s="1"/>
  <c r="P144" i="1" s="1"/>
  <c r="L144" i="1"/>
  <c r="AG143" i="1"/>
  <c r="Q143" i="1"/>
  <c r="O143" i="1"/>
  <c r="N143" i="1"/>
  <c r="M143" i="1"/>
  <c r="L143" i="1"/>
  <c r="X143" i="1" s="1"/>
  <c r="AG142" i="1"/>
  <c r="O142" i="1"/>
  <c r="N142" i="1"/>
  <c r="M142" i="1"/>
  <c r="Q142" i="1" s="1"/>
  <c r="L142" i="1"/>
  <c r="X142" i="1" s="1"/>
  <c r="AG141" i="1"/>
  <c r="O141" i="1"/>
  <c r="N141" i="1"/>
  <c r="M141" i="1"/>
  <c r="Q141" i="1" s="1"/>
  <c r="P141" i="1" s="1"/>
  <c r="L141" i="1"/>
  <c r="W141" i="1" s="1"/>
  <c r="AG140" i="1"/>
  <c r="O140" i="1"/>
  <c r="P140" i="1" s="1"/>
  <c r="N140" i="1"/>
  <c r="M140" i="1"/>
  <c r="L140" i="1"/>
  <c r="W140" i="1" s="1"/>
  <c r="AG139" i="1"/>
  <c r="O139" i="1"/>
  <c r="P139" i="1" s="1"/>
  <c r="N139" i="1"/>
  <c r="M139" i="1"/>
  <c r="L139" i="1"/>
  <c r="W139" i="1" s="1"/>
  <c r="AG138" i="1"/>
  <c r="P138" i="1"/>
  <c r="O138" i="1"/>
  <c r="N138" i="1"/>
  <c r="M138" i="1"/>
  <c r="L138" i="1"/>
  <c r="W138" i="1" s="1"/>
  <c r="AG137" i="1"/>
  <c r="P137" i="1"/>
  <c r="O137" i="1"/>
  <c r="N137" i="1"/>
  <c r="M137" i="1"/>
  <c r="L137" i="1"/>
  <c r="X137" i="1" s="1"/>
  <c r="AG136" i="1"/>
  <c r="X136" i="1"/>
  <c r="O136" i="1"/>
  <c r="P136" i="1" s="1"/>
  <c r="N136" i="1"/>
  <c r="M136" i="1"/>
  <c r="L136" i="1"/>
  <c r="W136" i="1" s="1"/>
  <c r="AG135" i="1"/>
  <c r="X135" i="1"/>
  <c r="W135" i="1"/>
  <c r="AA135" i="1" s="1"/>
  <c r="AE135" i="1" s="1"/>
  <c r="AF135" i="1" s="1"/>
  <c r="O135" i="1"/>
  <c r="P135" i="1" s="1"/>
  <c r="N135" i="1"/>
  <c r="M135" i="1"/>
  <c r="L135" i="1"/>
  <c r="AG134" i="1"/>
  <c r="W134" i="1"/>
  <c r="P134" i="1"/>
  <c r="O134" i="1"/>
  <c r="N134" i="1"/>
  <c r="M134" i="1"/>
  <c r="L134" i="1"/>
  <c r="X134" i="1" s="1"/>
  <c r="AG133" i="1"/>
  <c r="X133" i="1"/>
  <c r="W133" i="1"/>
  <c r="Y133" i="1" s="1"/>
  <c r="O133" i="1"/>
  <c r="P133" i="1" s="1"/>
  <c r="N133" i="1"/>
  <c r="M133" i="1"/>
  <c r="L133" i="1"/>
  <c r="AG132" i="1"/>
  <c r="X132" i="1"/>
  <c r="O132" i="1"/>
  <c r="P132" i="1" s="1"/>
  <c r="N132" i="1"/>
  <c r="M132" i="1"/>
  <c r="L132" i="1"/>
  <c r="W132" i="1" s="1"/>
  <c r="AG131" i="1"/>
  <c r="O131" i="1"/>
  <c r="P131" i="1" s="1"/>
  <c r="N131" i="1"/>
  <c r="M131" i="1"/>
  <c r="L131" i="1"/>
  <c r="AG130" i="1"/>
  <c r="O130" i="1"/>
  <c r="P130" i="1" s="1"/>
  <c r="N130" i="1"/>
  <c r="M130" i="1"/>
  <c r="L130" i="1"/>
  <c r="X130" i="1" s="1"/>
  <c r="AG129" i="1"/>
  <c r="O129" i="1"/>
  <c r="P129" i="1" s="1"/>
  <c r="N129" i="1"/>
  <c r="M129" i="1"/>
  <c r="L129" i="1"/>
  <c r="X129" i="1" s="1"/>
  <c r="AG128" i="1"/>
  <c r="O128" i="1"/>
  <c r="P128" i="1" s="1"/>
  <c r="N128" i="1"/>
  <c r="M128" i="1"/>
  <c r="L128" i="1"/>
  <c r="W128" i="1" s="1"/>
  <c r="AG127" i="1"/>
  <c r="O127" i="1"/>
  <c r="P127" i="1" s="1"/>
  <c r="N127" i="1"/>
  <c r="M127" i="1"/>
  <c r="L127" i="1"/>
  <c r="W127" i="1" s="1"/>
  <c r="AA127" i="1" s="1"/>
  <c r="AE127" i="1" s="1"/>
  <c r="AF127" i="1" s="1"/>
  <c r="AG126" i="1"/>
  <c r="W126" i="1"/>
  <c r="O126" i="1"/>
  <c r="N126" i="1"/>
  <c r="M126" i="1"/>
  <c r="L126" i="1"/>
  <c r="X126" i="1" s="1"/>
  <c r="AG125" i="1"/>
  <c r="Y125" i="1"/>
  <c r="W125" i="1"/>
  <c r="O125" i="1"/>
  <c r="N125" i="1"/>
  <c r="M125" i="1"/>
  <c r="L125" i="1"/>
  <c r="X125" i="1" s="1"/>
  <c r="AG124" i="1"/>
  <c r="O124" i="1"/>
  <c r="N124" i="1"/>
  <c r="M124" i="1"/>
  <c r="L124" i="1"/>
  <c r="X124" i="1" s="1"/>
  <c r="AG123" i="1"/>
  <c r="O123" i="1"/>
  <c r="N123" i="1"/>
  <c r="M123" i="1"/>
  <c r="L123" i="1"/>
  <c r="W123" i="1" s="1"/>
  <c r="AG122" i="1"/>
  <c r="O122" i="1"/>
  <c r="N122" i="1"/>
  <c r="M122" i="1"/>
  <c r="L122" i="1"/>
  <c r="AG121" i="1"/>
  <c r="O121" i="1"/>
  <c r="N121" i="1"/>
  <c r="M121" i="1"/>
  <c r="L121" i="1"/>
  <c r="W121" i="1" s="1"/>
  <c r="AA121" i="1" s="1"/>
  <c r="AG120" i="1"/>
  <c r="O120" i="1"/>
  <c r="N120" i="1"/>
  <c r="M120" i="1"/>
  <c r="L120" i="1"/>
  <c r="W120" i="1" s="1"/>
  <c r="AG119" i="1"/>
  <c r="O119" i="1"/>
  <c r="N119" i="1"/>
  <c r="M119" i="1"/>
  <c r="L119" i="1"/>
  <c r="W119" i="1" s="1"/>
  <c r="AG118" i="1"/>
  <c r="O118" i="1"/>
  <c r="N118" i="1"/>
  <c r="M118" i="1"/>
  <c r="L118" i="1"/>
  <c r="AG117" i="1"/>
  <c r="W117" i="1"/>
  <c r="AA117" i="1" s="1"/>
  <c r="O117" i="1"/>
  <c r="N117" i="1"/>
  <c r="M117" i="1"/>
  <c r="L117" i="1"/>
  <c r="AG116" i="1"/>
  <c r="W116" i="1"/>
  <c r="O116" i="1"/>
  <c r="N116" i="1"/>
  <c r="M116" i="1"/>
  <c r="L116" i="1"/>
  <c r="AG115" i="1"/>
  <c r="O115" i="1"/>
  <c r="N115" i="1"/>
  <c r="M115" i="1"/>
  <c r="L115" i="1"/>
  <c r="W115" i="1" s="1"/>
  <c r="AA115" i="1" s="1"/>
  <c r="AB115" i="1" s="1"/>
  <c r="AG114" i="1"/>
  <c r="O114" i="1"/>
  <c r="N114" i="1"/>
  <c r="M114" i="1"/>
  <c r="L114" i="1"/>
  <c r="AG113" i="1"/>
  <c r="O113" i="1"/>
  <c r="N113" i="1"/>
  <c r="M113" i="1"/>
  <c r="L113" i="1"/>
  <c r="W113" i="1" s="1"/>
  <c r="AG112" i="1"/>
  <c r="O112" i="1"/>
  <c r="N112" i="1"/>
  <c r="M112" i="1"/>
  <c r="L112" i="1"/>
  <c r="W112" i="1" s="1"/>
  <c r="AG111" i="1"/>
  <c r="O111" i="1"/>
  <c r="N111" i="1"/>
  <c r="M111" i="1"/>
  <c r="L111" i="1"/>
  <c r="W111" i="1" s="1"/>
  <c r="Y111" i="1" s="1"/>
  <c r="AG110" i="1"/>
  <c r="O110" i="1"/>
  <c r="N110" i="1"/>
  <c r="M110" i="1"/>
  <c r="L110" i="1"/>
  <c r="AG109" i="1"/>
  <c r="O109" i="1"/>
  <c r="N109" i="1"/>
  <c r="M109" i="1"/>
  <c r="L109" i="1"/>
  <c r="W109" i="1" s="1"/>
  <c r="AG108" i="1"/>
  <c r="O108" i="1"/>
  <c r="N108" i="1"/>
  <c r="M108" i="1"/>
  <c r="L108" i="1"/>
  <c r="W108" i="1" s="1"/>
  <c r="AG107" i="1"/>
  <c r="O107" i="1"/>
  <c r="N107" i="1"/>
  <c r="M107" i="1"/>
  <c r="L107" i="1"/>
  <c r="W107" i="1" s="1"/>
  <c r="AG106" i="1"/>
  <c r="O106" i="1"/>
  <c r="N106" i="1"/>
  <c r="M106" i="1"/>
  <c r="L106" i="1"/>
  <c r="AG105" i="1"/>
  <c r="O105" i="1"/>
  <c r="N105" i="1"/>
  <c r="M105" i="1"/>
  <c r="L105" i="1"/>
  <c r="W105" i="1" s="1"/>
  <c r="AA105" i="1" s="1"/>
  <c r="AG104" i="1"/>
  <c r="O104" i="1"/>
  <c r="N104" i="1"/>
  <c r="M104" i="1"/>
  <c r="L104" i="1"/>
  <c r="W104" i="1" s="1"/>
  <c r="AG103" i="1"/>
  <c r="O103" i="1"/>
  <c r="N103" i="1"/>
  <c r="M103" i="1"/>
  <c r="L103" i="1"/>
  <c r="W103" i="1" s="1"/>
  <c r="AG102" i="1"/>
  <c r="O102" i="1"/>
  <c r="N102" i="1"/>
  <c r="M102" i="1"/>
  <c r="L102" i="1"/>
  <c r="AG101" i="1"/>
  <c r="W101" i="1"/>
  <c r="AA101" i="1" s="1"/>
  <c r="O101" i="1"/>
  <c r="N101" i="1"/>
  <c r="M101" i="1"/>
  <c r="L101" i="1"/>
  <c r="AG100" i="1"/>
  <c r="O100" i="1"/>
  <c r="N100" i="1"/>
  <c r="M100" i="1"/>
  <c r="L100" i="1"/>
  <c r="W100" i="1" s="1"/>
  <c r="AG99" i="1"/>
  <c r="O99" i="1"/>
  <c r="N99" i="1"/>
  <c r="M99" i="1"/>
  <c r="L99" i="1"/>
  <c r="W99" i="1" s="1"/>
  <c r="AA99" i="1" s="1"/>
  <c r="AB99" i="1" s="1"/>
  <c r="AG98" i="1"/>
  <c r="O98" i="1"/>
  <c r="N98" i="1"/>
  <c r="M98" i="1"/>
  <c r="L98" i="1"/>
  <c r="AG97" i="1"/>
  <c r="O97" i="1"/>
  <c r="N97" i="1"/>
  <c r="M97" i="1"/>
  <c r="L97" i="1"/>
  <c r="W97" i="1" s="1"/>
  <c r="AG96" i="1"/>
  <c r="O96" i="1"/>
  <c r="N96" i="1"/>
  <c r="M96" i="1"/>
  <c r="L96" i="1"/>
  <c r="W96" i="1" s="1"/>
  <c r="AG95" i="1"/>
  <c r="W95" i="1"/>
  <c r="Y95" i="1" s="1"/>
  <c r="O95" i="1"/>
  <c r="N95" i="1"/>
  <c r="M95" i="1"/>
  <c r="L95" i="1"/>
  <c r="AG94" i="1"/>
  <c r="O94" i="1"/>
  <c r="N94" i="1"/>
  <c r="M94" i="1"/>
  <c r="L94" i="1"/>
  <c r="AG93" i="1"/>
  <c r="O93" i="1"/>
  <c r="N93" i="1"/>
  <c r="M93" i="1"/>
  <c r="L93" i="1"/>
  <c r="W93" i="1" s="1"/>
  <c r="AG92" i="1"/>
  <c r="O92" i="1"/>
  <c r="N92" i="1"/>
  <c r="M92" i="1"/>
  <c r="L92" i="1"/>
  <c r="W92" i="1" s="1"/>
  <c r="AG91" i="1"/>
  <c r="W91" i="1"/>
  <c r="AA91" i="1" s="1"/>
  <c r="AB91" i="1" s="1"/>
  <c r="S91" i="1"/>
  <c r="Q91" i="1"/>
  <c r="O91" i="1"/>
  <c r="N91" i="1"/>
  <c r="M91" i="1"/>
  <c r="L91" i="1"/>
  <c r="AG90" i="1"/>
  <c r="X90" i="1"/>
  <c r="O90" i="1"/>
  <c r="P90" i="1" s="1"/>
  <c r="N90" i="1"/>
  <c r="M90" i="1"/>
  <c r="L90" i="1"/>
  <c r="W90" i="1" s="1"/>
  <c r="AA90" i="1" s="1"/>
  <c r="AG89" i="1"/>
  <c r="O89" i="1"/>
  <c r="N89" i="1"/>
  <c r="M89" i="1"/>
  <c r="Q89" i="1" s="1"/>
  <c r="P89" i="1" s="1"/>
  <c r="L89" i="1"/>
  <c r="W89" i="1" s="1"/>
  <c r="AA89" i="1" s="1"/>
  <c r="AG88" i="1"/>
  <c r="O88" i="1"/>
  <c r="N88" i="1"/>
  <c r="M88" i="1"/>
  <c r="Q88" i="1" s="1"/>
  <c r="L88" i="1"/>
  <c r="AG87" i="1"/>
  <c r="O87" i="1"/>
  <c r="N87" i="1"/>
  <c r="M87" i="1"/>
  <c r="Q87" i="1" s="1"/>
  <c r="L87" i="1"/>
  <c r="X87" i="1" s="1"/>
  <c r="AG86" i="1"/>
  <c r="O86" i="1"/>
  <c r="N86" i="1"/>
  <c r="M86" i="1"/>
  <c r="Q86" i="1" s="1"/>
  <c r="P86" i="1" s="1"/>
  <c r="L86" i="1"/>
  <c r="X86" i="1" s="1"/>
  <c r="AG85" i="1"/>
  <c r="O85" i="1"/>
  <c r="N85" i="1"/>
  <c r="M85" i="1"/>
  <c r="Q85" i="1" s="1"/>
  <c r="L85" i="1"/>
  <c r="X85" i="1" s="1"/>
  <c r="AG84" i="1"/>
  <c r="O84" i="1"/>
  <c r="N84" i="1"/>
  <c r="M84" i="1"/>
  <c r="Q84" i="1" s="1"/>
  <c r="L84" i="1"/>
  <c r="X84" i="1" s="1"/>
  <c r="AG83" i="1"/>
  <c r="X83" i="1"/>
  <c r="W83" i="1"/>
  <c r="Z83" i="1" s="1"/>
  <c r="O83" i="1"/>
  <c r="P83" i="1" s="1"/>
  <c r="N83" i="1"/>
  <c r="M83" i="1"/>
  <c r="L83" i="1"/>
  <c r="AG82" i="1"/>
  <c r="O82" i="1"/>
  <c r="P82" i="1" s="1"/>
  <c r="N82" i="1"/>
  <c r="M82" i="1"/>
  <c r="L82" i="1"/>
  <c r="W82" i="1" s="1"/>
  <c r="AG81" i="1"/>
  <c r="P81" i="1"/>
  <c r="O81" i="1"/>
  <c r="N81" i="1"/>
  <c r="M81" i="1"/>
  <c r="L81" i="1"/>
  <c r="X81" i="1" s="1"/>
  <c r="AG80" i="1"/>
  <c r="O80" i="1"/>
  <c r="P80" i="1" s="1"/>
  <c r="N80" i="1"/>
  <c r="M80" i="1"/>
  <c r="L80" i="1"/>
  <c r="X80" i="1" s="1"/>
  <c r="AG79" i="1"/>
  <c r="W79" i="1"/>
  <c r="Y79" i="1" s="1"/>
  <c r="O79" i="1"/>
  <c r="P79" i="1" s="1"/>
  <c r="N79" i="1"/>
  <c r="M79" i="1"/>
  <c r="L79" i="1"/>
  <c r="X79" i="1" s="1"/>
  <c r="AG78" i="1"/>
  <c r="AA78" i="1"/>
  <c r="W78" i="1"/>
  <c r="Y78" i="1" s="1"/>
  <c r="O78" i="1"/>
  <c r="P78" i="1" s="1"/>
  <c r="N78" i="1"/>
  <c r="M78" i="1"/>
  <c r="L78" i="1"/>
  <c r="X78" i="1" s="1"/>
  <c r="AG77" i="1"/>
  <c r="W77" i="1"/>
  <c r="Z77" i="1" s="1"/>
  <c r="O77" i="1"/>
  <c r="P77" i="1" s="1"/>
  <c r="N77" i="1"/>
  <c r="M77" i="1"/>
  <c r="L77" i="1"/>
  <c r="X77" i="1" s="1"/>
  <c r="AG76" i="1"/>
  <c r="O76" i="1"/>
  <c r="P76" i="1" s="1"/>
  <c r="N76" i="1"/>
  <c r="M76" i="1"/>
  <c r="L76" i="1"/>
  <c r="X76" i="1" s="1"/>
  <c r="AG75" i="1"/>
  <c r="P75" i="1"/>
  <c r="O75" i="1"/>
  <c r="N75" i="1"/>
  <c r="M75" i="1"/>
  <c r="L75" i="1"/>
  <c r="X75" i="1" s="1"/>
  <c r="AG74" i="1"/>
  <c r="W74" i="1"/>
  <c r="Z74" i="1" s="1"/>
  <c r="O74" i="1"/>
  <c r="P74" i="1" s="1"/>
  <c r="N74" i="1"/>
  <c r="M74" i="1"/>
  <c r="L74" i="1"/>
  <c r="X74" i="1" s="1"/>
  <c r="AG73" i="1"/>
  <c r="O73" i="1"/>
  <c r="P73" i="1" s="1"/>
  <c r="N73" i="1"/>
  <c r="M73" i="1"/>
  <c r="L73" i="1"/>
  <c r="X73" i="1" s="1"/>
  <c r="AG72" i="1"/>
  <c r="O72" i="1"/>
  <c r="P72" i="1" s="1"/>
  <c r="N72" i="1"/>
  <c r="M72" i="1"/>
  <c r="L72" i="1"/>
  <c r="X72" i="1" s="1"/>
  <c r="AG71" i="1"/>
  <c r="O71" i="1"/>
  <c r="P71" i="1" s="1"/>
  <c r="N71" i="1"/>
  <c r="M71" i="1"/>
  <c r="L71" i="1"/>
  <c r="X71" i="1" s="1"/>
  <c r="AG70" i="1"/>
  <c r="O70" i="1"/>
  <c r="P70" i="1" s="1"/>
  <c r="N70" i="1"/>
  <c r="M70" i="1"/>
  <c r="L70" i="1"/>
  <c r="X70" i="1" s="1"/>
  <c r="AG69" i="1"/>
  <c r="O69" i="1"/>
  <c r="P69" i="1" s="1"/>
  <c r="N69" i="1"/>
  <c r="M69" i="1"/>
  <c r="L69" i="1"/>
  <c r="X69" i="1" s="1"/>
  <c r="AG68" i="1"/>
  <c r="P68" i="1"/>
  <c r="O68" i="1"/>
  <c r="N68" i="1"/>
  <c r="M68" i="1"/>
  <c r="L68" i="1"/>
  <c r="X68" i="1" s="1"/>
  <c r="AG67" i="1"/>
  <c r="O67" i="1"/>
  <c r="P67" i="1" s="1"/>
  <c r="N67" i="1"/>
  <c r="M67" i="1"/>
  <c r="L67" i="1"/>
  <c r="X67" i="1" s="1"/>
  <c r="AG66" i="1"/>
  <c r="O66" i="1"/>
  <c r="P66" i="1" s="1"/>
  <c r="N66" i="1"/>
  <c r="M66" i="1"/>
  <c r="L66" i="1"/>
  <c r="X66" i="1" s="1"/>
  <c r="AG65" i="1"/>
  <c r="O65" i="1"/>
  <c r="P65" i="1" s="1"/>
  <c r="N65" i="1"/>
  <c r="M65" i="1"/>
  <c r="L65" i="1"/>
  <c r="X65" i="1" s="1"/>
  <c r="AG64" i="1"/>
  <c r="O64" i="1"/>
  <c r="P64" i="1" s="1"/>
  <c r="N64" i="1"/>
  <c r="M64" i="1"/>
  <c r="L64" i="1"/>
  <c r="X64" i="1" s="1"/>
  <c r="AG63" i="1"/>
  <c r="O63" i="1"/>
  <c r="N63" i="1"/>
  <c r="M63" i="1"/>
  <c r="L63" i="1"/>
  <c r="AG62" i="1"/>
  <c r="O62" i="1"/>
  <c r="N62" i="1"/>
  <c r="M62" i="1"/>
  <c r="L62" i="1"/>
  <c r="W62" i="1" s="1"/>
  <c r="AG61" i="1"/>
  <c r="O61" i="1"/>
  <c r="N61" i="1"/>
  <c r="M61" i="1"/>
  <c r="L61" i="1"/>
  <c r="X61" i="1" s="1"/>
  <c r="AG60" i="1"/>
  <c r="O60" i="1"/>
  <c r="N60" i="1"/>
  <c r="M60" i="1"/>
  <c r="L60" i="1"/>
  <c r="X60" i="1" s="1"/>
  <c r="AG59" i="1"/>
  <c r="O59" i="1"/>
  <c r="N59" i="1"/>
  <c r="M59" i="1"/>
  <c r="L59" i="1"/>
  <c r="X59" i="1" s="1"/>
  <c r="AG58" i="1"/>
  <c r="Q58" i="1"/>
  <c r="O58" i="1"/>
  <c r="N58" i="1"/>
  <c r="M58" i="1"/>
  <c r="L58" i="1"/>
  <c r="X58" i="1" s="1"/>
  <c r="AG57" i="1"/>
  <c r="Q57" i="1"/>
  <c r="O57" i="1"/>
  <c r="P57" i="1" s="1"/>
  <c r="N57" i="1"/>
  <c r="M57" i="1"/>
  <c r="L57" i="1"/>
  <c r="X57" i="1" s="1"/>
  <c r="AG56" i="1"/>
  <c r="X56" i="1"/>
  <c r="O56" i="1"/>
  <c r="P56" i="1" s="1"/>
  <c r="N56" i="1"/>
  <c r="M56" i="1"/>
  <c r="L56" i="1"/>
  <c r="AG55" i="1"/>
  <c r="X55" i="1"/>
  <c r="O55" i="1"/>
  <c r="P55" i="1" s="1"/>
  <c r="N55" i="1"/>
  <c r="M55" i="1"/>
  <c r="L55" i="1"/>
  <c r="AG54" i="1"/>
  <c r="U54" i="1"/>
  <c r="U55" i="1" s="1"/>
  <c r="O54" i="1"/>
  <c r="P54" i="1" s="1"/>
  <c r="N54" i="1"/>
  <c r="M54" i="1"/>
  <c r="L54" i="1"/>
  <c r="AG53" i="1"/>
  <c r="U53" i="1"/>
  <c r="O53" i="1"/>
  <c r="P53" i="1" s="1"/>
  <c r="N53" i="1"/>
  <c r="M53" i="1"/>
  <c r="L53" i="1"/>
  <c r="X53" i="1" s="1"/>
  <c r="AG52" i="1"/>
  <c r="O52" i="1"/>
  <c r="P52" i="1" s="1"/>
  <c r="N52" i="1"/>
  <c r="M52" i="1"/>
  <c r="L52" i="1"/>
  <c r="X52" i="1" s="1"/>
  <c r="AG51" i="1"/>
  <c r="O51" i="1"/>
  <c r="P51" i="1" s="1"/>
  <c r="N51" i="1"/>
  <c r="M51" i="1"/>
  <c r="L51" i="1"/>
  <c r="X51" i="1" s="1"/>
  <c r="AG50" i="1"/>
  <c r="O50" i="1"/>
  <c r="P50" i="1" s="1"/>
  <c r="N50" i="1"/>
  <c r="M50" i="1"/>
  <c r="L50" i="1"/>
  <c r="X50" i="1" s="1"/>
  <c r="AG49" i="1"/>
  <c r="X49" i="1"/>
  <c r="O49" i="1"/>
  <c r="P49" i="1" s="1"/>
  <c r="N49" i="1"/>
  <c r="M49" i="1"/>
  <c r="L49" i="1"/>
  <c r="AG48" i="1"/>
  <c r="O48" i="1"/>
  <c r="P48" i="1" s="1"/>
  <c r="N48" i="1"/>
  <c r="M48" i="1"/>
  <c r="L48" i="1"/>
  <c r="X48" i="1" s="1"/>
  <c r="AG47" i="1"/>
  <c r="O47" i="1"/>
  <c r="P47" i="1" s="1"/>
  <c r="N47" i="1"/>
  <c r="M47" i="1"/>
  <c r="L47" i="1"/>
  <c r="X47" i="1" s="1"/>
  <c r="AG46" i="1"/>
  <c r="W46" i="1"/>
  <c r="Z46" i="1" s="1"/>
  <c r="O46" i="1"/>
  <c r="P46" i="1" s="1"/>
  <c r="N46" i="1"/>
  <c r="M46" i="1"/>
  <c r="L46" i="1"/>
  <c r="X46" i="1" s="1"/>
  <c r="AG45" i="1"/>
  <c r="O45" i="1"/>
  <c r="P45" i="1" s="1"/>
  <c r="N45" i="1"/>
  <c r="M45" i="1"/>
  <c r="L45" i="1"/>
  <c r="W45" i="1" s="1"/>
  <c r="AG44" i="1"/>
  <c r="O44" i="1"/>
  <c r="P44" i="1" s="1"/>
  <c r="N44" i="1"/>
  <c r="M44" i="1"/>
  <c r="L44" i="1"/>
  <c r="W44" i="1" s="1"/>
  <c r="AG43" i="1"/>
  <c r="U43" i="1"/>
  <c r="U44" i="1" s="1"/>
  <c r="U45" i="1" s="1"/>
  <c r="U46" i="1" s="1"/>
  <c r="U47" i="1" s="1"/>
  <c r="U48" i="1" s="1"/>
  <c r="U49" i="1" s="1"/>
  <c r="U50" i="1" s="1"/>
  <c r="U51" i="1" s="1"/>
  <c r="U52" i="1" s="1"/>
  <c r="O43" i="1"/>
  <c r="P43" i="1" s="1"/>
  <c r="N43" i="1"/>
  <c r="M43" i="1"/>
  <c r="L43" i="1"/>
  <c r="W43" i="1" s="1"/>
  <c r="AG42" i="1"/>
  <c r="U42" i="1"/>
  <c r="P42" i="1"/>
  <c r="O42" i="1"/>
  <c r="N42" i="1"/>
  <c r="M42" i="1"/>
  <c r="L42" i="1"/>
  <c r="AG41" i="1"/>
  <c r="O41" i="1"/>
  <c r="P41" i="1" s="1"/>
  <c r="N41" i="1"/>
  <c r="M41" i="1"/>
  <c r="L41" i="1"/>
  <c r="X41" i="1" s="1"/>
  <c r="AG40" i="1"/>
  <c r="O40" i="1"/>
  <c r="P40" i="1" s="1"/>
  <c r="N40" i="1"/>
  <c r="M40" i="1"/>
  <c r="L40" i="1"/>
  <c r="X40" i="1" s="1"/>
  <c r="AG39" i="1"/>
  <c r="O39" i="1"/>
  <c r="P39" i="1" s="1"/>
  <c r="N39" i="1"/>
  <c r="M39" i="1"/>
  <c r="L39" i="1"/>
  <c r="X39" i="1" s="1"/>
  <c r="AG38" i="1"/>
  <c r="O38" i="1"/>
  <c r="P38" i="1" s="1"/>
  <c r="N38" i="1"/>
  <c r="M38" i="1"/>
  <c r="L38" i="1"/>
  <c r="X38" i="1" s="1"/>
  <c r="AG37" i="1"/>
  <c r="O37" i="1"/>
  <c r="P37" i="1" s="1"/>
  <c r="N37" i="1"/>
  <c r="M37" i="1"/>
  <c r="L37" i="1"/>
  <c r="X37" i="1" s="1"/>
  <c r="AG36" i="1"/>
  <c r="U36" i="1"/>
  <c r="U37" i="1" s="1"/>
  <c r="U38" i="1" s="1"/>
  <c r="O36" i="1"/>
  <c r="P36" i="1" s="1"/>
  <c r="N36" i="1"/>
  <c r="M36" i="1"/>
  <c r="L36" i="1"/>
  <c r="W36" i="1" s="1"/>
  <c r="AG35" i="1"/>
  <c r="X35" i="1"/>
  <c r="U35" i="1"/>
  <c r="O35" i="1"/>
  <c r="P35" i="1" s="1"/>
  <c r="N35" i="1"/>
  <c r="M35" i="1"/>
  <c r="L35" i="1"/>
  <c r="W35" i="1" s="1"/>
  <c r="AG34" i="1"/>
  <c r="X34" i="1"/>
  <c r="U34" i="1"/>
  <c r="O34" i="1"/>
  <c r="P34" i="1" s="1"/>
  <c r="N34" i="1"/>
  <c r="M34" i="1"/>
  <c r="L34" i="1"/>
  <c r="W34" i="1" s="1"/>
  <c r="AG33" i="1"/>
  <c r="X33" i="1"/>
  <c r="O33" i="1"/>
  <c r="P33" i="1" s="1"/>
  <c r="N33" i="1"/>
  <c r="M33" i="1"/>
  <c r="L33" i="1"/>
  <c r="AG32" i="1"/>
  <c r="O32" i="1"/>
  <c r="P32" i="1" s="1"/>
  <c r="N32" i="1"/>
  <c r="M32" i="1"/>
  <c r="L32" i="1"/>
  <c r="X32" i="1" s="1"/>
  <c r="AG31" i="1"/>
  <c r="O31" i="1"/>
  <c r="P31" i="1" s="1"/>
  <c r="N31" i="1"/>
  <c r="M31" i="1"/>
  <c r="L31" i="1"/>
  <c r="X31" i="1" s="1"/>
  <c r="AG30" i="1"/>
  <c r="O30" i="1"/>
  <c r="P30" i="1" s="1"/>
  <c r="N30" i="1"/>
  <c r="M30" i="1"/>
  <c r="L30" i="1"/>
  <c r="X30" i="1" s="1"/>
  <c r="AG29" i="1"/>
  <c r="X29" i="1"/>
  <c r="O29" i="1"/>
  <c r="P29" i="1" s="1"/>
  <c r="N29" i="1"/>
  <c r="M29" i="1"/>
  <c r="L29" i="1"/>
  <c r="W29" i="1" s="1"/>
  <c r="AG28" i="1"/>
  <c r="U28" i="1"/>
  <c r="U29" i="1" s="1"/>
  <c r="U30" i="1" s="1"/>
  <c r="U31" i="1" s="1"/>
  <c r="U32" i="1" s="1"/>
  <c r="O28" i="1"/>
  <c r="P28" i="1" s="1"/>
  <c r="N28" i="1"/>
  <c r="M28" i="1"/>
  <c r="L28" i="1"/>
  <c r="X28" i="1" s="1"/>
  <c r="AG27" i="1"/>
  <c r="O27" i="1"/>
  <c r="N27" i="1"/>
  <c r="M27" i="1"/>
  <c r="Q27" i="1" s="1"/>
  <c r="P27" i="1" s="1"/>
  <c r="L27" i="1"/>
  <c r="X27" i="1" s="1"/>
  <c r="AG26" i="1"/>
  <c r="O26" i="1"/>
  <c r="N26" i="1"/>
  <c r="M26" i="1"/>
  <c r="Q26" i="1" s="1"/>
  <c r="L26" i="1"/>
  <c r="X26" i="1" s="1"/>
  <c r="AG25" i="1"/>
  <c r="O25" i="1"/>
  <c r="N25" i="1"/>
  <c r="M25" i="1"/>
  <c r="Q25" i="1" s="1"/>
  <c r="L25" i="1"/>
  <c r="X25" i="1" s="1"/>
  <c r="AG24" i="1"/>
  <c r="O24" i="1"/>
  <c r="N24" i="1"/>
  <c r="M24" i="1"/>
  <c r="Q24" i="1" s="1"/>
  <c r="P24" i="1" s="1"/>
  <c r="L24" i="1"/>
  <c r="X24" i="1" s="1"/>
  <c r="AG23" i="1"/>
  <c r="Q23" i="1"/>
  <c r="P23" i="1" s="1"/>
  <c r="O23" i="1"/>
  <c r="N23" i="1"/>
  <c r="M23" i="1"/>
  <c r="L23" i="1"/>
  <c r="X23" i="1" s="1"/>
  <c r="AG22" i="1"/>
  <c r="O22" i="1"/>
  <c r="N22" i="1"/>
  <c r="M22" i="1"/>
  <c r="Q22" i="1" s="1"/>
  <c r="L22" i="1"/>
  <c r="X22" i="1" s="1"/>
  <c r="AG21" i="1"/>
  <c r="O21" i="1"/>
  <c r="N21" i="1"/>
  <c r="M21" i="1"/>
  <c r="Q21" i="1" s="1"/>
  <c r="L21" i="1"/>
  <c r="X21" i="1" s="1"/>
  <c r="AG20" i="1"/>
  <c r="O20" i="1"/>
  <c r="N20" i="1"/>
  <c r="M20" i="1"/>
  <c r="Q20" i="1" s="1"/>
  <c r="L20" i="1"/>
  <c r="X20" i="1" s="1"/>
  <c r="AG19" i="1"/>
  <c r="Q19" i="1"/>
  <c r="P19" i="1" s="1"/>
  <c r="O19" i="1"/>
  <c r="N19" i="1"/>
  <c r="M19" i="1"/>
  <c r="L19" i="1"/>
  <c r="X19" i="1" s="1"/>
  <c r="AG18" i="1"/>
  <c r="O18" i="1"/>
  <c r="N18" i="1"/>
  <c r="M18" i="1"/>
  <c r="Q18" i="1" s="1"/>
  <c r="L18" i="1"/>
  <c r="X18" i="1" s="1"/>
  <c r="AG17" i="1"/>
  <c r="O17" i="1"/>
  <c r="N17" i="1"/>
  <c r="M17" i="1"/>
  <c r="Q17" i="1" s="1"/>
  <c r="L17" i="1"/>
  <c r="X17" i="1" s="1"/>
  <c r="AG16" i="1"/>
  <c r="O16" i="1"/>
  <c r="N16" i="1"/>
  <c r="M16" i="1"/>
  <c r="Q16" i="1" s="1"/>
  <c r="L16" i="1"/>
  <c r="X16" i="1" s="1"/>
  <c r="AG15" i="1"/>
  <c r="O15" i="1"/>
  <c r="N15" i="1"/>
  <c r="M15" i="1"/>
  <c r="Q15" i="1" s="1"/>
  <c r="L15" i="1"/>
  <c r="X15" i="1" s="1"/>
  <c r="AG14" i="1"/>
  <c r="O14" i="1"/>
  <c r="N14" i="1"/>
  <c r="M14" i="1"/>
  <c r="Q14" i="1" s="1"/>
  <c r="P14" i="1" s="1"/>
  <c r="L14" i="1"/>
  <c r="X14" i="1" s="1"/>
  <c r="AG13" i="1"/>
  <c r="O13" i="1"/>
  <c r="N13" i="1"/>
  <c r="M13" i="1"/>
  <c r="Q13" i="1" s="1"/>
  <c r="L13" i="1"/>
  <c r="X13" i="1" s="1"/>
  <c r="AG12" i="1"/>
  <c r="O12" i="1"/>
  <c r="N12" i="1"/>
  <c r="M12" i="1"/>
  <c r="Q12" i="1" s="1"/>
  <c r="P12" i="1" s="1"/>
  <c r="L12" i="1"/>
  <c r="X12" i="1" s="1"/>
  <c r="AG11" i="1"/>
  <c r="O11" i="1"/>
  <c r="N11" i="1"/>
  <c r="M11" i="1"/>
  <c r="Q11" i="1" s="1"/>
  <c r="L11" i="1"/>
  <c r="X11" i="1" s="1"/>
  <c r="AG10" i="1"/>
  <c r="O10" i="1"/>
  <c r="N10" i="1"/>
  <c r="M10" i="1"/>
  <c r="Q10" i="1" s="1"/>
  <c r="L10" i="1"/>
  <c r="X10" i="1" s="1"/>
  <c r="AG9" i="1"/>
  <c r="X9" i="1"/>
  <c r="O9" i="1"/>
  <c r="N9" i="1"/>
  <c r="M9" i="1"/>
  <c r="Q9" i="1" s="1"/>
  <c r="L9" i="1"/>
  <c r="AG8" i="1"/>
  <c r="O8" i="1"/>
  <c r="N8" i="1"/>
  <c r="M8" i="1"/>
  <c r="Q8" i="1" s="1"/>
  <c r="P8" i="1" s="1"/>
  <c r="L8" i="1"/>
  <c r="X8" i="1" s="1"/>
  <c r="AG7" i="1"/>
  <c r="O7" i="1"/>
  <c r="N7" i="1"/>
  <c r="M7" i="1"/>
  <c r="Q7" i="1" s="1"/>
  <c r="L7" i="1"/>
  <c r="X7" i="1" s="1"/>
  <c r="AG6" i="1"/>
  <c r="Q6" i="1"/>
  <c r="O6" i="1"/>
  <c r="N6" i="1"/>
  <c r="M6" i="1"/>
  <c r="L6" i="1"/>
  <c r="X6" i="1" s="1"/>
  <c r="AG5" i="1"/>
  <c r="T5" i="1"/>
  <c r="T6" i="1" s="1"/>
  <c r="Q5" i="1"/>
  <c r="O5" i="1"/>
  <c r="N5" i="1"/>
  <c r="M5" i="1"/>
  <c r="L5" i="1"/>
  <c r="W5" i="1" s="1"/>
  <c r="AG4" i="1"/>
  <c r="O4" i="1"/>
  <c r="N4" i="1"/>
  <c r="M4" i="1"/>
  <c r="Q4" i="1" s="1"/>
  <c r="P4" i="1" s="1"/>
  <c r="L4" i="1"/>
  <c r="X4" i="1" s="1"/>
  <c r="AG3" i="1"/>
  <c r="U3" i="1"/>
  <c r="U4" i="1" s="1"/>
  <c r="O3" i="1"/>
  <c r="P3" i="1" s="1"/>
  <c r="N3" i="1"/>
  <c r="M3" i="1"/>
  <c r="L3" i="1"/>
  <c r="AG2" i="1"/>
  <c r="U2" i="1"/>
  <c r="O2" i="1"/>
  <c r="P2" i="1" s="1"/>
  <c r="N2" i="1"/>
  <c r="M2" i="1"/>
  <c r="L2" i="1"/>
  <c r="X2" i="1" s="1"/>
  <c r="AE316" i="1" l="1"/>
  <c r="AF316" i="1" s="1"/>
  <c r="X632" i="1"/>
  <c r="W632" i="1"/>
  <c r="W875" i="1"/>
  <c r="AA875" i="1" s="1"/>
  <c r="X875" i="1"/>
  <c r="AC885" i="1"/>
  <c r="AD885" i="1" s="1"/>
  <c r="X711" i="1"/>
  <c r="Z711" i="1" s="1"/>
  <c r="W711" i="1"/>
  <c r="W720" i="1"/>
  <c r="AC720" i="1" s="1"/>
  <c r="AD720" i="1" s="1"/>
  <c r="X720" i="1"/>
  <c r="W819" i="1"/>
  <c r="X819" i="1"/>
  <c r="AC819" i="1" s="1"/>
  <c r="AD819" i="1" s="1"/>
  <c r="Z35" i="1"/>
  <c r="AA77" i="1"/>
  <c r="AE77" i="1" s="1"/>
  <c r="AF77" i="1" s="1"/>
  <c r="W32" i="1"/>
  <c r="Z32" i="1" s="1"/>
  <c r="X62" i="1"/>
  <c r="AC83" i="1"/>
  <c r="AD83" i="1" s="1"/>
  <c r="P85" i="1"/>
  <c r="W207" i="1"/>
  <c r="AC207" i="1" s="1"/>
  <c r="AD207" i="1" s="1"/>
  <c r="X210" i="1"/>
  <c r="Z210" i="1" s="1"/>
  <c r="X235" i="1"/>
  <c r="W235" i="1"/>
  <c r="AA235" i="1" s="1"/>
  <c r="P313" i="1"/>
  <c r="X314" i="1"/>
  <c r="W317" i="1"/>
  <c r="X317" i="1"/>
  <c r="X413" i="1"/>
  <c r="X419" i="1"/>
  <c r="AC419" i="1" s="1"/>
  <c r="AD419" i="1" s="1"/>
  <c r="X440" i="1"/>
  <c r="W440" i="1"/>
  <c r="Y440" i="1" s="1"/>
  <c r="X488" i="1"/>
  <c r="AC488" i="1" s="1"/>
  <c r="AD488" i="1" s="1"/>
  <c r="W488" i="1"/>
  <c r="X576" i="1"/>
  <c r="W576" i="1"/>
  <c r="W614" i="1"/>
  <c r="X614" i="1"/>
  <c r="AC614" i="1" s="1"/>
  <c r="AD614" i="1" s="1"/>
  <c r="W677" i="1"/>
  <c r="X677" i="1"/>
  <c r="AC677" i="1" s="1"/>
  <c r="AD677" i="1" s="1"/>
  <c r="W717" i="1"/>
  <c r="AC717" i="1" s="1"/>
  <c r="AD717" i="1" s="1"/>
  <c r="X717" i="1"/>
  <c r="X753" i="1"/>
  <c r="W753" i="1"/>
  <c r="X769" i="1"/>
  <c r="W769" i="1"/>
  <c r="Z769" i="1" s="1"/>
  <c r="W827" i="1"/>
  <c r="X827" i="1"/>
  <c r="X894" i="1"/>
  <c r="Z894" i="1" s="1"/>
  <c r="W894" i="1"/>
  <c r="W469" i="1"/>
  <c r="X469" i="1"/>
  <c r="Z316" i="1"/>
  <c r="W37" i="1"/>
  <c r="Z37" i="1" s="1"/>
  <c r="X45" i="1"/>
  <c r="W52" i="1"/>
  <c r="Z52" i="1" s="1"/>
  <c r="W53" i="1"/>
  <c r="Z53" i="1" s="1"/>
  <c r="W61" i="1"/>
  <c r="X89" i="1"/>
  <c r="X141" i="1"/>
  <c r="W208" i="1"/>
  <c r="W209" i="1"/>
  <c r="Z209" i="1" s="1"/>
  <c r="W212" i="1"/>
  <c r="X212" i="1"/>
  <c r="Z212" i="1" s="1"/>
  <c r="W223" i="1"/>
  <c r="AA223" i="1" s="1"/>
  <c r="W236" i="1"/>
  <c r="W283" i="1"/>
  <c r="P293" i="1"/>
  <c r="P317" i="1"/>
  <c r="P327" i="1"/>
  <c r="X430" i="1"/>
  <c r="W430" i="1"/>
  <c r="AA430" i="1" s="1"/>
  <c r="AB430" i="1" s="1"/>
  <c r="X485" i="1"/>
  <c r="Z485" i="1" s="1"/>
  <c r="W485" i="1"/>
  <c r="X548" i="1"/>
  <c r="W548" i="1"/>
  <c r="Z560" i="1"/>
  <c r="X574" i="1"/>
  <c r="Z574" i="1" s="1"/>
  <c r="W927" i="1"/>
  <c r="X927" i="1"/>
  <c r="Z927" i="1" s="1"/>
  <c r="X486" i="1"/>
  <c r="AC486" i="1" s="1"/>
  <c r="AD486" i="1" s="1"/>
  <c r="W486" i="1"/>
  <c r="W612" i="1"/>
  <c r="X612" i="1"/>
  <c r="P13" i="1"/>
  <c r="X44" i="1"/>
  <c r="Z44" i="1" s="1"/>
  <c r="W65" i="1"/>
  <c r="AA111" i="1"/>
  <c r="AB111" i="1" s="1"/>
  <c r="X204" i="1"/>
  <c r="AC204" i="1" s="1"/>
  <c r="AD204" i="1" s="1"/>
  <c r="W204" i="1"/>
  <c r="X213" i="1"/>
  <c r="AC213" i="1" s="1"/>
  <c r="AD213" i="1" s="1"/>
  <c r="W287" i="1"/>
  <c r="Y287" i="1" s="1"/>
  <c r="P289" i="1"/>
  <c r="W315" i="1"/>
  <c r="X315" i="1"/>
  <c r="W318" i="1"/>
  <c r="X557" i="1"/>
  <c r="Z557" i="1" s="1"/>
  <c r="W557" i="1"/>
  <c r="Z595" i="1"/>
  <c r="Y595" i="1"/>
  <c r="AA595" i="1"/>
  <c r="AE595" i="1" s="1"/>
  <c r="AF595" i="1" s="1"/>
  <c r="W601" i="1"/>
  <c r="Z601" i="1" s="1"/>
  <c r="X601" i="1"/>
  <c r="X655" i="1"/>
  <c r="W655" i="1"/>
  <c r="AC655" i="1" s="1"/>
  <c r="AD655" i="1" s="1"/>
  <c r="X752" i="1"/>
  <c r="W752" i="1"/>
  <c r="X868" i="1"/>
  <c r="W868" i="1"/>
  <c r="AC868" i="1" s="1"/>
  <c r="AD868" i="1" s="1"/>
  <c r="X899" i="1"/>
  <c r="AC899" i="1" s="1"/>
  <c r="AD899" i="1" s="1"/>
  <c r="W899" i="1"/>
  <c r="Z62" i="1"/>
  <c r="AC210" i="1"/>
  <c r="AD210" i="1" s="1"/>
  <c r="X480" i="1"/>
  <c r="W480" i="1"/>
  <c r="AC199" i="1"/>
  <c r="AD199" i="1" s="1"/>
  <c r="Z200" i="1"/>
  <c r="W447" i="1"/>
  <c r="AA447" i="1" s="1"/>
  <c r="X447" i="1"/>
  <c r="P16" i="1"/>
  <c r="P9" i="1"/>
  <c r="X36" i="1"/>
  <c r="W64" i="1"/>
  <c r="W75" i="1"/>
  <c r="Z75" i="1" s="1"/>
  <c r="W80" i="1"/>
  <c r="P84" i="1"/>
  <c r="W85" i="1"/>
  <c r="X131" i="1"/>
  <c r="W131" i="1"/>
  <c r="AA131" i="1" s="1"/>
  <c r="AB131" i="1" s="1"/>
  <c r="X205" i="1"/>
  <c r="P234" i="1"/>
  <c r="W290" i="1"/>
  <c r="Y290" i="1" s="1"/>
  <c r="P316" i="1"/>
  <c r="P326" i="1"/>
  <c r="W450" i="1"/>
  <c r="X686" i="1"/>
  <c r="W686" i="1"/>
  <c r="Z686" i="1" s="1"/>
  <c r="W849" i="1"/>
  <c r="X849" i="1"/>
  <c r="AC857" i="1"/>
  <c r="AD857" i="1" s="1"/>
  <c r="W885" i="1"/>
  <c r="X918" i="1"/>
  <c r="AC918" i="1" s="1"/>
  <c r="AD918" i="1" s="1"/>
  <c r="W918" i="1"/>
  <c r="AA918" i="1" s="1"/>
  <c r="X603" i="1"/>
  <c r="W603" i="1"/>
  <c r="AC603" i="1" s="1"/>
  <c r="AD603" i="1" s="1"/>
  <c r="P686" i="1"/>
  <c r="Z687" i="1"/>
  <c r="AC687" i="1"/>
  <c r="AD687" i="1" s="1"/>
  <c r="W725" i="1"/>
  <c r="X725" i="1"/>
  <c r="X745" i="1"/>
  <c r="W745" i="1"/>
  <c r="W838" i="1"/>
  <c r="Z838" i="1" s="1"/>
  <c r="W884" i="1"/>
  <c r="AA79" i="1"/>
  <c r="AA95" i="1"/>
  <c r="AB95" i="1" s="1"/>
  <c r="AC221" i="1"/>
  <c r="AD221" i="1" s="1"/>
  <c r="P233" i="1"/>
  <c r="AC283" i="1"/>
  <c r="AD283" i="1" s="1"/>
  <c r="W284" i="1"/>
  <c r="Z284" i="1" s="1"/>
  <c r="X284" i="1"/>
  <c r="W472" i="1"/>
  <c r="X472" i="1"/>
  <c r="W599" i="1"/>
  <c r="X599" i="1"/>
  <c r="W645" i="1"/>
  <c r="X645" i="1"/>
  <c r="Z645" i="1" s="1"/>
  <c r="X728" i="1"/>
  <c r="AC728" i="1" s="1"/>
  <c r="AD728" i="1" s="1"/>
  <c r="W728" i="1"/>
  <c r="X776" i="1"/>
  <c r="W776" i="1"/>
  <c r="Z776" i="1" s="1"/>
  <c r="X886" i="1"/>
  <c r="W886" i="1"/>
  <c r="AA886" i="1" s="1"/>
  <c r="AE886" i="1" s="1"/>
  <c r="AF886" i="1" s="1"/>
  <c r="X425" i="1"/>
  <c r="X434" i="1"/>
  <c r="AC434" i="1" s="1"/>
  <c r="AD434" i="1" s="1"/>
  <c r="W465" i="1"/>
  <c r="Z465" i="1" s="1"/>
  <c r="W481" i="1"/>
  <c r="AC483" i="1"/>
  <c r="AD483" i="1" s="1"/>
  <c r="W500" i="1"/>
  <c r="W568" i="1"/>
  <c r="W602" i="1"/>
  <c r="Z602" i="1" s="1"/>
  <c r="W613" i="1"/>
  <c r="W617" i="1"/>
  <c r="AA617" i="1" s="1"/>
  <c r="AB617" i="1" s="1"/>
  <c r="W646" i="1"/>
  <c r="AC646" i="1" s="1"/>
  <c r="AD646" i="1" s="1"/>
  <c r="X649" i="1"/>
  <c r="P658" i="1"/>
  <c r="W659" i="1"/>
  <c r="W676" i="1"/>
  <c r="Z676" i="1" s="1"/>
  <c r="P689" i="1"/>
  <c r="W712" i="1"/>
  <c r="W729" i="1"/>
  <c r="Z729" i="1" s="1"/>
  <c r="P750" i="1"/>
  <c r="W761" i="1"/>
  <c r="W867" i="1"/>
  <c r="P889" i="1"/>
  <c r="W900" i="1"/>
  <c r="P902" i="1"/>
  <c r="X930" i="1"/>
  <c r="Y931" i="1"/>
  <c r="X421" i="1"/>
  <c r="AC421" i="1" s="1"/>
  <c r="AD421" i="1" s="1"/>
  <c r="X429" i="1"/>
  <c r="W477" i="1"/>
  <c r="AC477" i="1" s="1"/>
  <c r="AD477" i="1" s="1"/>
  <c r="W541" i="1"/>
  <c r="AC541" i="1" s="1"/>
  <c r="AD541" i="1" s="1"/>
  <c r="X544" i="1"/>
  <c r="Z544" i="1" s="1"/>
  <c r="W575" i="1"/>
  <c r="Z575" i="1" s="1"/>
  <c r="W598" i="1"/>
  <c r="X622" i="1"/>
  <c r="AC622" i="1" s="1"/>
  <c r="AD622" i="1" s="1"/>
  <c r="W672" i="1"/>
  <c r="AC672" i="1" s="1"/>
  <c r="AD672" i="1" s="1"/>
  <c r="P684" i="1"/>
  <c r="W685" i="1"/>
  <c r="P705" i="1"/>
  <c r="P710" i="1"/>
  <c r="P731" i="1"/>
  <c r="W760" i="1"/>
  <c r="W767" i="1"/>
  <c r="AC767" i="1" s="1"/>
  <c r="AD767" i="1" s="1"/>
  <c r="W826" i="1"/>
  <c r="Z826" i="1" s="1"/>
  <c r="P870" i="1"/>
  <c r="P898" i="1"/>
  <c r="W914" i="1"/>
  <c r="AA914" i="1" s="1"/>
  <c r="W437" i="1"/>
  <c r="AC437" i="1" s="1"/>
  <c r="AD437" i="1" s="1"/>
  <c r="P636" i="1"/>
  <c r="P651" i="1"/>
  <c r="P734" i="1"/>
  <c r="AC836" i="1"/>
  <c r="AD836" i="1" s="1"/>
  <c r="X870" i="1"/>
  <c r="P875" i="1"/>
  <c r="P879" i="1"/>
  <c r="P881" i="1"/>
  <c r="P883" i="1"/>
  <c r="P891" i="1"/>
  <c r="P894" i="1"/>
  <c r="Z661" i="1"/>
  <c r="Z742" i="1"/>
  <c r="P324" i="1"/>
  <c r="P400" i="1"/>
  <c r="P632" i="1"/>
  <c r="P635" i="1"/>
  <c r="W678" i="1"/>
  <c r="AC678" i="1" s="1"/>
  <c r="AD678" i="1" s="1"/>
  <c r="P711" i="1"/>
  <c r="W713" i="1"/>
  <c r="Z713" i="1" s="1"/>
  <c r="P735" i="1"/>
  <c r="X831" i="1"/>
  <c r="P871" i="1"/>
  <c r="P877" i="1"/>
  <c r="P880" i="1"/>
  <c r="P886" i="1"/>
  <c r="P899" i="1"/>
  <c r="AA113" i="1"/>
  <c r="Y113" i="1"/>
  <c r="Y119" i="1"/>
  <c r="AA119" i="1"/>
  <c r="AB119" i="1" s="1"/>
  <c r="Y82" i="1"/>
  <c r="AA82" i="1"/>
  <c r="AE82" i="1" s="1"/>
  <c r="AF82" i="1" s="1"/>
  <c r="AA97" i="1"/>
  <c r="Y97" i="1"/>
  <c r="AA109" i="1"/>
  <c r="Y109" i="1"/>
  <c r="AA93" i="1"/>
  <c r="AE93" i="1" s="1"/>
  <c r="AF93" i="1" s="1"/>
  <c r="Y93" i="1"/>
  <c r="Y103" i="1"/>
  <c r="AA103" i="1"/>
  <c r="AB103" i="1" s="1"/>
  <c r="AC448" i="1"/>
  <c r="AD448" i="1" s="1"/>
  <c r="AA123" i="1"/>
  <c r="AB123" i="1" s="1"/>
  <c r="Y123" i="1"/>
  <c r="Z124" i="1"/>
  <c r="AA107" i="1"/>
  <c r="AB107" i="1" s="1"/>
  <c r="Y107" i="1"/>
  <c r="P6" i="1"/>
  <c r="P17" i="1"/>
  <c r="P25" i="1"/>
  <c r="W124" i="1"/>
  <c r="P142" i="1"/>
  <c r="P143" i="1"/>
  <c r="AB199" i="1"/>
  <c r="W217" i="1"/>
  <c r="AC217" i="1" s="1"/>
  <c r="AD217" i="1" s="1"/>
  <c r="W222" i="1"/>
  <c r="Y285" i="1"/>
  <c r="AA285" i="1"/>
  <c r="AE285" i="1" s="1"/>
  <c r="AF285" i="1" s="1"/>
  <c r="Y315" i="1"/>
  <c r="AA315" i="1"/>
  <c r="AB315" i="1" s="1"/>
  <c r="AC326" i="1"/>
  <c r="AD326" i="1" s="1"/>
  <c r="Y399" i="1"/>
  <c r="AA399" i="1"/>
  <c r="AC544" i="1"/>
  <c r="AD544" i="1" s="1"/>
  <c r="X572" i="1"/>
  <c r="W572" i="1"/>
  <c r="AC572" i="1" s="1"/>
  <c r="AD572" i="1" s="1"/>
  <c r="X736" i="1"/>
  <c r="W736" i="1"/>
  <c r="AC225" i="1"/>
  <c r="AD225" i="1" s="1"/>
  <c r="AC61" i="1"/>
  <c r="AD61" i="1" s="1"/>
  <c r="Y74" i="1"/>
  <c r="P5" i="1"/>
  <c r="W40" i="1"/>
  <c r="Y40" i="1" s="1"/>
  <c r="W59" i="1"/>
  <c r="AA74" i="1"/>
  <c r="AE74" i="1" s="1"/>
  <c r="AF74" i="1" s="1"/>
  <c r="Y75" i="1"/>
  <c r="W76" i="1"/>
  <c r="AC76" i="1" s="1"/>
  <c r="AD76" i="1" s="1"/>
  <c r="W87" i="1"/>
  <c r="AA87" i="1" s="1"/>
  <c r="AE87" i="1" s="1"/>
  <c r="AF87" i="1" s="1"/>
  <c r="Y91" i="1"/>
  <c r="W142" i="1"/>
  <c r="Y142" i="1" s="1"/>
  <c r="W143" i="1"/>
  <c r="Y143" i="1" s="1"/>
  <c r="Z144" i="1"/>
  <c r="W216" i="1"/>
  <c r="AA216" i="1" s="1"/>
  <c r="P315" i="1"/>
  <c r="AA431" i="1"/>
  <c r="AE431" i="1" s="1"/>
  <c r="AF431" i="1" s="1"/>
  <c r="Y431" i="1"/>
  <c r="Z604" i="1"/>
  <c r="AC604" i="1"/>
  <c r="AD604" i="1" s="1"/>
  <c r="AA604" i="1"/>
  <c r="AA612" i="1"/>
  <c r="AC612" i="1"/>
  <c r="AD612" i="1" s="1"/>
  <c r="W625" i="1"/>
  <c r="AC625" i="1" s="1"/>
  <c r="AD625" i="1" s="1"/>
  <c r="X625" i="1"/>
  <c r="AC70" i="1"/>
  <c r="AD70" i="1" s="1"/>
  <c r="AC74" i="1"/>
  <c r="AD74" i="1" s="1"/>
  <c r="Z125" i="1"/>
  <c r="AA144" i="1"/>
  <c r="AE144" i="1" s="1"/>
  <c r="AF144" i="1" s="1"/>
  <c r="P232" i="1"/>
  <c r="P239" i="1"/>
  <c r="Z285" i="1"/>
  <c r="AC317" i="1"/>
  <c r="AD317" i="1" s="1"/>
  <c r="AA317" i="1"/>
  <c r="Z597" i="1"/>
  <c r="AC597" i="1"/>
  <c r="AD597" i="1" s="1"/>
  <c r="AA597" i="1"/>
  <c r="Y597" i="1"/>
  <c r="X906" i="1"/>
  <c r="W906" i="1"/>
  <c r="AC906" i="1" s="1"/>
  <c r="AD906" i="1" s="1"/>
  <c r="W642" i="1"/>
  <c r="X642" i="1"/>
  <c r="Z642" i="1" s="1"/>
  <c r="P21" i="1"/>
  <c r="P15" i="1"/>
  <c r="W28" i="1"/>
  <c r="AA75" i="1"/>
  <c r="Y83" i="1"/>
  <c r="W4" i="1"/>
  <c r="AA4" i="1" s="1"/>
  <c r="AB4" i="1" s="1"/>
  <c r="P7" i="1"/>
  <c r="P22" i="1"/>
  <c r="P26" i="1"/>
  <c r="W50" i="1"/>
  <c r="Y64" i="1"/>
  <c r="W66" i="1"/>
  <c r="AC75" i="1"/>
  <c r="AD75" i="1" s="1"/>
  <c r="Y77" i="1"/>
  <c r="Y80" i="1"/>
  <c r="W81" i="1"/>
  <c r="AA83" i="1"/>
  <c r="AB83" i="1" s="1"/>
  <c r="W84" i="1"/>
  <c r="Z84" i="1" s="1"/>
  <c r="Y101" i="1"/>
  <c r="Y117" i="1"/>
  <c r="X140" i="1"/>
  <c r="Z140" i="1" s="1"/>
  <c r="AC144" i="1"/>
  <c r="AD144" i="1" s="1"/>
  <c r="W198" i="1"/>
  <c r="W203" i="1"/>
  <c r="Z233" i="1"/>
  <c r="W289" i="1"/>
  <c r="W416" i="1"/>
  <c r="X416" i="1"/>
  <c r="AE422" i="1"/>
  <c r="AF422" i="1" s="1"/>
  <c r="AC447" i="1"/>
  <c r="AD447" i="1" s="1"/>
  <c r="Z477" i="1"/>
  <c r="X607" i="1"/>
  <c r="W607" i="1"/>
  <c r="Y607" i="1" s="1"/>
  <c r="AA613" i="1"/>
  <c r="AC613" i="1"/>
  <c r="AD613" i="1" s="1"/>
  <c r="AC89" i="1"/>
  <c r="AD89" i="1" s="1"/>
  <c r="AC90" i="1"/>
  <c r="AD90" i="1" s="1"/>
  <c r="W57" i="1"/>
  <c r="AA57" i="1" s="1"/>
  <c r="AE57" i="1" s="1"/>
  <c r="AF57" i="1" s="1"/>
  <c r="W67" i="1"/>
  <c r="AC67" i="1" s="1"/>
  <c r="AD67" i="1" s="1"/>
  <c r="W201" i="1"/>
  <c r="W202" i="1"/>
  <c r="Y326" i="1"/>
  <c r="AA326" i="1"/>
  <c r="AE326" i="1" s="1"/>
  <c r="AF326" i="1" s="1"/>
  <c r="Z326" i="1"/>
  <c r="X549" i="1"/>
  <c r="W549" i="1"/>
  <c r="Y549" i="1" s="1"/>
  <c r="X584" i="1"/>
  <c r="W584" i="1"/>
  <c r="AC584" i="1" s="1"/>
  <c r="AD584" i="1" s="1"/>
  <c r="P10" i="1"/>
  <c r="AC37" i="1"/>
  <c r="AD37" i="1" s="1"/>
  <c r="W38" i="1"/>
  <c r="Z38" i="1" s="1"/>
  <c r="W68" i="1"/>
  <c r="AC77" i="1"/>
  <c r="AD77" i="1" s="1"/>
  <c r="X82" i="1"/>
  <c r="AC82" i="1" s="1"/>
  <c r="AD82" i="1" s="1"/>
  <c r="Y99" i="1"/>
  <c r="Y105" i="1"/>
  <c r="Y115" i="1"/>
  <c r="Y121" i="1"/>
  <c r="AA125" i="1"/>
  <c r="X127" i="1"/>
  <c r="X128" i="1"/>
  <c r="X138" i="1"/>
  <c r="AC138" i="1" s="1"/>
  <c r="AD138" i="1" s="1"/>
  <c r="P231" i="1"/>
  <c r="AC236" i="1"/>
  <c r="AD236" i="1" s="1"/>
  <c r="P238" i="1"/>
  <c r="P285" i="1"/>
  <c r="X288" i="1"/>
  <c r="Z288" i="1" s="1"/>
  <c r="AC315" i="1"/>
  <c r="AD315" i="1" s="1"/>
  <c r="AA423" i="1"/>
  <c r="Y423" i="1"/>
  <c r="X498" i="1"/>
  <c r="W498" i="1"/>
  <c r="AC568" i="1"/>
  <c r="AD568" i="1" s="1"/>
  <c r="Z568" i="1"/>
  <c r="Z599" i="1"/>
  <c r="AC599" i="1"/>
  <c r="AD599" i="1" s="1"/>
  <c r="AA599" i="1"/>
  <c r="Y599" i="1"/>
  <c r="AA601" i="1"/>
  <c r="X651" i="1"/>
  <c r="W651" i="1"/>
  <c r="Z45" i="1"/>
  <c r="W2" i="1"/>
  <c r="P11" i="1"/>
  <c r="P18" i="1"/>
  <c r="W48" i="1"/>
  <c r="Z48" i="1" s="1"/>
  <c r="AC64" i="1"/>
  <c r="AD64" i="1" s="1"/>
  <c r="AC65" i="1"/>
  <c r="AD65" i="1" s="1"/>
  <c r="AC66" i="1"/>
  <c r="AD66" i="1" s="1"/>
  <c r="W69" i="1"/>
  <c r="AC69" i="1" s="1"/>
  <c r="AD69" i="1" s="1"/>
  <c r="W70" i="1"/>
  <c r="W71" i="1"/>
  <c r="W72" i="1"/>
  <c r="AC72" i="1" s="1"/>
  <c r="AD72" i="1" s="1"/>
  <c r="W73" i="1"/>
  <c r="AC73" i="1" s="1"/>
  <c r="AD73" i="1" s="1"/>
  <c r="AC78" i="1"/>
  <c r="AD78" i="1" s="1"/>
  <c r="AC79" i="1"/>
  <c r="AD79" i="1" s="1"/>
  <c r="AC80" i="1"/>
  <c r="AD80" i="1" s="1"/>
  <c r="P87" i="1"/>
  <c r="P91" i="1"/>
  <c r="AC125" i="1"/>
  <c r="AD125" i="1" s="1"/>
  <c r="AC133" i="1"/>
  <c r="AD133" i="1" s="1"/>
  <c r="AA204" i="1"/>
  <c r="X583" i="1"/>
  <c r="Z583" i="1" s="1"/>
  <c r="W583" i="1"/>
  <c r="X606" i="1"/>
  <c r="W606" i="1"/>
  <c r="AA614" i="1"/>
  <c r="AE614" i="1" s="1"/>
  <c r="AF614" i="1" s="1"/>
  <c r="X782" i="1"/>
  <c r="W782" i="1"/>
  <c r="AA782" i="1" s="1"/>
  <c r="W313" i="1"/>
  <c r="AA313" i="1" s="1"/>
  <c r="AB313" i="1" s="1"/>
  <c r="W319" i="1"/>
  <c r="W398" i="1"/>
  <c r="Z398" i="1" s="1"/>
  <c r="X399" i="1"/>
  <c r="Z399" i="1" s="1"/>
  <c r="X436" i="1"/>
  <c r="Z436" i="1" s="1"/>
  <c r="X448" i="1"/>
  <c r="Z450" i="1"/>
  <c r="X468" i="1"/>
  <c r="AC468" i="1" s="1"/>
  <c r="AD468" i="1" s="1"/>
  <c r="W547" i="1"/>
  <c r="X552" i="1"/>
  <c r="Z552" i="1" s="1"/>
  <c r="W565" i="1"/>
  <c r="AC565" i="1" s="1"/>
  <c r="AD565" i="1" s="1"/>
  <c r="AC595" i="1"/>
  <c r="AD595" i="1" s="1"/>
  <c r="AC608" i="1"/>
  <c r="AD608" i="1" s="1"/>
  <c r="X609" i="1"/>
  <c r="AC609" i="1" s="1"/>
  <c r="AD609" i="1" s="1"/>
  <c r="X610" i="1"/>
  <c r="AC610" i="1" s="1"/>
  <c r="AD610" i="1" s="1"/>
  <c r="X611" i="1"/>
  <c r="AC611" i="1" s="1"/>
  <c r="AD611" i="1" s="1"/>
  <c r="X629" i="1"/>
  <c r="Z629" i="1" s="1"/>
  <c r="X635" i="1"/>
  <c r="W635" i="1"/>
  <c r="P638" i="1"/>
  <c r="P644" i="1"/>
  <c r="X648" i="1"/>
  <c r="AC648" i="1" s="1"/>
  <c r="AD648" i="1" s="1"/>
  <c r="Z655" i="1"/>
  <c r="X694" i="1"/>
  <c r="W694" i="1"/>
  <c r="Y694" i="1" s="1"/>
  <c r="AC844" i="1"/>
  <c r="AD844" i="1" s="1"/>
  <c r="W321" i="1"/>
  <c r="P322" i="1"/>
  <c r="P325" i="1"/>
  <c r="W409" i="1"/>
  <c r="AA409" i="1" s="1"/>
  <c r="X418" i="1"/>
  <c r="Z418" i="1" s="1"/>
  <c r="X422" i="1"/>
  <c r="AC422" i="1" s="1"/>
  <c r="AD422" i="1" s="1"/>
  <c r="AC450" i="1"/>
  <c r="AD450" i="1" s="1"/>
  <c r="W496" i="1"/>
  <c r="W563" i="1"/>
  <c r="P664" i="1"/>
  <c r="X792" i="1"/>
  <c r="W792" i="1"/>
  <c r="Y792" i="1" s="1"/>
  <c r="X808" i="1"/>
  <c r="Z808" i="1" s="1"/>
  <c r="W808" i="1"/>
  <c r="Y808" i="1" s="1"/>
  <c r="Z932" i="1"/>
  <c r="AA932" i="1"/>
  <c r="AB932" i="1" s="1"/>
  <c r="Y932" i="1"/>
  <c r="AC932" i="1"/>
  <c r="AD932" i="1" s="1"/>
  <c r="P328" i="1"/>
  <c r="Z622" i="1"/>
  <c r="X647" i="1"/>
  <c r="W647" i="1"/>
  <c r="X673" i="1"/>
  <c r="W673" i="1"/>
  <c r="X732" i="1"/>
  <c r="W732" i="1"/>
  <c r="Z732" i="1" s="1"/>
  <c r="Z762" i="1"/>
  <c r="X811" i="1"/>
  <c r="W811" i="1"/>
  <c r="X853" i="1"/>
  <c r="W853" i="1"/>
  <c r="AC870" i="1"/>
  <c r="AD870" i="1" s="1"/>
  <c r="AA870" i="1"/>
  <c r="AE870" i="1" s="1"/>
  <c r="AF870" i="1" s="1"/>
  <c r="Z870" i="1"/>
  <c r="X905" i="1"/>
  <c r="W905" i="1"/>
  <c r="AC313" i="1"/>
  <c r="AD313" i="1" s="1"/>
  <c r="W407" i="1"/>
  <c r="AA407" i="1" s="1"/>
  <c r="AE407" i="1" s="1"/>
  <c r="AF407" i="1" s="1"/>
  <c r="X412" i="1"/>
  <c r="Z412" i="1" s="1"/>
  <c r="X417" i="1"/>
  <c r="AC417" i="1" s="1"/>
  <c r="AD417" i="1" s="1"/>
  <c r="W492" i="1"/>
  <c r="Z492" i="1" s="1"/>
  <c r="AC560" i="1"/>
  <c r="AD560" i="1" s="1"/>
  <c r="Z600" i="1"/>
  <c r="AC632" i="1"/>
  <c r="AD632" i="1" s="1"/>
  <c r="Z632" i="1"/>
  <c r="P648" i="1"/>
  <c r="AC660" i="1"/>
  <c r="AD660" i="1" s="1"/>
  <c r="Z660" i="1"/>
  <c r="X706" i="1"/>
  <c r="W706" i="1"/>
  <c r="Z706" i="1" s="1"/>
  <c r="X765" i="1"/>
  <c r="W765" i="1"/>
  <c r="Z765" i="1" s="1"/>
  <c r="Z789" i="1"/>
  <c r="Z930" i="1"/>
  <c r="AA602" i="1"/>
  <c r="AA605" i="1"/>
  <c r="AC661" i="1"/>
  <c r="AD661" i="1" s="1"/>
  <c r="Y794" i="1"/>
  <c r="AC794" i="1"/>
  <c r="AD794" i="1" s="1"/>
  <c r="AA794" i="1"/>
  <c r="X864" i="1"/>
  <c r="W864" i="1"/>
  <c r="Y864" i="1" s="1"/>
  <c r="AC576" i="1"/>
  <c r="AD576" i="1" s="1"/>
  <c r="AC659" i="1"/>
  <c r="AD659" i="1" s="1"/>
  <c r="Z659" i="1"/>
  <c r="X675" i="1"/>
  <c r="W675" i="1"/>
  <c r="AC849" i="1"/>
  <c r="AD849" i="1" s="1"/>
  <c r="Z849" i="1"/>
  <c r="X852" i="1"/>
  <c r="W852" i="1"/>
  <c r="AC852" i="1" s="1"/>
  <c r="AD852" i="1" s="1"/>
  <c r="X859" i="1"/>
  <c r="Z859" i="1" s="1"/>
  <c r="W859" i="1"/>
  <c r="AC287" i="1"/>
  <c r="AD287" i="1" s="1"/>
  <c r="AC316" i="1"/>
  <c r="AD316" i="1" s="1"/>
  <c r="P321" i="1"/>
  <c r="AC408" i="1"/>
  <c r="AD408" i="1" s="1"/>
  <c r="X415" i="1"/>
  <c r="Z415" i="1" s="1"/>
  <c r="W438" i="1"/>
  <c r="Z438" i="1" s="1"/>
  <c r="W442" i="1"/>
  <c r="W470" i="1"/>
  <c r="AC470" i="1" s="1"/>
  <c r="AD470" i="1" s="1"/>
  <c r="W494" i="1"/>
  <c r="W571" i="1"/>
  <c r="Z571" i="1" s="1"/>
  <c r="W582" i="1"/>
  <c r="AC582" i="1" s="1"/>
  <c r="AD582" i="1" s="1"/>
  <c r="AB595" i="1"/>
  <c r="W596" i="1"/>
  <c r="AA598" i="1"/>
  <c r="AA600" i="1"/>
  <c r="AC605" i="1"/>
  <c r="AD605" i="1" s="1"/>
  <c r="X630" i="1"/>
  <c r="AC630" i="1" s="1"/>
  <c r="AD630" i="1" s="1"/>
  <c r="P633" i="1"/>
  <c r="X682" i="1"/>
  <c r="W682" i="1"/>
  <c r="AC682" i="1" s="1"/>
  <c r="AD682" i="1" s="1"/>
  <c r="W689" i="1"/>
  <c r="Z689" i="1" s="1"/>
  <c r="AC739" i="1"/>
  <c r="AD739" i="1" s="1"/>
  <c r="Z739" i="1"/>
  <c r="P675" i="1"/>
  <c r="P706" i="1"/>
  <c r="AC722" i="1"/>
  <c r="AD722" i="1" s="1"/>
  <c r="AC729" i="1"/>
  <c r="AD729" i="1" s="1"/>
  <c r="AC742" i="1"/>
  <c r="AD742" i="1" s="1"/>
  <c r="AC754" i="1"/>
  <c r="AD754" i="1" s="1"/>
  <c r="AC776" i="1"/>
  <c r="AD776" i="1" s="1"/>
  <c r="Z841" i="1"/>
  <c r="P859" i="1"/>
  <c r="P905" i="1"/>
  <c r="P906" i="1"/>
  <c r="AC914" i="1"/>
  <c r="AD914" i="1" s="1"/>
  <c r="Z720" i="1"/>
  <c r="W774" i="1"/>
  <c r="Z774" i="1" s="1"/>
  <c r="AC812" i="1"/>
  <c r="AD812" i="1" s="1"/>
  <c r="Z831" i="1"/>
  <c r="Z868" i="1"/>
  <c r="W907" i="1"/>
  <c r="AE932" i="1"/>
  <c r="AF932" i="1" s="1"/>
  <c r="P656" i="1"/>
  <c r="P659" i="1"/>
  <c r="P662" i="1"/>
  <c r="W663" i="1"/>
  <c r="P665" i="1"/>
  <c r="W670" i="1"/>
  <c r="Z670" i="1" s="1"/>
  <c r="AC680" i="1"/>
  <c r="AD680" i="1" s="1"/>
  <c r="W691" i="1"/>
  <c r="W699" i="1"/>
  <c r="Z699" i="1" s="1"/>
  <c r="W700" i="1"/>
  <c r="W701" i="1"/>
  <c r="AC701" i="1" s="1"/>
  <c r="AD701" i="1" s="1"/>
  <c r="W747" i="1"/>
  <c r="W757" i="1"/>
  <c r="Z757" i="1" s="1"/>
  <c r="W786" i="1"/>
  <c r="AC786" i="1" s="1"/>
  <c r="AD786" i="1" s="1"/>
  <c r="W793" i="1"/>
  <c r="AA793" i="1" s="1"/>
  <c r="W810" i="1"/>
  <c r="Z810" i="1" s="1"/>
  <c r="P832" i="1"/>
  <c r="W833" i="1"/>
  <c r="AA833" i="1" s="1"/>
  <c r="AE833" i="1" s="1"/>
  <c r="AF833" i="1" s="1"/>
  <c r="W845" i="1"/>
  <c r="W846" i="1"/>
  <c r="AC846" i="1" s="1"/>
  <c r="AD846" i="1" s="1"/>
  <c r="Z857" i="1"/>
  <c r="W877" i="1"/>
  <c r="AC877" i="1" s="1"/>
  <c r="AD877" i="1" s="1"/>
  <c r="P882" i="1"/>
  <c r="W891" i="1"/>
  <c r="P893" i="1"/>
  <c r="W902" i="1"/>
  <c r="AC902" i="1" s="1"/>
  <c r="AD902" i="1" s="1"/>
  <c r="W903" i="1"/>
  <c r="W904" i="1"/>
  <c r="Z904" i="1" s="1"/>
  <c r="W911" i="1"/>
  <c r="AA911" i="1" s="1"/>
  <c r="W915" i="1"/>
  <c r="W919" i="1"/>
  <c r="AA919" i="1" s="1"/>
  <c r="P634" i="1"/>
  <c r="P637" i="1"/>
  <c r="P655" i="1"/>
  <c r="P668" i="1"/>
  <c r="P672" i="1"/>
  <c r="P679" i="1"/>
  <c r="P680" i="1"/>
  <c r="AC685" i="1"/>
  <c r="AD685" i="1" s="1"/>
  <c r="P687" i="1"/>
  <c r="W690" i="1"/>
  <c r="P728" i="1"/>
  <c r="P733" i="1"/>
  <c r="W746" i="1"/>
  <c r="Z746" i="1" s="1"/>
  <c r="W820" i="1"/>
  <c r="AC820" i="1" s="1"/>
  <c r="AD820" i="1" s="1"/>
  <c r="AA857" i="1"/>
  <c r="AE857" i="1" s="1"/>
  <c r="AF857" i="1" s="1"/>
  <c r="Z861" i="1"/>
  <c r="W878" i="1"/>
  <c r="W890" i="1"/>
  <c r="AA890" i="1" s="1"/>
  <c r="W895" i="1"/>
  <c r="P897" i="1"/>
  <c r="W901" i="1"/>
  <c r="AC901" i="1" s="1"/>
  <c r="AD901" i="1" s="1"/>
  <c r="W910" i="1"/>
  <c r="W922" i="1"/>
  <c r="Y922" i="1" s="1"/>
  <c r="W926" i="1"/>
  <c r="P671" i="1"/>
  <c r="W681" i="1"/>
  <c r="Z681" i="1" s="1"/>
  <c r="P709" i="1"/>
  <c r="W710" i="1"/>
  <c r="AC710" i="1" s="1"/>
  <c r="AD710" i="1" s="1"/>
  <c r="P732" i="1"/>
  <c r="W762" i="1"/>
  <c r="AC762" i="1" s="1"/>
  <c r="AD762" i="1" s="1"/>
  <c r="W771" i="1"/>
  <c r="Y771" i="1" s="1"/>
  <c r="W818" i="1"/>
  <c r="W828" i="1"/>
  <c r="Z828" i="1" s="1"/>
  <c r="P868" i="1"/>
  <c r="W874" i="1"/>
  <c r="AA874" i="1" s="1"/>
  <c r="AB874" i="1" s="1"/>
  <c r="W883" i="1"/>
  <c r="Y883" i="1" s="1"/>
  <c r="P884" i="1"/>
  <c r="P885" i="1"/>
  <c r="P887" i="1"/>
  <c r="AC891" i="1"/>
  <c r="AD891" i="1" s="1"/>
  <c r="Z663" i="1"/>
  <c r="W778" i="1"/>
  <c r="Z778" i="1" s="1"/>
  <c r="Z794" i="1"/>
  <c r="AA868" i="1"/>
  <c r="AE868" i="1" s="1"/>
  <c r="AF868" i="1" s="1"/>
  <c r="P872" i="1"/>
  <c r="Z895" i="1"/>
  <c r="P230" i="1"/>
  <c r="P690" i="1"/>
  <c r="P639" i="1"/>
  <c r="P873" i="1"/>
  <c r="P20" i="1"/>
  <c r="P642" i="1"/>
  <c r="P640" i="1"/>
  <c r="P878" i="1"/>
  <c r="P145" i="1"/>
  <c r="P236" i="1"/>
  <c r="P778" i="1"/>
  <c r="Y4" i="1"/>
  <c r="U5" i="1"/>
  <c r="U6" i="1" s="1"/>
  <c r="U7" i="1" s="1"/>
  <c r="U8" i="1" s="1"/>
  <c r="U9" i="1" s="1"/>
  <c r="U10" i="1" s="1"/>
  <c r="U11" i="1" s="1"/>
  <c r="U12" i="1" s="1"/>
  <c r="U13" i="1" s="1"/>
  <c r="U14" i="1" s="1"/>
  <c r="U15" i="1" s="1"/>
  <c r="U16" i="1" s="1"/>
  <c r="U17" i="1" s="1"/>
  <c r="U18" i="1" s="1"/>
  <c r="U19" i="1" s="1"/>
  <c r="U20" i="1" s="1"/>
  <c r="U21" i="1" s="1"/>
  <c r="U22" i="1" s="1"/>
  <c r="U23" i="1" s="1"/>
  <c r="U24" i="1" s="1"/>
  <c r="U25" i="1" s="1"/>
  <c r="U26" i="1" s="1"/>
  <c r="U27" i="1" s="1"/>
  <c r="Y38" i="1"/>
  <c r="U39" i="1"/>
  <c r="U40" i="1" s="1"/>
  <c r="U41" i="1" s="1"/>
  <c r="AE4" i="1"/>
  <c r="AF4" i="1" s="1"/>
  <c r="AA32" i="1"/>
  <c r="U33" i="1"/>
  <c r="AC34" i="1"/>
  <c r="AD34" i="1" s="1"/>
  <c r="AA34" i="1"/>
  <c r="Z34" i="1"/>
  <c r="Y34" i="1"/>
  <c r="Z36" i="1"/>
  <c r="Y36" i="1"/>
  <c r="AC36" i="1"/>
  <c r="AD36" i="1" s="1"/>
  <c r="AA36" i="1"/>
  <c r="Y50" i="1"/>
  <c r="W6" i="1"/>
  <c r="T7" i="1"/>
  <c r="W3" i="1"/>
  <c r="Y2" i="1"/>
  <c r="X3" i="1"/>
  <c r="Y35" i="1"/>
  <c r="X43" i="1"/>
  <c r="AC43" i="1" s="1"/>
  <c r="AD43" i="1" s="1"/>
  <c r="Y44" i="1"/>
  <c r="AC46" i="1"/>
  <c r="AD46" i="1" s="1"/>
  <c r="AA48" i="1"/>
  <c r="Z50" i="1"/>
  <c r="W56" i="1"/>
  <c r="AC59" i="1"/>
  <c r="AD59" i="1" s="1"/>
  <c r="Z70" i="1"/>
  <c r="Z78" i="1"/>
  <c r="P88" i="1"/>
  <c r="Y92" i="1"/>
  <c r="AA92" i="1"/>
  <c r="AE97" i="1"/>
  <c r="AF97" i="1" s="1"/>
  <c r="AB97" i="1"/>
  <c r="AA141" i="1"/>
  <c r="Z141" i="1"/>
  <c r="Y141" i="1"/>
  <c r="AC141" i="1"/>
  <c r="AD141" i="1" s="1"/>
  <c r="Z2" i="1"/>
  <c r="W42" i="1"/>
  <c r="Y43" i="1"/>
  <c r="AA44" i="1"/>
  <c r="AC45" i="1"/>
  <c r="AD45" i="1" s="1"/>
  <c r="AA50" i="1"/>
  <c r="Q59" i="1"/>
  <c r="P58" i="1"/>
  <c r="Z65" i="1"/>
  <c r="Z73" i="1"/>
  <c r="AB75" i="1"/>
  <c r="AE75" i="1"/>
  <c r="AF75" i="1" s="1"/>
  <c r="AE101" i="1"/>
  <c r="AF101" i="1" s="1"/>
  <c r="AB101" i="1"/>
  <c r="AC140" i="1"/>
  <c r="AD140" i="1" s="1"/>
  <c r="AA140" i="1"/>
  <c r="Y140" i="1"/>
  <c r="W30" i="1"/>
  <c r="X42" i="1"/>
  <c r="AC48" i="1"/>
  <c r="AD48" i="1" s="1"/>
  <c r="AC50" i="1"/>
  <c r="AD50" i="1" s="1"/>
  <c r="AC52" i="1"/>
  <c r="AD52" i="1" s="1"/>
  <c r="X54" i="1"/>
  <c r="W54" i="1"/>
  <c r="AB78" i="1"/>
  <c r="AE78" i="1"/>
  <c r="AF78" i="1" s="1"/>
  <c r="Z89" i="1"/>
  <c r="AE105" i="1"/>
  <c r="AF105" i="1" s="1"/>
  <c r="AB105" i="1"/>
  <c r="Z28" i="1"/>
  <c r="AA29" i="1"/>
  <c r="Y29" i="1"/>
  <c r="W60" i="1"/>
  <c r="Z61" i="1"/>
  <c r="Y61" i="1"/>
  <c r="Z79" i="1"/>
  <c r="Z90" i="1"/>
  <c r="W94" i="1"/>
  <c r="AE109" i="1"/>
  <c r="AF109" i="1" s="1"/>
  <c r="AB109" i="1"/>
  <c r="AE113" i="1"/>
  <c r="AF113" i="1" s="1"/>
  <c r="AB113" i="1"/>
  <c r="AC128" i="1"/>
  <c r="AD128" i="1" s="1"/>
  <c r="AA128" i="1"/>
  <c r="Z128" i="1"/>
  <c r="Y128" i="1"/>
  <c r="AA138" i="1"/>
  <c r="Z138" i="1"/>
  <c r="Y138" i="1"/>
  <c r="W88" i="1"/>
  <c r="X88" i="1"/>
  <c r="AB89" i="1"/>
  <c r="AE89" i="1"/>
  <c r="AF89" i="1" s="1"/>
  <c r="W98" i="1"/>
  <c r="Y37" i="1"/>
  <c r="X5" i="1"/>
  <c r="AC5" i="1" s="1"/>
  <c r="AD5" i="1" s="1"/>
  <c r="Y28" i="1"/>
  <c r="Z29" i="1"/>
  <c r="W33" i="1"/>
  <c r="AA38" i="1"/>
  <c r="AA45" i="1"/>
  <c r="Y45" i="1"/>
  <c r="Y46" i="1"/>
  <c r="W51" i="1"/>
  <c r="AA61" i="1"/>
  <c r="AB79" i="1"/>
  <c r="AE79" i="1"/>
  <c r="AF79" i="1" s="1"/>
  <c r="AB90" i="1"/>
  <c r="AE90" i="1"/>
  <c r="AF90" i="1" s="1"/>
  <c r="S92" i="1"/>
  <c r="X91" i="1"/>
  <c r="AC91" i="1" s="1"/>
  <c r="AD91" i="1" s="1"/>
  <c r="W102" i="1"/>
  <c r="AE117" i="1"/>
  <c r="AF117" i="1" s="1"/>
  <c r="AB117" i="1"/>
  <c r="AC132" i="1"/>
  <c r="AD132" i="1" s="1"/>
  <c r="AA132" i="1"/>
  <c r="AB132" i="1" s="1"/>
  <c r="Z132" i="1"/>
  <c r="Y132" i="1"/>
  <c r="AC35" i="1"/>
  <c r="AD35" i="1" s="1"/>
  <c r="AA35" i="1"/>
  <c r="W41" i="1"/>
  <c r="AA46" i="1"/>
  <c r="AB46" i="1" s="1"/>
  <c r="X63" i="1"/>
  <c r="W63" i="1"/>
  <c r="AB74" i="1"/>
  <c r="AB82" i="1"/>
  <c r="Z85" i="1"/>
  <c r="Y85" i="1"/>
  <c r="AC85" i="1"/>
  <c r="AD85" i="1" s="1"/>
  <c r="AA85" i="1"/>
  <c r="W106" i="1"/>
  <c r="AC136" i="1"/>
  <c r="AD136" i="1" s="1"/>
  <c r="AA136" i="1"/>
  <c r="AB136" i="1" s="1"/>
  <c r="Z136" i="1"/>
  <c r="Y136" i="1"/>
  <c r="AC29" i="1"/>
  <c r="AD29" i="1" s="1"/>
  <c r="AC38" i="1"/>
  <c r="AD38" i="1" s="1"/>
  <c r="AA43" i="1"/>
  <c r="AB43" i="1" s="1"/>
  <c r="Y48" i="1"/>
  <c r="Z57" i="1"/>
  <c r="AC62" i="1"/>
  <c r="AD62" i="1" s="1"/>
  <c r="AA62" i="1"/>
  <c r="Y62" i="1"/>
  <c r="AB77" i="1"/>
  <c r="AC84" i="1"/>
  <c r="AD84" i="1" s="1"/>
  <c r="AB93" i="1"/>
  <c r="W110" i="1"/>
  <c r="AE121" i="1"/>
  <c r="AF121" i="1" s="1"/>
  <c r="AB121" i="1"/>
  <c r="AA96" i="1"/>
  <c r="AA100" i="1"/>
  <c r="AA104" i="1"/>
  <c r="AA108" i="1"/>
  <c r="AA112" i="1"/>
  <c r="W114" i="1"/>
  <c r="AA116" i="1"/>
  <c r="W118" i="1"/>
  <c r="AA120" i="1"/>
  <c r="W122" i="1"/>
  <c r="AE126" i="1"/>
  <c r="AF126" i="1" s="1"/>
  <c r="AC127" i="1"/>
  <c r="AD127" i="1" s="1"/>
  <c r="AC135" i="1"/>
  <c r="AD135" i="1" s="1"/>
  <c r="X196" i="1"/>
  <c r="W196" i="1"/>
  <c r="X197" i="1"/>
  <c r="W197" i="1"/>
  <c r="AA206" i="1"/>
  <c r="Z206" i="1"/>
  <c r="AC206" i="1"/>
  <c r="AD206" i="1" s="1"/>
  <c r="AC126" i="1"/>
  <c r="AD126" i="1" s="1"/>
  <c r="AC134" i="1"/>
  <c r="AD134" i="1" s="1"/>
  <c r="AA139" i="1"/>
  <c r="AB139" i="1" s="1"/>
  <c r="X146" i="1"/>
  <c r="W146" i="1"/>
  <c r="X150" i="1"/>
  <c r="W150" i="1"/>
  <c r="X154" i="1"/>
  <c r="W154" i="1"/>
  <c r="X158" i="1"/>
  <c r="W158" i="1"/>
  <c r="X162" i="1"/>
  <c r="W162" i="1"/>
  <c r="X166" i="1"/>
  <c r="W166" i="1"/>
  <c r="X170" i="1"/>
  <c r="W170" i="1"/>
  <c r="X174" i="1"/>
  <c r="W174" i="1"/>
  <c r="X178" i="1"/>
  <c r="W178" i="1"/>
  <c r="X182" i="1"/>
  <c r="W182" i="1"/>
  <c r="X186" i="1"/>
  <c r="W186" i="1"/>
  <c r="X190" i="1"/>
  <c r="W190" i="1"/>
  <c r="AA211" i="1"/>
  <c r="Z211" i="1"/>
  <c r="Y211" i="1"/>
  <c r="AC211" i="1"/>
  <c r="AD211" i="1" s="1"/>
  <c r="Y89" i="1"/>
  <c r="Y90" i="1"/>
  <c r="AE91" i="1"/>
  <c r="AF91" i="1" s="1"/>
  <c r="Q92" i="1"/>
  <c r="AE95" i="1"/>
  <c r="AF95" i="1" s="1"/>
  <c r="AE99" i="1"/>
  <c r="AF99" i="1" s="1"/>
  <c r="AE107" i="1"/>
  <c r="AF107" i="1" s="1"/>
  <c r="AE111" i="1"/>
  <c r="AF111" i="1" s="1"/>
  <c r="AE115" i="1"/>
  <c r="AF115" i="1" s="1"/>
  <c r="AE119" i="1"/>
  <c r="AF119" i="1" s="1"/>
  <c r="AE123" i="1"/>
  <c r="AF123" i="1" s="1"/>
  <c r="Y127" i="1"/>
  <c r="Y135" i="1"/>
  <c r="X139" i="1"/>
  <c r="AC139" i="1" s="1"/>
  <c r="AD139" i="1" s="1"/>
  <c r="AB144" i="1"/>
  <c r="Z202" i="1"/>
  <c r="AC202" i="1"/>
  <c r="AD202" i="1" s="1"/>
  <c r="AA202" i="1"/>
  <c r="Y202" i="1"/>
  <c r="Y206" i="1"/>
  <c r="W31" i="1"/>
  <c r="W39" i="1"/>
  <c r="W47" i="1"/>
  <c r="W55" i="1"/>
  <c r="Y126" i="1"/>
  <c r="Z127" i="1"/>
  <c r="Y134" i="1"/>
  <c r="Z135" i="1"/>
  <c r="Y139" i="1"/>
  <c r="Z142" i="1"/>
  <c r="X147" i="1"/>
  <c r="W147" i="1"/>
  <c r="X151" i="1"/>
  <c r="W151" i="1"/>
  <c r="X155" i="1"/>
  <c r="W155" i="1"/>
  <c r="X159" i="1"/>
  <c r="W159" i="1"/>
  <c r="X163" i="1"/>
  <c r="W163" i="1"/>
  <c r="X167" i="1"/>
  <c r="W167" i="1"/>
  <c r="X171" i="1"/>
  <c r="W171" i="1"/>
  <c r="X175" i="1"/>
  <c r="W175" i="1"/>
  <c r="X179" i="1"/>
  <c r="W179" i="1"/>
  <c r="X183" i="1"/>
  <c r="W183" i="1"/>
  <c r="X187" i="1"/>
  <c r="W187" i="1"/>
  <c r="X191" i="1"/>
  <c r="W191" i="1"/>
  <c r="AC233" i="1"/>
  <c r="AD233" i="1" s="1"/>
  <c r="AA233" i="1"/>
  <c r="AB233" i="1" s="1"/>
  <c r="AC235" i="1"/>
  <c r="AD235" i="1" s="1"/>
  <c r="Z126" i="1"/>
  <c r="Z134" i="1"/>
  <c r="Z139" i="1"/>
  <c r="X192" i="1"/>
  <c r="W192" i="1"/>
  <c r="W232" i="1"/>
  <c r="X232" i="1"/>
  <c r="W49" i="1"/>
  <c r="W58" i="1"/>
  <c r="W86" i="1"/>
  <c r="AA126" i="1"/>
  <c r="AB126" i="1" s="1"/>
  <c r="AB127" i="1"/>
  <c r="W130" i="1"/>
  <c r="Z133" i="1"/>
  <c r="AA134" i="1"/>
  <c r="AB134" i="1" s="1"/>
  <c r="AB135" i="1"/>
  <c r="W137" i="1"/>
  <c r="X148" i="1"/>
  <c r="W148" i="1"/>
  <c r="X152" i="1"/>
  <c r="W152" i="1"/>
  <c r="X156" i="1"/>
  <c r="W156" i="1"/>
  <c r="X160" i="1"/>
  <c r="W160" i="1"/>
  <c r="X164" i="1"/>
  <c r="W164" i="1"/>
  <c r="X168" i="1"/>
  <c r="W168" i="1"/>
  <c r="X172" i="1"/>
  <c r="W172" i="1"/>
  <c r="X176" i="1"/>
  <c r="W176" i="1"/>
  <c r="X180" i="1"/>
  <c r="W180" i="1"/>
  <c r="X184" i="1"/>
  <c r="W184" i="1"/>
  <c r="X188" i="1"/>
  <c r="W188" i="1"/>
  <c r="X193" i="1"/>
  <c r="W193" i="1"/>
  <c r="AB204" i="1"/>
  <c r="AE204" i="1"/>
  <c r="AF204" i="1" s="1"/>
  <c r="Y96" i="1"/>
  <c r="Y100" i="1"/>
  <c r="Y104" i="1"/>
  <c r="Y108" i="1"/>
  <c r="Y112" i="1"/>
  <c r="Y116" i="1"/>
  <c r="Y120" i="1"/>
  <c r="W129" i="1"/>
  <c r="AA133" i="1"/>
  <c r="X145" i="1"/>
  <c r="W145" i="1"/>
  <c r="X194" i="1"/>
  <c r="W194" i="1"/>
  <c r="AA209" i="1"/>
  <c r="Y209" i="1"/>
  <c r="AC209" i="1"/>
  <c r="AD209" i="1" s="1"/>
  <c r="AA214" i="1"/>
  <c r="Z214" i="1"/>
  <c r="Y214" i="1"/>
  <c r="AC214" i="1"/>
  <c r="AD214" i="1" s="1"/>
  <c r="W241" i="1"/>
  <c r="X241" i="1"/>
  <c r="X149" i="1"/>
  <c r="W149" i="1"/>
  <c r="X153" i="1"/>
  <c r="W153" i="1"/>
  <c r="X157" i="1"/>
  <c r="W157" i="1"/>
  <c r="X161" i="1"/>
  <c r="W161" i="1"/>
  <c r="X165" i="1"/>
  <c r="W165" i="1"/>
  <c r="X169" i="1"/>
  <c r="W169" i="1"/>
  <c r="X173" i="1"/>
  <c r="W173" i="1"/>
  <c r="X177" i="1"/>
  <c r="W177" i="1"/>
  <c r="X181" i="1"/>
  <c r="W181" i="1"/>
  <c r="X185" i="1"/>
  <c r="W185" i="1"/>
  <c r="X189" i="1"/>
  <c r="W189" i="1"/>
  <c r="X195" i="1"/>
  <c r="W195" i="1"/>
  <c r="Z201" i="1"/>
  <c r="AC201" i="1"/>
  <c r="AD201" i="1" s="1"/>
  <c r="AA201" i="1"/>
  <c r="Y201" i="1"/>
  <c r="W231" i="1"/>
  <c r="X231" i="1"/>
  <c r="W239" i="1"/>
  <c r="X239" i="1"/>
  <c r="W240" i="1"/>
  <c r="X240" i="1"/>
  <c r="W248" i="1"/>
  <c r="X248" i="1"/>
  <c r="Y288" i="1"/>
  <c r="AA288" i="1"/>
  <c r="AC288" i="1"/>
  <c r="AD288" i="1" s="1"/>
  <c r="W339" i="1"/>
  <c r="X339" i="1"/>
  <c r="W343" i="1"/>
  <c r="X343" i="1"/>
  <c r="W347" i="1"/>
  <c r="X347" i="1"/>
  <c r="W351" i="1"/>
  <c r="X351" i="1"/>
  <c r="W355" i="1"/>
  <c r="X355" i="1"/>
  <c r="W249" i="1"/>
  <c r="X249" i="1"/>
  <c r="W308" i="1"/>
  <c r="X308" i="1"/>
  <c r="W324" i="1"/>
  <c r="X324" i="1"/>
  <c r="W332" i="1"/>
  <c r="X332" i="1"/>
  <c r="W242" i="1"/>
  <c r="X242" i="1"/>
  <c r="W250" i="1"/>
  <c r="X250" i="1"/>
  <c r="W255" i="1"/>
  <c r="X255" i="1"/>
  <c r="W256" i="1"/>
  <c r="X256" i="1"/>
  <c r="W257" i="1"/>
  <c r="X257" i="1"/>
  <c r="W258" i="1"/>
  <c r="X258" i="1"/>
  <c r="W259" i="1"/>
  <c r="X259" i="1"/>
  <c r="W260" i="1"/>
  <c r="X260" i="1"/>
  <c r="W261" i="1"/>
  <c r="X261" i="1"/>
  <c r="W262" i="1"/>
  <c r="X262" i="1"/>
  <c r="W263" i="1"/>
  <c r="X263" i="1"/>
  <c r="W264" i="1"/>
  <c r="X264" i="1"/>
  <c r="W265" i="1"/>
  <c r="X265" i="1"/>
  <c r="W266" i="1"/>
  <c r="X266" i="1"/>
  <c r="W267" i="1"/>
  <c r="X267" i="1"/>
  <c r="W268" i="1"/>
  <c r="X268" i="1"/>
  <c r="W269" i="1"/>
  <c r="X269" i="1"/>
  <c r="W270" i="1"/>
  <c r="X270" i="1"/>
  <c r="W271" i="1"/>
  <c r="X271" i="1"/>
  <c r="W272" i="1"/>
  <c r="X272" i="1"/>
  <c r="W273" i="1"/>
  <c r="X273" i="1"/>
  <c r="W274" i="1"/>
  <c r="X274" i="1"/>
  <c r="W275" i="1"/>
  <c r="X275" i="1"/>
  <c r="W276" i="1"/>
  <c r="X276" i="1"/>
  <c r="W277" i="1"/>
  <c r="X277" i="1"/>
  <c r="W278" i="1"/>
  <c r="X278" i="1"/>
  <c r="W279" i="1"/>
  <c r="X279" i="1"/>
  <c r="W280" i="1"/>
  <c r="X280" i="1"/>
  <c r="W281" i="1"/>
  <c r="X281" i="1"/>
  <c r="W282" i="1"/>
  <c r="X282" i="1"/>
  <c r="AA205" i="1"/>
  <c r="Z205" i="1"/>
  <c r="AA208" i="1"/>
  <c r="Z208" i="1"/>
  <c r="Y208" i="1"/>
  <c r="Z216" i="1"/>
  <c r="AA218" i="1"/>
  <c r="Z218" i="1"/>
  <c r="Y218" i="1"/>
  <c r="AA220" i="1"/>
  <c r="Z220" i="1"/>
  <c r="Y220" i="1"/>
  <c r="AA222" i="1"/>
  <c r="Z222" i="1"/>
  <c r="Y222" i="1"/>
  <c r="AA224" i="1"/>
  <c r="Z224" i="1"/>
  <c r="Y224" i="1"/>
  <c r="AA226" i="1"/>
  <c r="Z226" i="1"/>
  <c r="Y226" i="1"/>
  <c r="AA234" i="1"/>
  <c r="Z234" i="1"/>
  <c r="AC234" i="1"/>
  <c r="AD234" i="1" s="1"/>
  <c r="W243" i="1"/>
  <c r="X243" i="1"/>
  <c r="W251" i="1"/>
  <c r="X251" i="1"/>
  <c r="W252" i="1"/>
  <c r="X252" i="1"/>
  <c r="W253" i="1"/>
  <c r="X253" i="1"/>
  <c r="W254" i="1"/>
  <c r="X254" i="1"/>
  <c r="AC290" i="1"/>
  <c r="AD290" i="1" s="1"/>
  <c r="AA290" i="1"/>
  <c r="Z290" i="1"/>
  <c r="AC314" i="1"/>
  <c r="AD314" i="1" s="1"/>
  <c r="AA314" i="1"/>
  <c r="Z314" i="1"/>
  <c r="Y314" i="1"/>
  <c r="W323" i="1"/>
  <c r="X323" i="1"/>
  <c r="Z199" i="1"/>
  <c r="AA213" i="1"/>
  <c r="Z213" i="1"/>
  <c r="Y213" i="1"/>
  <c r="Z228" i="1"/>
  <c r="Y228" i="1"/>
  <c r="AA228" i="1"/>
  <c r="W244" i="1"/>
  <c r="X244" i="1"/>
  <c r="AA322" i="1"/>
  <c r="AB322" i="1" s="1"/>
  <c r="W341" i="1"/>
  <c r="X341" i="1"/>
  <c r="W345" i="1"/>
  <c r="X345" i="1"/>
  <c r="W349" i="1"/>
  <c r="X349" i="1"/>
  <c r="W353" i="1"/>
  <c r="X353" i="1"/>
  <c r="Y200" i="1"/>
  <c r="Y205" i="1"/>
  <c r="AA207" i="1"/>
  <c r="Z207" i="1"/>
  <c r="AA210" i="1"/>
  <c r="Y210" i="1"/>
  <c r="AC218" i="1"/>
  <c r="AD218" i="1" s="1"/>
  <c r="AC220" i="1"/>
  <c r="AD220" i="1" s="1"/>
  <c r="AC222" i="1"/>
  <c r="AD222" i="1" s="1"/>
  <c r="AC224" i="1"/>
  <c r="AD224" i="1" s="1"/>
  <c r="AC226" i="1"/>
  <c r="AD226" i="1" s="1"/>
  <c r="Y234" i="1"/>
  <c r="Z236" i="1"/>
  <c r="Y236" i="1"/>
  <c r="AA236" i="1"/>
  <c r="W245" i="1"/>
  <c r="X245" i="1"/>
  <c r="W304" i="1"/>
  <c r="X304" i="1"/>
  <c r="W312" i="1"/>
  <c r="X312" i="1"/>
  <c r="W336" i="1"/>
  <c r="X336" i="1"/>
  <c r="Y199" i="1"/>
  <c r="AA200" i="1"/>
  <c r="AC205" i="1"/>
  <c r="AD205" i="1" s="1"/>
  <c r="AC208" i="1"/>
  <c r="AD208" i="1" s="1"/>
  <c r="AA215" i="1"/>
  <c r="Z215" i="1"/>
  <c r="Y215" i="1"/>
  <c r="AC228" i="1"/>
  <c r="AD228" i="1" s="1"/>
  <c r="W246" i="1"/>
  <c r="X246" i="1"/>
  <c r="AB285" i="1"/>
  <c r="X291" i="1"/>
  <c r="W291" i="1"/>
  <c r="W300" i="1"/>
  <c r="X300" i="1"/>
  <c r="Z203" i="1"/>
  <c r="Y204" i="1"/>
  <c r="Y207" i="1"/>
  <c r="AA212" i="1"/>
  <c r="Y212" i="1"/>
  <c r="Y217" i="1"/>
  <c r="AA219" i="1"/>
  <c r="Z219" i="1"/>
  <c r="Y219" i="1"/>
  <c r="AA221" i="1"/>
  <c r="Z221" i="1"/>
  <c r="Y221" i="1"/>
  <c r="AA225" i="1"/>
  <c r="Z225" i="1"/>
  <c r="Y225" i="1"/>
  <c r="AA227" i="1"/>
  <c r="Z227" i="1"/>
  <c r="Y227" i="1"/>
  <c r="W247" i="1"/>
  <c r="X247" i="1"/>
  <c r="W296" i="1"/>
  <c r="X296" i="1"/>
  <c r="Z313" i="1"/>
  <c r="W325" i="1"/>
  <c r="X325" i="1"/>
  <c r="X327" i="1"/>
  <c r="W327" i="1"/>
  <c r="X322" i="1"/>
  <c r="Z322" i="1" s="1"/>
  <c r="W328" i="1"/>
  <c r="W372" i="1"/>
  <c r="W380" i="1"/>
  <c r="AA410" i="1"/>
  <c r="Z410" i="1"/>
  <c r="Y410" i="1"/>
  <c r="AC410" i="1"/>
  <c r="AD410" i="1" s="1"/>
  <c r="AC416" i="1"/>
  <c r="AD416" i="1" s="1"/>
  <c r="AA416" i="1"/>
  <c r="AB416" i="1" s="1"/>
  <c r="Y416" i="1"/>
  <c r="W433" i="1"/>
  <c r="X433" i="1"/>
  <c r="W357" i="1"/>
  <c r="W359" i="1"/>
  <c r="W361" i="1"/>
  <c r="W363" i="1"/>
  <c r="W365" i="1"/>
  <c r="W367" i="1"/>
  <c r="W375" i="1"/>
  <c r="Z421" i="1"/>
  <c r="Y421" i="1"/>
  <c r="AA421" i="1"/>
  <c r="AE427" i="1"/>
  <c r="AF427" i="1" s="1"/>
  <c r="AB427" i="1"/>
  <c r="AA432" i="1"/>
  <c r="AB432" i="1" s="1"/>
  <c r="X456" i="1"/>
  <c r="W456" i="1"/>
  <c r="W466" i="1"/>
  <c r="X466" i="1"/>
  <c r="P314" i="1"/>
  <c r="W370" i="1"/>
  <c r="W378" i="1"/>
  <c r="AA415" i="1"/>
  <c r="Y415" i="1"/>
  <c r="AC427" i="1"/>
  <c r="AD427" i="1" s="1"/>
  <c r="Z427" i="1"/>
  <c r="W482" i="1"/>
  <c r="X482" i="1"/>
  <c r="AC285" i="1"/>
  <c r="AD285" i="1" s="1"/>
  <c r="W295" i="1"/>
  <c r="W299" i="1"/>
  <c r="W303" i="1"/>
  <c r="W307" i="1"/>
  <c r="W311" i="1"/>
  <c r="AE313" i="1"/>
  <c r="AF313" i="1" s="1"/>
  <c r="Z317" i="1"/>
  <c r="Z321" i="1"/>
  <c r="AB326" i="1"/>
  <c r="W331" i="1"/>
  <c r="W335" i="1"/>
  <c r="W373" i="1"/>
  <c r="W381" i="1"/>
  <c r="AA414" i="1"/>
  <c r="Z414" i="1"/>
  <c r="Y414" i="1"/>
  <c r="AC414" i="1"/>
  <c r="AD414" i="1" s="1"/>
  <c r="AE426" i="1"/>
  <c r="AF426" i="1" s="1"/>
  <c r="Z429" i="1"/>
  <c r="Y429" i="1"/>
  <c r="AC429" i="1"/>
  <c r="AD429" i="1" s="1"/>
  <c r="AA429" i="1"/>
  <c r="W320" i="1"/>
  <c r="AA321" i="1"/>
  <c r="W368" i="1"/>
  <c r="W376" i="1"/>
  <c r="Z413" i="1"/>
  <c r="Y413" i="1"/>
  <c r="AC413" i="1"/>
  <c r="AD413" i="1" s="1"/>
  <c r="AA413" i="1"/>
  <c r="AE423" i="1"/>
  <c r="AF423" i="1" s="1"/>
  <c r="AB423" i="1"/>
  <c r="W229" i="1"/>
  <c r="W237" i="1"/>
  <c r="W286" i="1"/>
  <c r="W292" i="1"/>
  <c r="W294" i="1"/>
  <c r="W298" i="1"/>
  <c r="W302" i="1"/>
  <c r="W306" i="1"/>
  <c r="W310" i="1"/>
  <c r="Y316" i="1"/>
  <c r="Y317" i="1"/>
  <c r="W330" i="1"/>
  <c r="W334" i="1"/>
  <c r="W338" i="1"/>
  <c r="W340" i="1"/>
  <c r="W342" i="1"/>
  <c r="W344" i="1"/>
  <c r="W346" i="1"/>
  <c r="W348" i="1"/>
  <c r="W350" i="1"/>
  <c r="W352" i="1"/>
  <c r="W354" i="1"/>
  <c r="W356" i="1"/>
  <c r="X357" i="1"/>
  <c r="W358" i="1"/>
  <c r="X359" i="1"/>
  <c r="W360" i="1"/>
  <c r="X361" i="1"/>
  <c r="W362" i="1"/>
  <c r="X363" i="1"/>
  <c r="W364" i="1"/>
  <c r="X365" i="1"/>
  <c r="W366" i="1"/>
  <c r="X367" i="1"/>
  <c r="W371" i="1"/>
  <c r="X375" i="1"/>
  <c r="W379" i="1"/>
  <c r="Z407" i="1"/>
  <c r="Z408" i="1"/>
  <c r="AE409" i="1"/>
  <c r="AF409" i="1" s="1"/>
  <c r="AB409" i="1"/>
  <c r="AC412" i="1"/>
  <c r="AD412" i="1" s="1"/>
  <c r="AA412" i="1"/>
  <c r="AB412" i="1" s="1"/>
  <c r="Y412" i="1"/>
  <c r="AA419" i="1"/>
  <c r="Y419" i="1"/>
  <c r="AC423" i="1"/>
  <c r="AD423" i="1" s="1"/>
  <c r="Z423" i="1"/>
  <c r="U437" i="1"/>
  <c r="AA436" i="1"/>
  <c r="W230" i="1"/>
  <c r="W238" i="1"/>
  <c r="Z287" i="1"/>
  <c r="W293" i="1"/>
  <c r="Y313" i="1"/>
  <c r="X328" i="1"/>
  <c r="X370" i="1"/>
  <c r="W374" i="1"/>
  <c r="X378" i="1"/>
  <c r="W382" i="1"/>
  <c r="AA418" i="1"/>
  <c r="Y418" i="1"/>
  <c r="Z425" i="1"/>
  <c r="Y425" i="1"/>
  <c r="AC425" i="1"/>
  <c r="AD425" i="1" s="1"/>
  <c r="AA425" i="1"/>
  <c r="AC431" i="1"/>
  <c r="AD431" i="1" s="1"/>
  <c r="Z431" i="1"/>
  <c r="Y432" i="1"/>
  <c r="Z283" i="1"/>
  <c r="AA287" i="1"/>
  <c r="AB287" i="1" s="1"/>
  <c r="W297" i="1"/>
  <c r="W301" i="1"/>
  <c r="W305" i="1"/>
  <c r="W309" i="1"/>
  <c r="W329" i="1"/>
  <c r="W333" i="1"/>
  <c r="W337" i="1"/>
  <c r="W369" i="1"/>
  <c r="W377" i="1"/>
  <c r="AA398" i="1"/>
  <c r="AC411" i="1"/>
  <c r="AD411" i="1" s="1"/>
  <c r="AA411" i="1"/>
  <c r="Z411" i="1"/>
  <c r="Y411" i="1"/>
  <c r="Y417" i="1"/>
  <c r="AA417" i="1"/>
  <c r="U471" i="1"/>
  <c r="U472" i="1" s="1"/>
  <c r="Y470" i="1"/>
  <c r="W512" i="1"/>
  <c r="X512" i="1"/>
  <c r="W383" i="1"/>
  <c r="W384" i="1"/>
  <c r="W385" i="1"/>
  <c r="W386" i="1"/>
  <c r="W387" i="1"/>
  <c r="W388" i="1"/>
  <c r="W389" i="1"/>
  <c r="W390" i="1"/>
  <c r="W391" i="1"/>
  <c r="W392" i="1"/>
  <c r="W393" i="1"/>
  <c r="W394" i="1"/>
  <c r="W395" i="1"/>
  <c r="W396" i="1"/>
  <c r="W397" i="1"/>
  <c r="AC399" i="1"/>
  <c r="AD399" i="1" s="1"/>
  <c r="AB407" i="1"/>
  <c r="AB408" i="1"/>
  <c r="AC426" i="1"/>
  <c r="AD426" i="1" s="1"/>
  <c r="X432" i="1"/>
  <c r="AC432" i="1" s="1"/>
  <c r="AD432" i="1" s="1"/>
  <c r="AA435" i="1"/>
  <c r="AB435" i="1" s="1"/>
  <c r="Z442" i="1"/>
  <c r="Z447" i="1"/>
  <c r="AC460" i="1"/>
  <c r="AD460" i="1" s="1"/>
  <c r="AA460" i="1"/>
  <c r="Z460" i="1"/>
  <c r="Y460" i="1"/>
  <c r="AA488" i="1"/>
  <c r="Y488" i="1"/>
  <c r="AC492" i="1"/>
  <c r="AD492" i="1" s="1"/>
  <c r="AA492" i="1"/>
  <c r="AC496" i="1"/>
  <c r="AD496" i="1" s="1"/>
  <c r="AA496" i="1"/>
  <c r="Z496" i="1"/>
  <c r="Y496" i="1"/>
  <c r="AC500" i="1"/>
  <c r="AD500" i="1" s="1"/>
  <c r="AA500" i="1"/>
  <c r="Z500" i="1"/>
  <c r="Y500" i="1"/>
  <c r="W516" i="1"/>
  <c r="X516" i="1"/>
  <c r="AC435" i="1"/>
  <c r="AD435" i="1" s="1"/>
  <c r="W439" i="1"/>
  <c r="W441" i="1"/>
  <c r="W443" i="1"/>
  <c r="W444" i="1"/>
  <c r="AC446" i="1"/>
  <c r="AD446" i="1" s="1"/>
  <c r="AA446" i="1"/>
  <c r="X489" i="1"/>
  <c r="W489" i="1"/>
  <c r="X493" i="1"/>
  <c r="W493" i="1"/>
  <c r="X497" i="1"/>
  <c r="W497" i="1"/>
  <c r="X501" i="1"/>
  <c r="W501" i="1"/>
  <c r="W508" i="1"/>
  <c r="X508" i="1"/>
  <c r="W400" i="1"/>
  <c r="W401" i="1"/>
  <c r="W402" i="1"/>
  <c r="W403" i="1"/>
  <c r="W404" i="1"/>
  <c r="W405" i="1"/>
  <c r="W406" i="1"/>
  <c r="Y437" i="1"/>
  <c r="AC440" i="1"/>
  <c r="AD440" i="1" s="1"/>
  <c r="AC442" i="1"/>
  <c r="AD442" i="1" s="1"/>
  <c r="X455" i="1"/>
  <c r="W455" i="1"/>
  <c r="Y472" i="1"/>
  <c r="AC472" i="1"/>
  <c r="AD472" i="1" s="1"/>
  <c r="Z472" i="1"/>
  <c r="W504" i="1"/>
  <c r="X504" i="1"/>
  <c r="Y422" i="1"/>
  <c r="Y426" i="1"/>
  <c r="Y436" i="1"/>
  <c r="Z437" i="1"/>
  <c r="W445" i="1"/>
  <c r="Y446" i="1"/>
  <c r="AA448" i="1"/>
  <c r="Z448" i="1"/>
  <c r="Y448" i="1"/>
  <c r="AC490" i="1"/>
  <c r="AD490" i="1" s="1"/>
  <c r="AA490" i="1"/>
  <c r="Z490" i="1"/>
  <c r="Y490" i="1"/>
  <c r="AC494" i="1"/>
  <c r="AD494" i="1" s="1"/>
  <c r="AA494" i="1"/>
  <c r="Z494" i="1"/>
  <c r="Y494" i="1"/>
  <c r="AC498" i="1"/>
  <c r="AD498" i="1" s="1"/>
  <c r="AA498" i="1"/>
  <c r="Z498" i="1"/>
  <c r="Y498" i="1"/>
  <c r="Y407" i="1"/>
  <c r="Y408" i="1"/>
  <c r="AE412" i="1"/>
  <c r="AF412" i="1" s="1"/>
  <c r="Z422" i="1"/>
  <c r="Z426" i="1"/>
  <c r="Z430" i="1"/>
  <c r="AA437" i="1"/>
  <c r="AB437" i="1" s="1"/>
  <c r="Z446" i="1"/>
  <c r="X454" i="1"/>
  <c r="W454" i="1"/>
  <c r="W458" i="1"/>
  <c r="X458" i="1"/>
  <c r="W471" i="1"/>
  <c r="X471" i="1"/>
  <c r="U545" i="1"/>
  <c r="U546" i="1" s="1"/>
  <c r="U547" i="1" s="1"/>
  <c r="U548" i="1" s="1"/>
  <c r="U549" i="1" s="1"/>
  <c r="U550" i="1" s="1"/>
  <c r="U551" i="1" s="1"/>
  <c r="U552" i="1" s="1"/>
  <c r="AA544" i="1"/>
  <c r="W420" i="1"/>
  <c r="W424" i="1"/>
  <c r="W428" i="1"/>
  <c r="AA468" i="1"/>
  <c r="Y468" i="1"/>
  <c r="X487" i="1"/>
  <c r="W487" i="1"/>
  <c r="X491" i="1"/>
  <c r="W491" i="1"/>
  <c r="X495" i="1"/>
  <c r="W495" i="1"/>
  <c r="X499" i="1"/>
  <c r="W499" i="1"/>
  <c r="AA434" i="1"/>
  <c r="Y434" i="1"/>
  <c r="Y435" i="1"/>
  <c r="X444" i="1"/>
  <c r="X451" i="1"/>
  <c r="W451" i="1"/>
  <c r="X457" i="1"/>
  <c r="W457" i="1"/>
  <c r="AA467" i="1"/>
  <c r="AC467" i="1"/>
  <c r="AD467" i="1" s="1"/>
  <c r="Z467" i="1"/>
  <c r="Y467" i="1"/>
  <c r="AC480" i="1"/>
  <c r="AD480" i="1" s="1"/>
  <c r="Z480" i="1"/>
  <c r="W520" i="1"/>
  <c r="X520" i="1"/>
  <c r="Y453" i="1"/>
  <c r="W459" i="1"/>
  <c r="Y469" i="1"/>
  <c r="AC481" i="1"/>
  <c r="AD481" i="1" s="1"/>
  <c r="Z483" i="1"/>
  <c r="AC547" i="1"/>
  <c r="AD547" i="1" s="1"/>
  <c r="AA547" i="1"/>
  <c r="Z547" i="1"/>
  <c r="AA548" i="1"/>
  <c r="W553" i="1"/>
  <c r="X553" i="1"/>
  <c r="AC563" i="1"/>
  <c r="AD563" i="1" s="1"/>
  <c r="Z563" i="1"/>
  <c r="W569" i="1"/>
  <c r="X569" i="1"/>
  <c r="W449" i="1"/>
  <c r="AA453" i="1"/>
  <c r="W461" i="1"/>
  <c r="Z469" i="1"/>
  <c r="Z470" i="1"/>
  <c r="W462" i="1"/>
  <c r="AA469" i="1"/>
  <c r="AA470" i="1"/>
  <c r="Z481" i="1"/>
  <c r="W505" i="1"/>
  <c r="X505" i="1"/>
  <c r="W509" i="1"/>
  <c r="X509" i="1"/>
  <c r="W513" i="1"/>
  <c r="X513" i="1"/>
  <c r="W517" i="1"/>
  <c r="X517" i="1"/>
  <c r="W521" i="1"/>
  <c r="X521" i="1"/>
  <c r="X581" i="1"/>
  <c r="W581" i="1"/>
  <c r="W463" i="1"/>
  <c r="W473" i="1"/>
  <c r="W474" i="1"/>
  <c r="W475" i="1"/>
  <c r="W476" i="1"/>
  <c r="W478" i="1"/>
  <c r="W522" i="1"/>
  <c r="X522" i="1"/>
  <c r="AC539" i="1"/>
  <c r="AD539" i="1" s="1"/>
  <c r="AA539" i="1"/>
  <c r="Z539" i="1"/>
  <c r="Y539" i="1"/>
  <c r="AA540" i="1"/>
  <c r="W545" i="1"/>
  <c r="X545" i="1"/>
  <c r="AC555" i="1"/>
  <c r="AD555" i="1" s="1"/>
  <c r="Z555" i="1"/>
  <c r="W561" i="1"/>
  <c r="X561" i="1"/>
  <c r="AC571" i="1"/>
  <c r="AD571" i="1" s="1"/>
  <c r="W452" i="1"/>
  <c r="W464" i="1"/>
  <c r="AC469" i="1"/>
  <c r="AD469" i="1" s="1"/>
  <c r="W479" i="1"/>
  <c r="W484" i="1"/>
  <c r="W502" i="1"/>
  <c r="X502" i="1"/>
  <c r="W506" i="1"/>
  <c r="X506" i="1"/>
  <c r="W510" i="1"/>
  <c r="X510" i="1"/>
  <c r="W514" i="1"/>
  <c r="X514" i="1"/>
  <c r="W518" i="1"/>
  <c r="X518" i="1"/>
  <c r="W523" i="1"/>
  <c r="X523" i="1"/>
  <c r="AA541" i="1"/>
  <c r="AC617" i="1"/>
  <c r="AD617" i="1" s="1"/>
  <c r="W524" i="1"/>
  <c r="X524" i="1"/>
  <c r="W525" i="1"/>
  <c r="X525" i="1"/>
  <c r="W526" i="1"/>
  <c r="X526" i="1"/>
  <c r="W527" i="1"/>
  <c r="X527" i="1"/>
  <c r="W528" i="1"/>
  <c r="X528" i="1"/>
  <c r="W529" i="1"/>
  <c r="X529" i="1"/>
  <c r="W530" i="1"/>
  <c r="X530" i="1"/>
  <c r="W531" i="1"/>
  <c r="X531" i="1"/>
  <c r="W532" i="1"/>
  <c r="X532" i="1"/>
  <c r="W533" i="1"/>
  <c r="X533" i="1"/>
  <c r="W534" i="1"/>
  <c r="X534" i="1"/>
  <c r="W535" i="1"/>
  <c r="X535" i="1"/>
  <c r="AC575" i="1"/>
  <c r="AD575" i="1" s="1"/>
  <c r="AB610" i="1"/>
  <c r="AE610" i="1"/>
  <c r="AF610" i="1" s="1"/>
  <c r="W503" i="1"/>
  <c r="X503" i="1"/>
  <c r="W507" i="1"/>
  <c r="X507" i="1"/>
  <c r="W511" i="1"/>
  <c r="X511" i="1"/>
  <c r="W515" i="1"/>
  <c r="X515" i="1"/>
  <c r="W519" i="1"/>
  <c r="X519" i="1"/>
  <c r="W536" i="1"/>
  <c r="X536" i="1"/>
  <c r="Y629" i="1"/>
  <c r="AA629" i="1"/>
  <c r="X537" i="1"/>
  <c r="W538" i="1"/>
  <c r="AC540" i="1"/>
  <c r="AD540" i="1" s="1"/>
  <c r="Y544" i="1"/>
  <c r="W546" i="1"/>
  <c r="AC548" i="1"/>
  <c r="AD548" i="1" s="1"/>
  <c r="Y552" i="1"/>
  <c r="W554" i="1"/>
  <c r="AC556" i="1"/>
  <c r="AD556" i="1" s="1"/>
  <c r="W562" i="1"/>
  <c r="AC564" i="1"/>
  <c r="AD564" i="1" s="1"/>
  <c r="W570" i="1"/>
  <c r="X577" i="1"/>
  <c r="W577" i="1"/>
  <c r="Z584" i="1"/>
  <c r="U623" i="1"/>
  <c r="U624" i="1" s="1"/>
  <c r="U625" i="1" s="1"/>
  <c r="U626" i="1" s="1"/>
  <c r="AA622" i="1"/>
  <c r="W624" i="1"/>
  <c r="X624" i="1"/>
  <c r="AC639" i="1"/>
  <c r="AD639" i="1" s="1"/>
  <c r="AA639" i="1"/>
  <c r="Z639" i="1"/>
  <c r="Y639" i="1"/>
  <c r="U648" i="1"/>
  <c r="U649" i="1" s="1"/>
  <c r="U650" i="1" s="1"/>
  <c r="U651" i="1" s="1"/>
  <c r="AA647" i="1"/>
  <c r="AA641" i="1"/>
  <c r="AB641" i="1" s="1"/>
  <c r="Y641" i="1"/>
  <c r="AB611" i="1"/>
  <c r="AE611" i="1"/>
  <c r="AF611" i="1" s="1"/>
  <c r="Y540" i="1"/>
  <c r="W542" i="1"/>
  <c r="Y548" i="1"/>
  <c r="W550" i="1"/>
  <c r="W558" i="1"/>
  <c r="W566" i="1"/>
  <c r="AB614" i="1"/>
  <c r="Z540" i="1"/>
  <c r="Y541" i="1"/>
  <c r="W543" i="1"/>
  <c r="Z548" i="1"/>
  <c r="W551" i="1"/>
  <c r="Z556" i="1"/>
  <c r="W559" i="1"/>
  <c r="Z564" i="1"/>
  <c r="W567" i="1"/>
  <c r="Z572" i="1"/>
  <c r="W578" i="1"/>
  <c r="W580" i="1"/>
  <c r="AB608" i="1"/>
  <c r="AE608" i="1"/>
  <c r="AF608" i="1" s="1"/>
  <c r="AB612" i="1"/>
  <c r="AE612" i="1"/>
  <c r="AF612" i="1" s="1"/>
  <c r="AC670" i="1"/>
  <c r="AD670" i="1" s="1"/>
  <c r="Z541" i="1"/>
  <c r="Z565" i="1"/>
  <c r="Z573" i="1"/>
  <c r="W579" i="1"/>
  <c r="X585" i="1"/>
  <c r="W585" i="1"/>
  <c r="W537" i="1"/>
  <c r="AC573" i="1"/>
  <c r="AD573" i="1" s="1"/>
  <c r="AB609" i="1"/>
  <c r="AE609" i="1"/>
  <c r="AF609" i="1" s="1"/>
  <c r="AB613" i="1"/>
  <c r="AE613" i="1"/>
  <c r="AF613" i="1" s="1"/>
  <c r="Y625" i="1"/>
  <c r="W664" i="1"/>
  <c r="X664" i="1"/>
  <c r="W618" i="1"/>
  <c r="W619" i="1"/>
  <c r="W620" i="1"/>
  <c r="W621" i="1"/>
  <c r="Y622" i="1"/>
  <c r="W623" i="1"/>
  <c r="Y642" i="1"/>
  <c r="AC645" i="1"/>
  <c r="AD645" i="1" s="1"/>
  <c r="P652" i="1"/>
  <c r="Z672" i="1"/>
  <c r="AC673" i="1"/>
  <c r="AD673" i="1" s="1"/>
  <c r="Z673" i="1"/>
  <c r="W586" i="1"/>
  <c r="W587" i="1"/>
  <c r="W588" i="1"/>
  <c r="W589" i="1"/>
  <c r="W590" i="1"/>
  <c r="W591" i="1"/>
  <c r="W592" i="1"/>
  <c r="W593" i="1"/>
  <c r="W594" i="1"/>
  <c r="W633" i="1"/>
  <c r="X633" i="1"/>
  <c r="W634" i="1"/>
  <c r="W636" i="1"/>
  <c r="W637" i="1"/>
  <c r="AC640" i="1"/>
  <c r="AD640" i="1" s="1"/>
  <c r="AA640" i="1"/>
  <c r="AB640" i="1" s="1"/>
  <c r="Z640" i="1"/>
  <c r="Y647" i="1"/>
  <c r="Y717" i="1"/>
  <c r="W627" i="1"/>
  <c r="Y604" i="1"/>
  <c r="Y605" i="1"/>
  <c r="Y606" i="1"/>
  <c r="Y608" i="1"/>
  <c r="Y609" i="1"/>
  <c r="Y610" i="1"/>
  <c r="Y611" i="1"/>
  <c r="Y612" i="1"/>
  <c r="Y613" i="1"/>
  <c r="W615" i="1"/>
  <c r="W626" i="1"/>
  <c r="Y640" i="1"/>
  <c r="AA648" i="1"/>
  <c r="AC712" i="1"/>
  <c r="AD712" i="1" s="1"/>
  <c r="AA712" i="1"/>
  <c r="AB712" i="1" s="1"/>
  <c r="Z712" i="1"/>
  <c r="Y712" i="1"/>
  <c r="Z608" i="1"/>
  <c r="Z610" i="1"/>
  <c r="Z611" i="1"/>
  <c r="Z612" i="1"/>
  <c r="Z613" i="1"/>
  <c r="Y614" i="1"/>
  <c r="W616" i="1"/>
  <c r="AC628" i="1"/>
  <c r="AD628" i="1" s="1"/>
  <c r="AA628" i="1"/>
  <c r="Z628" i="1"/>
  <c r="X631" i="1"/>
  <c r="W631" i="1"/>
  <c r="AA649" i="1"/>
  <c r="W666" i="1"/>
  <c r="AA630" i="1"/>
  <c r="Y630" i="1"/>
  <c r="X634" i="1"/>
  <c r="AC635" i="1"/>
  <c r="AD635" i="1" s="1"/>
  <c r="AA635" i="1"/>
  <c r="X636" i="1"/>
  <c r="X637" i="1"/>
  <c r="W638" i="1"/>
  <c r="AA643" i="1"/>
  <c r="Z643" i="1"/>
  <c r="Y643" i="1"/>
  <c r="AC643" i="1"/>
  <c r="AD643" i="1" s="1"/>
  <c r="AA644" i="1"/>
  <c r="AC663" i="1"/>
  <c r="AD663" i="1" s="1"/>
  <c r="AC684" i="1"/>
  <c r="AD684" i="1" s="1"/>
  <c r="AA632" i="1"/>
  <c r="Y635" i="1"/>
  <c r="X638" i="1"/>
  <c r="X641" i="1"/>
  <c r="AC641" i="1" s="1"/>
  <c r="AD641" i="1" s="1"/>
  <c r="W665" i="1"/>
  <c r="X665" i="1"/>
  <c r="AC667" i="1"/>
  <c r="AD667" i="1" s="1"/>
  <c r="Z667" i="1"/>
  <c r="Y632" i="1"/>
  <c r="AC644" i="1"/>
  <c r="AD644" i="1" s="1"/>
  <c r="P645" i="1"/>
  <c r="AC649" i="1"/>
  <c r="AD649" i="1" s="1"/>
  <c r="X662" i="1"/>
  <c r="Z662" i="1" s="1"/>
  <c r="W668" i="1"/>
  <c r="W669" i="1"/>
  <c r="AC675" i="1"/>
  <c r="AD675" i="1" s="1"/>
  <c r="AC676" i="1"/>
  <c r="AD676" i="1" s="1"/>
  <c r="P677" i="1"/>
  <c r="AC681" i="1"/>
  <c r="AD681" i="1" s="1"/>
  <c r="X684" i="1"/>
  <c r="Z684" i="1" s="1"/>
  <c r="X688" i="1"/>
  <c r="AC688" i="1" s="1"/>
  <c r="AD688" i="1" s="1"/>
  <c r="AA695" i="1"/>
  <c r="W704" i="1"/>
  <c r="X704" i="1"/>
  <c r="Z709" i="1"/>
  <c r="AC709" i="1"/>
  <c r="AD709" i="1" s="1"/>
  <c r="AA709" i="1"/>
  <c r="AB709" i="1" s="1"/>
  <c r="Y709" i="1"/>
  <c r="AA711" i="1"/>
  <c r="AB711" i="1" s="1"/>
  <c r="Y711" i="1"/>
  <c r="X718" i="1"/>
  <c r="W718" i="1"/>
  <c r="W791" i="1"/>
  <c r="X791" i="1"/>
  <c r="P653" i="1"/>
  <c r="W674" i="1"/>
  <c r="AA703" i="1"/>
  <c r="AB703" i="1" s="1"/>
  <c r="AC714" i="1"/>
  <c r="AD714" i="1" s="1"/>
  <c r="Z714" i="1"/>
  <c r="AA754" i="1"/>
  <c r="U755" i="1"/>
  <c r="U756" i="1" s="1"/>
  <c r="U757" i="1" s="1"/>
  <c r="W784" i="1"/>
  <c r="X784" i="1"/>
  <c r="U723" i="1"/>
  <c r="U724" i="1" s="1"/>
  <c r="U725" i="1" s="1"/>
  <c r="AA722" i="1"/>
  <c r="Y722" i="1"/>
  <c r="AC752" i="1"/>
  <c r="AD752" i="1" s="1"/>
  <c r="AA752" i="1"/>
  <c r="Z752" i="1"/>
  <c r="Y752" i="1"/>
  <c r="Y644" i="1"/>
  <c r="Y645" i="1"/>
  <c r="W650" i="1"/>
  <c r="W652" i="1"/>
  <c r="W653" i="1"/>
  <c r="Z671" i="1"/>
  <c r="Z682" i="1"/>
  <c r="Z683" i="1"/>
  <c r="P688" i="1"/>
  <c r="X715" i="1"/>
  <c r="W715" i="1"/>
  <c r="Z644" i="1"/>
  <c r="W654" i="1"/>
  <c r="W656" i="1"/>
  <c r="W657" i="1"/>
  <c r="Z675" i="1"/>
  <c r="Z685" i="1"/>
  <c r="W692" i="1"/>
  <c r="X692" i="1"/>
  <c r="AA645" i="1"/>
  <c r="Z649" i="1"/>
  <c r="W658" i="1"/>
  <c r="Z680" i="1"/>
  <c r="Y703" i="1"/>
  <c r="X723" i="1"/>
  <c r="W723" i="1"/>
  <c r="P641" i="1"/>
  <c r="P673" i="1"/>
  <c r="Z694" i="1"/>
  <c r="W705" i="1"/>
  <c r="W735" i="1"/>
  <c r="X735" i="1"/>
  <c r="X796" i="1"/>
  <c r="W796" i="1"/>
  <c r="Z690" i="1"/>
  <c r="W693" i="1"/>
  <c r="AC695" i="1"/>
  <c r="AD695" i="1" s="1"/>
  <c r="X703" i="1"/>
  <c r="AC703" i="1" s="1"/>
  <c r="AD703" i="1" s="1"/>
  <c r="W707" i="1"/>
  <c r="W708" i="1"/>
  <c r="Y714" i="1"/>
  <c r="Z725" i="1"/>
  <c r="AC745" i="1"/>
  <c r="AD745" i="1" s="1"/>
  <c r="Z745" i="1"/>
  <c r="AC750" i="1"/>
  <c r="AD750" i="1" s="1"/>
  <c r="AE793" i="1"/>
  <c r="AF793" i="1" s="1"/>
  <c r="AB793" i="1"/>
  <c r="AA812" i="1"/>
  <c r="U813" i="1"/>
  <c r="U814" i="1" s="1"/>
  <c r="U815" i="1" s="1"/>
  <c r="U816" i="1" s="1"/>
  <c r="U817" i="1" s="1"/>
  <c r="U818" i="1" s="1"/>
  <c r="U819" i="1" s="1"/>
  <c r="U820" i="1" s="1"/>
  <c r="AA691" i="1"/>
  <c r="Y700" i="1"/>
  <c r="Z733" i="1"/>
  <c r="AC733" i="1"/>
  <c r="AD733" i="1" s="1"/>
  <c r="AC737" i="1"/>
  <c r="AD737" i="1" s="1"/>
  <c r="AA737" i="1"/>
  <c r="Z737" i="1"/>
  <c r="Y737" i="1"/>
  <c r="AA738" i="1"/>
  <c r="U739" i="1"/>
  <c r="AA753" i="1"/>
  <c r="Y754" i="1"/>
  <c r="Y755" i="1"/>
  <c r="W766" i="1"/>
  <c r="X766" i="1"/>
  <c r="AC690" i="1"/>
  <c r="AD690" i="1" s="1"/>
  <c r="W696" i="1"/>
  <c r="W697" i="1"/>
  <c r="W698" i="1"/>
  <c r="W702" i="1"/>
  <c r="Y713" i="1"/>
  <c r="AA714" i="1"/>
  <c r="W721" i="1"/>
  <c r="Z722" i="1"/>
  <c r="W726" i="1"/>
  <c r="Y739" i="1"/>
  <c r="U787" i="1"/>
  <c r="U788" i="1" s="1"/>
  <c r="U789" i="1" s="1"/>
  <c r="Y789" i="1" s="1"/>
  <c r="X804" i="1"/>
  <c r="W804" i="1"/>
  <c r="Y695" i="1"/>
  <c r="Y699" i="1"/>
  <c r="Z700" i="1"/>
  <c r="AA713" i="1"/>
  <c r="AA720" i="1"/>
  <c r="Y720" i="1"/>
  <c r="W758" i="1"/>
  <c r="X758" i="1"/>
  <c r="Z763" i="1"/>
  <c r="AC763" i="1"/>
  <c r="AD763" i="1" s="1"/>
  <c r="AA775" i="1"/>
  <c r="AB775" i="1" s="1"/>
  <c r="Y776" i="1"/>
  <c r="AA785" i="1"/>
  <c r="X795" i="1"/>
  <c r="W795" i="1"/>
  <c r="Z695" i="1"/>
  <c r="AA699" i="1"/>
  <c r="AA700" i="1"/>
  <c r="W719" i="1"/>
  <c r="W724" i="1"/>
  <c r="W730" i="1"/>
  <c r="W743" i="1"/>
  <c r="X743" i="1"/>
  <c r="Y775" i="1"/>
  <c r="W788" i="1"/>
  <c r="X788" i="1"/>
  <c r="AE703" i="1"/>
  <c r="AF703" i="1" s="1"/>
  <c r="P708" i="1"/>
  <c r="AC713" i="1"/>
  <c r="AD713" i="1" s="1"/>
  <c r="W716" i="1"/>
  <c r="Y725" i="1"/>
  <c r="W731" i="1"/>
  <c r="Z736" i="1"/>
  <c r="Z755" i="1"/>
  <c r="AC755" i="1"/>
  <c r="AD755" i="1" s="1"/>
  <c r="AC769" i="1"/>
  <c r="AD769" i="1" s="1"/>
  <c r="AA769" i="1"/>
  <c r="AC699" i="1"/>
  <c r="AD699" i="1" s="1"/>
  <c r="AC700" i="1"/>
  <c r="AD700" i="1" s="1"/>
  <c r="AC760" i="1"/>
  <c r="AD760" i="1" s="1"/>
  <c r="Z760" i="1"/>
  <c r="U839" i="1"/>
  <c r="U840" i="1" s="1"/>
  <c r="U841" i="1" s="1"/>
  <c r="AA838" i="1"/>
  <c r="W727" i="1"/>
  <c r="AC738" i="1"/>
  <c r="AD738" i="1" s="1"/>
  <c r="W744" i="1"/>
  <c r="W751" i="1"/>
  <c r="AC753" i="1"/>
  <c r="AD753" i="1" s="1"/>
  <c r="AA755" i="1"/>
  <c r="W759" i="1"/>
  <c r="AC761" i="1"/>
  <c r="AD761" i="1" s="1"/>
  <c r="W768" i="1"/>
  <c r="W773" i="1"/>
  <c r="X775" i="1"/>
  <c r="Z775" i="1" s="1"/>
  <c r="W783" i="1"/>
  <c r="X797" i="1"/>
  <c r="W797" i="1"/>
  <c r="X805" i="1"/>
  <c r="W805" i="1"/>
  <c r="AA810" i="1"/>
  <c r="AA811" i="1"/>
  <c r="AA861" i="1"/>
  <c r="U862" i="1"/>
  <c r="U863" i="1" s="1"/>
  <c r="U864" i="1" s="1"/>
  <c r="Z750" i="1"/>
  <c r="W770" i="1"/>
  <c r="W780" i="1"/>
  <c r="X803" i="1"/>
  <c r="W803" i="1"/>
  <c r="W824" i="1"/>
  <c r="X824" i="1"/>
  <c r="AC838" i="1"/>
  <c r="AD838" i="1" s="1"/>
  <c r="AA750" i="1"/>
  <c r="X772" i="1"/>
  <c r="W772" i="1"/>
  <c r="W781" i="1"/>
  <c r="W790" i="1"/>
  <c r="AA792" i="1"/>
  <c r="Z792" i="1"/>
  <c r="X802" i="1"/>
  <c r="W802" i="1"/>
  <c r="AC818" i="1"/>
  <c r="AD818" i="1" s="1"/>
  <c r="AA818" i="1"/>
  <c r="Z818" i="1"/>
  <c r="Y818" i="1"/>
  <c r="X913" i="1"/>
  <c r="W913" i="1"/>
  <c r="Y738" i="1"/>
  <c r="W740" i="1"/>
  <c r="W748" i="1"/>
  <c r="Y753" i="1"/>
  <c r="X801" i="1"/>
  <c r="W801" i="1"/>
  <c r="Z820" i="1"/>
  <c r="W741" i="1"/>
  <c r="W749" i="1"/>
  <c r="Z753" i="1"/>
  <c r="W756" i="1"/>
  <c r="Z761" i="1"/>
  <c r="W764" i="1"/>
  <c r="AA771" i="1"/>
  <c r="X773" i="1"/>
  <c r="W777" i="1"/>
  <c r="Y778" i="1"/>
  <c r="X779" i="1"/>
  <c r="W779" i="1"/>
  <c r="X787" i="1"/>
  <c r="W787" i="1"/>
  <c r="X800" i="1"/>
  <c r="W800" i="1"/>
  <c r="W734" i="1"/>
  <c r="AA776" i="1"/>
  <c r="AB776" i="1" s="1"/>
  <c r="Z785" i="1"/>
  <c r="Y785" i="1"/>
  <c r="AE794" i="1"/>
  <c r="AF794" i="1" s="1"/>
  <c r="AB794" i="1"/>
  <c r="X799" i="1"/>
  <c r="W799" i="1"/>
  <c r="AA808" i="1"/>
  <c r="AB808" i="1" s="1"/>
  <c r="AC826" i="1"/>
  <c r="AD826" i="1" s="1"/>
  <c r="AC831" i="1"/>
  <c r="AD831" i="1" s="1"/>
  <c r="AA831" i="1"/>
  <c r="AB831" i="1" s="1"/>
  <c r="Y831" i="1"/>
  <c r="AC775" i="1"/>
  <c r="AD775" i="1" s="1"/>
  <c r="AC789" i="1"/>
  <c r="AD789" i="1" s="1"/>
  <c r="Z793" i="1"/>
  <c r="Y793" i="1"/>
  <c r="AC793" i="1"/>
  <c r="AD793" i="1" s="1"/>
  <c r="X798" i="1"/>
  <c r="W798" i="1"/>
  <c r="X806" i="1"/>
  <c r="W806" i="1"/>
  <c r="W816" i="1"/>
  <c r="X816" i="1"/>
  <c r="W809" i="1"/>
  <c r="AC811" i="1"/>
  <c r="AD811" i="1" s="1"/>
  <c r="W817" i="1"/>
  <c r="W825" i="1"/>
  <c r="AC827" i="1"/>
  <c r="AD827" i="1" s="1"/>
  <c r="AC833" i="1"/>
  <c r="AD833" i="1" s="1"/>
  <c r="Y833" i="1"/>
  <c r="W843" i="1"/>
  <c r="Z844" i="1"/>
  <c r="Z837" i="1"/>
  <c r="Y837" i="1"/>
  <c r="AC837" i="1"/>
  <c r="AD837" i="1" s="1"/>
  <c r="AA859" i="1"/>
  <c r="Y859" i="1"/>
  <c r="AA860" i="1"/>
  <c r="W865" i="1"/>
  <c r="X865" i="1"/>
  <c r="X871" i="1"/>
  <c r="W871" i="1"/>
  <c r="W842" i="1"/>
  <c r="Z845" i="1"/>
  <c r="AC845" i="1"/>
  <c r="AD845" i="1" s="1"/>
  <c r="Y861" i="1"/>
  <c r="AA920" i="1"/>
  <c r="AB920" i="1" s="1"/>
  <c r="Y920" i="1"/>
  <c r="Y811" i="1"/>
  <c r="W813" i="1"/>
  <c r="W821" i="1"/>
  <c r="W829" i="1"/>
  <c r="AB833" i="1"/>
  <c r="W835" i="1"/>
  <c r="AA837" i="1"/>
  <c r="AC861" i="1"/>
  <c r="AD861" i="1" s="1"/>
  <c r="P869" i="1"/>
  <c r="AA894" i="1"/>
  <c r="AC894" i="1"/>
  <c r="AD894" i="1" s="1"/>
  <c r="Z811" i="1"/>
  <c r="Y812" i="1"/>
  <c r="W814" i="1"/>
  <c r="Z819" i="1"/>
  <c r="W822" i="1"/>
  <c r="Z827" i="1"/>
  <c r="W830" i="1"/>
  <c r="AE831" i="1"/>
  <c r="AF831" i="1" s="1"/>
  <c r="W834" i="1"/>
  <c r="X840" i="1"/>
  <c r="W840" i="1"/>
  <c r="W850" i="1"/>
  <c r="X850" i="1"/>
  <c r="W851" i="1"/>
  <c r="W858" i="1"/>
  <c r="X858" i="1"/>
  <c r="W807" i="1"/>
  <c r="W815" i="1"/>
  <c r="W823" i="1"/>
  <c r="AA836" i="1"/>
  <c r="Z836" i="1"/>
  <c r="Y836" i="1"/>
  <c r="AC867" i="1"/>
  <c r="AD867" i="1" s="1"/>
  <c r="Z867" i="1"/>
  <c r="W832" i="1"/>
  <c r="AC882" i="1"/>
  <c r="AD882" i="1" s="1"/>
  <c r="AA882" i="1"/>
  <c r="AB882" i="1" s="1"/>
  <c r="Z882" i="1"/>
  <c r="Y882" i="1"/>
  <c r="AC853" i="1"/>
  <c r="AD853" i="1" s="1"/>
  <c r="Y857" i="1"/>
  <c r="AC860" i="1"/>
  <c r="AD860" i="1" s="1"/>
  <c r="W866" i="1"/>
  <c r="Y870" i="1"/>
  <c r="W872" i="1"/>
  <c r="W876" i="1"/>
  <c r="X880" i="1"/>
  <c r="W880" i="1"/>
  <c r="AA884" i="1"/>
  <c r="Z884" i="1"/>
  <c r="Y884" i="1"/>
  <c r="AC884" i="1"/>
  <c r="AD884" i="1" s="1"/>
  <c r="Z891" i="1"/>
  <c r="P896" i="1"/>
  <c r="AA908" i="1"/>
  <c r="AB908" i="1" s="1"/>
  <c r="AC923" i="1"/>
  <c r="AD923" i="1" s="1"/>
  <c r="AA923" i="1"/>
  <c r="Z923" i="1"/>
  <c r="Y923" i="1"/>
  <c r="AC915" i="1"/>
  <c r="AD915" i="1" s="1"/>
  <c r="AA915" i="1"/>
  <c r="Z915" i="1"/>
  <c r="Y915" i="1"/>
  <c r="X925" i="1"/>
  <c r="W925" i="1"/>
  <c r="W854" i="1"/>
  <c r="AB857" i="1"/>
  <c r="AB870" i="1"/>
  <c r="W881" i="1"/>
  <c r="W893" i="1"/>
  <c r="AC898" i="1"/>
  <c r="AD898" i="1" s="1"/>
  <c r="Z898" i="1"/>
  <c r="AA912" i="1"/>
  <c r="AB912" i="1" s="1"/>
  <c r="AE914" i="1"/>
  <c r="AF914" i="1" s="1"/>
  <c r="AB914" i="1"/>
  <c r="AC927" i="1"/>
  <c r="AD927" i="1" s="1"/>
  <c r="AA927" i="1"/>
  <c r="Y927" i="1"/>
  <c r="AC933" i="1"/>
  <c r="AD933" i="1" s="1"/>
  <c r="AA933" i="1"/>
  <c r="Z933" i="1"/>
  <c r="Y933" i="1"/>
  <c r="W839" i="1"/>
  <c r="W847" i="1"/>
  <c r="W855" i="1"/>
  <c r="Y860" i="1"/>
  <c r="W862" i="1"/>
  <c r="U869" i="1"/>
  <c r="W873" i="1"/>
  <c r="AA885" i="1"/>
  <c r="Z885" i="1"/>
  <c r="Y885" i="1"/>
  <c r="AC903" i="1"/>
  <c r="AD903" i="1" s="1"/>
  <c r="Z903" i="1"/>
  <c r="AC907" i="1"/>
  <c r="AD907" i="1" s="1"/>
  <c r="AA907" i="1"/>
  <c r="Z907" i="1"/>
  <c r="Y907" i="1"/>
  <c r="X917" i="1"/>
  <c r="W917" i="1"/>
  <c r="AA924" i="1"/>
  <c r="AB924" i="1" s="1"/>
  <c r="W848" i="1"/>
  <c r="Z853" i="1"/>
  <c r="W856" i="1"/>
  <c r="Z860" i="1"/>
  <c r="W863" i="1"/>
  <c r="Y868" i="1"/>
  <c r="W869" i="1"/>
  <c r="Z878" i="1"/>
  <c r="Y878" i="1"/>
  <c r="AA883" i="1"/>
  <c r="AB883" i="1" s="1"/>
  <c r="U892" i="1"/>
  <c r="U893" i="1" s="1"/>
  <c r="U894" i="1" s="1"/>
  <c r="U895" i="1" s="1"/>
  <c r="AA891" i="1"/>
  <c r="P892" i="1"/>
  <c r="AC895" i="1"/>
  <c r="AD895" i="1" s="1"/>
  <c r="Z919" i="1"/>
  <c r="X929" i="1"/>
  <c r="W929" i="1"/>
  <c r="W897" i="1"/>
  <c r="Z900" i="1"/>
  <c r="AC900" i="1"/>
  <c r="AD900" i="1" s="1"/>
  <c r="X909" i="1"/>
  <c r="W909" i="1"/>
  <c r="AA916" i="1"/>
  <c r="AB916" i="1" s="1"/>
  <c r="AE918" i="1"/>
  <c r="AF918" i="1" s="1"/>
  <c r="AB918" i="1"/>
  <c r="AA877" i="1"/>
  <c r="Z877" i="1"/>
  <c r="Y877" i="1"/>
  <c r="W889" i="1"/>
  <c r="AC904" i="1"/>
  <c r="AD904" i="1" s="1"/>
  <c r="AC911" i="1"/>
  <c r="AD911" i="1" s="1"/>
  <c r="X921" i="1"/>
  <c r="W921" i="1"/>
  <c r="AA928" i="1"/>
  <c r="AB928" i="1" s="1"/>
  <c r="U938" i="1"/>
  <c r="U939" i="1" s="1"/>
  <c r="AA937" i="1"/>
  <c r="X908" i="1"/>
  <c r="AC908" i="1" s="1"/>
  <c r="AD908" i="1" s="1"/>
  <c r="X912" i="1"/>
  <c r="Z912" i="1" s="1"/>
  <c r="X916" i="1"/>
  <c r="AC916" i="1" s="1"/>
  <c r="AD916" i="1" s="1"/>
  <c r="X920" i="1"/>
  <c r="AC920" i="1" s="1"/>
  <c r="AD920" i="1" s="1"/>
  <c r="X924" i="1"/>
  <c r="AC924" i="1" s="1"/>
  <c r="AD924" i="1" s="1"/>
  <c r="X928" i="1"/>
  <c r="Z928" i="1" s="1"/>
  <c r="AC930" i="1"/>
  <c r="AD930" i="1" s="1"/>
  <c r="Z931" i="1"/>
  <c r="AC936" i="1"/>
  <c r="AD936" i="1" s="1"/>
  <c r="AA938" i="1"/>
  <c r="Z938" i="1"/>
  <c r="AB931" i="1"/>
  <c r="AA935" i="1"/>
  <c r="Y938" i="1"/>
  <c r="W879" i="1"/>
  <c r="W887" i="1"/>
  <c r="Y910" i="1"/>
  <c r="Y914" i="1"/>
  <c r="Y918" i="1"/>
  <c r="Y926" i="1"/>
  <c r="Y930" i="1"/>
  <c r="AC931" i="1"/>
  <c r="AD931" i="1" s="1"/>
  <c r="Y936" i="1"/>
  <c r="AA939" i="1"/>
  <c r="AC939" i="1"/>
  <c r="AD939" i="1" s="1"/>
  <c r="W888" i="1"/>
  <c r="Y891" i="1"/>
  <c r="W892" i="1"/>
  <c r="W896" i="1"/>
  <c r="AE908" i="1"/>
  <c r="AF908" i="1" s="1"/>
  <c r="Z910" i="1"/>
  <c r="Z914" i="1"/>
  <c r="Z918" i="1"/>
  <c r="Z922" i="1"/>
  <c r="AE924" i="1"/>
  <c r="AF924" i="1" s="1"/>
  <c r="Z926" i="1"/>
  <c r="AA930" i="1"/>
  <c r="Y934" i="1"/>
  <c r="AA936" i="1"/>
  <c r="AC938" i="1"/>
  <c r="AD938" i="1" s="1"/>
  <c r="Z942" i="1"/>
  <c r="Z946" i="1"/>
  <c r="AC943" i="1"/>
  <c r="AD943" i="1" s="1"/>
  <c r="Z940" i="1"/>
  <c r="Z944" i="1"/>
  <c r="Z786" i="1" l="1"/>
  <c r="Z603" i="1"/>
  <c r="AC465" i="1"/>
  <c r="AD465" i="1" s="1"/>
  <c r="AE315" i="1"/>
  <c r="AF315" i="1" s="1"/>
  <c r="Z607" i="1"/>
  <c r="AC32" i="1"/>
  <c r="AD32" i="1" s="1"/>
  <c r="Y318" i="1"/>
  <c r="AA318" i="1"/>
  <c r="Y886" i="1"/>
  <c r="AC928" i="1"/>
  <c r="AD928" i="1" s="1"/>
  <c r="Y874" i="1"/>
  <c r="AC874" i="1"/>
  <c r="AD874" i="1" s="1"/>
  <c r="Z886" i="1"/>
  <c r="Y820" i="1"/>
  <c r="AC808" i="1"/>
  <c r="AD808" i="1" s="1"/>
  <c r="AC746" i="1"/>
  <c r="AD746" i="1" s="1"/>
  <c r="Z728" i="1"/>
  <c r="AA646" i="1"/>
  <c r="Z678" i="1"/>
  <c r="Z614" i="1"/>
  <c r="AA717" i="1"/>
  <c r="AC574" i="1"/>
  <c r="AD574" i="1" s="1"/>
  <c r="Z468" i="1"/>
  <c r="AC438" i="1"/>
  <c r="AD438" i="1" s="1"/>
  <c r="Y447" i="1"/>
  <c r="AC430" i="1"/>
  <c r="AD430" i="1" s="1"/>
  <c r="AE430" i="1"/>
  <c r="AF430" i="1" s="1"/>
  <c r="Z419" i="1"/>
  <c r="AC415" i="1"/>
  <c r="AD415" i="1" s="1"/>
  <c r="Z91" i="1"/>
  <c r="AA37" i="1"/>
  <c r="AE37" i="1" s="1"/>
  <c r="AF37" i="1" s="1"/>
  <c r="AA440" i="1"/>
  <c r="Y601" i="1"/>
  <c r="Z434" i="1"/>
  <c r="AC642" i="1"/>
  <c r="AD642" i="1" s="1"/>
  <c r="Z82" i="1"/>
  <c r="Z598" i="1"/>
  <c r="AC598" i="1"/>
  <c r="AD598" i="1" s="1"/>
  <c r="Y598" i="1"/>
  <c r="Y450" i="1"/>
  <c r="AA450" i="1"/>
  <c r="Z315" i="1"/>
  <c r="Y65" i="1"/>
  <c r="AA65" i="1"/>
  <c r="AC212" i="1"/>
  <c r="AD212" i="1" s="1"/>
  <c r="Z677" i="1"/>
  <c r="Z717" i="1"/>
  <c r="Y465" i="1"/>
  <c r="Z488" i="1"/>
  <c r="AB57" i="1"/>
  <c r="Z846" i="1"/>
  <c r="Y838" i="1"/>
  <c r="Y875" i="1"/>
  <c r="Z710" i="1"/>
  <c r="AA786" i="1"/>
  <c r="AE786" i="1" s="1"/>
  <c r="AF786" i="1" s="1"/>
  <c r="Y646" i="1"/>
  <c r="Z582" i="1"/>
  <c r="Z486" i="1"/>
  <c r="AC418" i="1"/>
  <c r="AD418" i="1" s="1"/>
  <c r="Y223" i="1"/>
  <c r="AC322" i="1"/>
  <c r="AD322" i="1" s="1"/>
  <c r="AA143" i="1"/>
  <c r="Y235" i="1"/>
  <c r="Z143" i="1"/>
  <c r="Y87" i="1"/>
  <c r="AA53" i="1"/>
  <c r="AE46" i="1"/>
  <c r="AF46" i="1" s="1"/>
  <c r="AA52" i="1"/>
  <c r="AB87" i="1"/>
  <c r="AC886" i="1"/>
  <c r="AD886" i="1" s="1"/>
  <c r="AB886" i="1"/>
  <c r="AC318" i="1"/>
  <c r="AD318" i="1" s="1"/>
  <c r="AC601" i="1"/>
  <c r="AD601" i="1" s="1"/>
  <c r="AC436" i="1"/>
  <c r="AD436" i="1" s="1"/>
  <c r="AC223" i="1"/>
  <c r="AD223" i="1" s="1"/>
  <c r="Y284" i="1"/>
  <c r="AC725" i="1"/>
  <c r="AD725" i="1" s="1"/>
  <c r="Z80" i="1"/>
  <c r="AA80" i="1"/>
  <c r="AC883" i="1"/>
  <c r="AD883" i="1" s="1"/>
  <c r="AA465" i="1"/>
  <c r="Z131" i="1"/>
  <c r="AC143" i="1"/>
  <c r="AD143" i="1" s="1"/>
  <c r="Y53" i="1"/>
  <c r="AC409" i="1"/>
  <c r="AD409" i="1" s="1"/>
  <c r="AC689" i="1"/>
  <c r="AD689" i="1" s="1"/>
  <c r="Z901" i="1"/>
  <c r="Z874" i="1"/>
  <c r="Z906" i="1"/>
  <c r="Y911" i="1"/>
  <c r="Z899" i="1"/>
  <c r="Z875" i="1"/>
  <c r="AC732" i="1"/>
  <c r="AD732" i="1" s="1"/>
  <c r="Z701" i="1"/>
  <c r="Y701" i="1"/>
  <c r="Y782" i="1"/>
  <c r="AC711" i="1"/>
  <c r="AD711" i="1" s="1"/>
  <c r="Y603" i="1"/>
  <c r="Y617" i="1"/>
  <c r="Y409" i="1"/>
  <c r="AE322" i="1"/>
  <c r="AF322" i="1" s="1"/>
  <c r="AB431" i="1"/>
  <c r="Z223" i="1"/>
  <c r="AE136" i="1"/>
  <c r="AF136" i="1" s="1"/>
  <c r="Z235" i="1"/>
  <c r="AC53" i="1"/>
  <c r="AD53" i="1" s="1"/>
  <c r="AC44" i="1"/>
  <c r="AD44" i="1" s="1"/>
  <c r="Z87" i="1"/>
  <c r="Y57" i="1"/>
  <c r="AC4" i="1"/>
  <c r="AD4" i="1" s="1"/>
  <c r="Y767" i="1"/>
  <c r="Z606" i="1"/>
  <c r="Z204" i="1"/>
  <c r="AA284" i="1"/>
  <c r="Z576" i="1"/>
  <c r="AC859" i="1"/>
  <c r="AD859" i="1" s="1"/>
  <c r="Z646" i="1"/>
  <c r="AC284" i="1"/>
  <c r="AD284" i="1" s="1"/>
  <c r="AA603" i="1"/>
  <c r="AE603" i="1" s="1"/>
  <c r="AF603" i="1" s="1"/>
  <c r="Z911" i="1"/>
  <c r="AC890" i="1"/>
  <c r="AD890" i="1" s="1"/>
  <c r="AC875" i="1"/>
  <c r="AD875" i="1" s="1"/>
  <c r="AA767" i="1"/>
  <c r="Y769" i="1"/>
  <c r="AC782" i="1"/>
  <c r="AD782" i="1" s="1"/>
  <c r="AC686" i="1"/>
  <c r="AD686" i="1" s="1"/>
  <c r="Y757" i="1"/>
  <c r="AA710" i="1"/>
  <c r="AB710" i="1" s="1"/>
  <c r="AC662" i="1"/>
  <c r="AD662" i="1" s="1"/>
  <c r="Y602" i="1"/>
  <c r="Z625" i="1"/>
  <c r="Z549" i="1"/>
  <c r="Z617" i="1"/>
  <c r="Z409" i="1"/>
  <c r="Y430" i="1"/>
  <c r="Y492" i="1"/>
  <c r="Z440" i="1"/>
  <c r="Z318" i="1"/>
  <c r="AC131" i="1"/>
  <c r="AD131" i="1" s="1"/>
  <c r="AC40" i="1"/>
  <c r="AD40" i="1" s="1"/>
  <c r="Z4" i="1"/>
  <c r="AC602" i="1"/>
  <c r="AD602" i="1" s="1"/>
  <c r="AC87" i="1"/>
  <c r="AD87" i="1" s="1"/>
  <c r="Z64" i="1"/>
  <c r="AA64" i="1"/>
  <c r="AA283" i="1"/>
  <c r="Y283" i="1"/>
  <c r="AA706" i="1"/>
  <c r="Y131" i="1"/>
  <c r="Y710" i="1"/>
  <c r="AE83" i="1"/>
  <c r="AF83" i="1" s="1"/>
  <c r="Z883" i="1"/>
  <c r="Z902" i="1"/>
  <c r="Z852" i="1"/>
  <c r="Y786" i="1"/>
  <c r="Z767" i="1"/>
  <c r="AA774" i="1"/>
  <c r="AE774" i="1" s="1"/>
  <c r="AF774" i="1" s="1"/>
  <c r="AC485" i="1"/>
  <c r="AD485" i="1" s="1"/>
  <c r="AE131" i="1"/>
  <c r="AF131" i="1" s="1"/>
  <c r="AC57" i="1"/>
  <c r="AD57" i="1" s="1"/>
  <c r="Y52" i="1"/>
  <c r="Y32" i="1"/>
  <c r="AC736" i="1"/>
  <c r="AD736" i="1" s="1"/>
  <c r="AC557" i="1"/>
  <c r="AD557" i="1" s="1"/>
  <c r="Z596" i="1"/>
  <c r="AC596" i="1"/>
  <c r="AD596" i="1" s="1"/>
  <c r="Y596" i="1"/>
  <c r="AA596" i="1"/>
  <c r="AE601" i="1"/>
  <c r="AF601" i="1" s="1"/>
  <c r="AB601" i="1"/>
  <c r="Y81" i="1"/>
  <c r="AA81" i="1"/>
  <c r="AC810" i="1"/>
  <c r="AD810" i="1" s="1"/>
  <c r="AC774" i="1"/>
  <c r="AD774" i="1" s="1"/>
  <c r="Z782" i="1"/>
  <c r="AA694" i="1"/>
  <c r="AE694" i="1" s="1"/>
  <c r="AF694" i="1" s="1"/>
  <c r="AC706" i="1"/>
  <c r="AD706" i="1" s="1"/>
  <c r="AA642" i="1"/>
  <c r="Z417" i="1"/>
  <c r="AC398" i="1"/>
  <c r="AD398" i="1" s="1"/>
  <c r="Z217" i="1"/>
  <c r="AC216" i="1"/>
  <c r="AD216" i="1" s="1"/>
  <c r="AA142" i="1"/>
  <c r="AC828" i="1"/>
  <c r="AD828" i="1" s="1"/>
  <c r="AE605" i="1"/>
  <c r="AF605" i="1" s="1"/>
  <c r="AB605" i="1"/>
  <c r="Z319" i="1"/>
  <c r="AC319" i="1"/>
  <c r="AD319" i="1" s="1"/>
  <c r="AA319" i="1"/>
  <c r="Y319" i="1"/>
  <c r="Y70" i="1"/>
  <c r="AA70" i="1"/>
  <c r="AA2" i="1"/>
  <c r="AC2" i="1"/>
  <c r="AD2" i="1" s="1"/>
  <c r="Z198" i="1"/>
  <c r="AA198" i="1"/>
  <c r="Y198" i="1"/>
  <c r="AC198" i="1"/>
  <c r="AD198" i="1" s="1"/>
  <c r="AE604" i="1"/>
  <c r="AF604" i="1" s="1"/>
  <c r="AB604" i="1"/>
  <c r="AE399" i="1"/>
  <c r="AF399" i="1" s="1"/>
  <c r="AB399" i="1"/>
  <c r="AA71" i="1"/>
  <c r="Y71" i="1"/>
  <c r="AA203" i="1"/>
  <c r="Y203" i="1"/>
  <c r="Y919" i="1"/>
  <c r="AC912" i="1"/>
  <c r="AD912" i="1" s="1"/>
  <c r="AC694" i="1"/>
  <c r="AD694" i="1" s="1"/>
  <c r="Z609" i="1"/>
  <c r="AA217" i="1"/>
  <c r="Y216" i="1"/>
  <c r="AE134" i="1"/>
  <c r="AF134" i="1" s="1"/>
  <c r="Z71" i="1"/>
  <c r="AA926" i="1"/>
  <c r="AC926" i="1"/>
  <c r="AD926" i="1" s="1"/>
  <c r="AC878" i="1"/>
  <c r="AD878" i="1" s="1"/>
  <c r="AA878" i="1"/>
  <c r="AE602" i="1"/>
  <c r="AF602" i="1" s="1"/>
  <c r="AB602" i="1"/>
  <c r="AC792" i="1"/>
  <c r="AD792" i="1" s="1"/>
  <c r="AC81" i="1"/>
  <c r="AD81" i="1" s="1"/>
  <c r="Z69" i="1"/>
  <c r="Y69" i="1"/>
  <c r="AA69" i="1"/>
  <c r="AB317" i="1"/>
  <c r="AE317" i="1"/>
  <c r="AF317" i="1" s="1"/>
  <c r="AA59" i="1"/>
  <c r="Z59" i="1"/>
  <c r="Y59" i="1"/>
  <c r="Y736" i="1"/>
  <c r="AA736" i="1"/>
  <c r="Z432" i="1"/>
  <c r="AE775" i="1"/>
  <c r="AF775" i="1" s="1"/>
  <c r="Z648" i="1"/>
  <c r="AE712" i="1"/>
  <c r="AF712" i="1" s="1"/>
  <c r="AC629" i="1"/>
  <c r="AD629" i="1" s="1"/>
  <c r="AE103" i="1"/>
  <c r="AF103" i="1" s="1"/>
  <c r="Z40" i="1"/>
  <c r="AA910" i="1"/>
  <c r="AC910" i="1"/>
  <c r="AD910" i="1" s="1"/>
  <c r="Z630" i="1"/>
  <c r="AC651" i="1"/>
  <c r="AD651" i="1" s="1"/>
  <c r="Z651" i="1"/>
  <c r="AE599" i="1"/>
  <c r="AF599" i="1" s="1"/>
  <c r="AB599" i="1"/>
  <c r="Z66" i="1"/>
  <c r="AA66" i="1"/>
  <c r="Y66" i="1"/>
  <c r="Y890" i="1"/>
  <c r="Z890" i="1"/>
  <c r="AC919" i="1"/>
  <c r="AD919" i="1" s="1"/>
  <c r="AB868" i="1"/>
  <c r="AE711" i="1"/>
  <c r="AF711" i="1" s="1"/>
  <c r="AE640" i="1"/>
  <c r="AF640" i="1" s="1"/>
  <c r="AE132" i="1"/>
  <c r="AF132" i="1" s="1"/>
  <c r="Z43" i="1"/>
  <c r="AC321" i="1"/>
  <c r="AD321" i="1" s="1"/>
  <c r="Y321" i="1"/>
  <c r="AC552" i="1"/>
  <c r="AD552" i="1" s="1"/>
  <c r="Z416" i="1"/>
  <c r="AC142" i="1"/>
  <c r="AD142" i="1" s="1"/>
  <c r="AE284" i="1"/>
  <c r="AF284" i="1" s="1"/>
  <c r="AB284" i="1"/>
  <c r="AA922" i="1"/>
  <c r="AC922" i="1"/>
  <c r="AD922" i="1" s="1"/>
  <c r="AC864" i="1"/>
  <c r="AD864" i="1" s="1"/>
  <c r="Z864" i="1"/>
  <c r="Y810" i="1"/>
  <c r="Y774" i="1"/>
  <c r="Y706" i="1"/>
  <c r="AC583" i="1"/>
  <c r="AD583" i="1" s="1"/>
  <c r="Y398" i="1"/>
  <c r="AA40" i="1"/>
  <c r="AE40" i="1" s="1"/>
  <c r="AF40" i="1" s="1"/>
  <c r="AE600" i="1"/>
  <c r="AF600" i="1" s="1"/>
  <c r="AB600" i="1"/>
  <c r="Y442" i="1"/>
  <c r="AA442" i="1"/>
  <c r="AC765" i="1"/>
  <c r="AD765" i="1" s="1"/>
  <c r="Z647" i="1"/>
  <c r="AC647" i="1"/>
  <c r="AD647" i="1" s="1"/>
  <c r="Z635" i="1"/>
  <c r="AC407" i="1"/>
  <c r="AD407" i="1" s="1"/>
  <c r="Y73" i="1"/>
  <c r="AA73" i="1"/>
  <c r="AB125" i="1"/>
  <c r="AE125" i="1"/>
  <c r="AF125" i="1" s="1"/>
  <c r="Z68" i="1"/>
  <c r="Y68" i="1"/>
  <c r="AA68" i="1"/>
  <c r="AC549" i="1"/>
  <c r="AD549" i="1" s="1"/>
  <c r="Z67" i="1"/>
  <c r="AA67" i="1"/>
  <c r="Y67" i="1"/>
  <c r="Z289" i="1"/>
  <c r="AC289" i="1"/>
  <c r="AD289" i="1" s="1"/>
  <c r="AA289" i="1"/>
  <c r="Y289" i="1"/>
  <c r="Y84" i="1"/>
  <c r="AA84" i="1"/>
  <c r="AC71" i="1"/>
  <c r="AD71" i="1" s="1"/>
  <c r="Z76" i="1"/>
  <c r="AA76" i="1"/>
  <c r="Y76" i="1"/>
  <c r="AE709" i="1"/>
  <c r="AF709" i="1" s="1"/>
  <c r="AC771" i="1"/>
  <c r="AD771" i="1" s="1"/>
  <c r="Z771" i="1"/>
  <c r="Y691" i="1"/>
  <c r="AC691" i="1"/>
  <c r="AD691" i="1" s="1"/>
  <c r="Z691" i="1"/>
  <c r="AA701" i="1"/>
  <c r="AB701" i="1" s="1"/>
  <c r="Z81" i="1"/>
  <c r="AA778" i="1"/>
  <c r="AC778" i="1"/>
  <c r="AD778" i="1" s="1"/>
  <c r="AC747" i="1"/>
  <c r="AD747" i="1" s="1"/>
  <c r="Z747" i="1"/>
  <c r="AE598" i="1"/>
  <c r="AF598" i="1" s="1"/>
  <c r="AB598" i="1"/>
  <c r="Y438" i="1"/>
  <c r="AA438" i="1"/>
  <c r="AC757" i="1"/>
  <c r="AD757" i="1" s="1"/>
  <c r="Z905" i="1"/>
  <c r="AC905" i="1"/>
  <c r="AD905" i="1" s="1"/>
  <c r="Z833" i="1"/>
  <c r="AA606" i="1"/>
  <c r="AC606" i="1"/>
  <c r="AD606" i="1" s="1"/>
  <c r="Z72" i="1"/>
  <c r="Y72" i="1"/>
  <c r="AA72" i="1"/>
  <c r="AA607" i="1"/>
  <c r="AC607" i="1"/>
  <c r="AD607" i="1" s="1"/>
  <c r="AC28" i="1"/>
  <c r="AD28" i="1" s="1"/>
  <c r="AA28" i="1"/>
  <c r="AE597" i="1"/>
  <c r="AF597" i="1" s="1"/>
  <c r="AB597" i="1"/>
  <c r="AC68" i="1"/>
  <c r="AD68" i="1" s="1"/>
  <c r="Y124" i="1"/>
  <c r="AC124" i="1"/>
  <c r="AD124" i="1" s="1"/>
  <c r="AA124" i="1"/>
  <c r="AC203" i="1"/>
  <c r="AD203" i="1" s="1"/>
  <c r="Z589" i="1"/>
  <c r="AC589" i="1"/>
  <c r="AD589" i="1" s="1"/>
  <c r="Y589" i="1"/>
  <c r="AA589" i="1"/>
  <c r="AC561" i="1"/>
  <c r="AD561" i="1" s="1"/>
  <c r="Z561" i="1"/>
  <c r="Z449" i="1"/>
  <c r="Y449" i="1"/>
  <c r="AC449" i="1"/>
  <c r="AD449" i="1" s="1"/>
  <c r="AA449" i="1"/>
  <c r="Z501" i="1"/>
  <c r="Y501" i="1"/>
  <c r="AC501" i="1"/>
  <c r="AD501" i="1" s="1"/>
  <c r="AA501" i="1"/>
  <c r="AB228" i="1"/>
  <c r="AE228" i="1"/>
  <c r="AF228" i="1" s="1"/>
  <c r="AC263" i="1"/>
  <c r="AD263" i="1" s="1"/>
  <c r="AA263" i="1"/>
  <c r="Y263" i="1"/>
  <c r="Z263" i="1"/>
  <c r="Y183" i="1"/>
  <c r="AC183" i="1"/>
  <c r="AD183" i="1" s="1"/>
  <c r="AA183" i="1"/>
  <c r="Z183" i="1"/>
  <c r="Z63" i="1"/>
  <c r="AC63" i="1"/>
  <c r="AD63" i="1" s="1"/>
  <c r="AA63" i="1"/>
  <c r="Y63" i="1"/>
  <c r="AE938" i="1"/>
  <c r="AF938" i="1" s="1"/>
  <c r="AB938" i="1"/>
  <c r="Z916" i="1"/>
  <c r="AB890" i="1"/>
  <c r="AE890" i="1"/>
  <c r="AF890" i="1" s="1"/>
  <c r="Z924" i="1"/>
  <c r="AB907" i="1"/>
  <c r="AE907" i="1"/>
  <c r="AF907" i="1" s="1"/>
  <c r="AB927" i="1"/>
  <c r="AE927" i="1"/>
  <c r="AF927" i="1" s="1"/>
  <c r="AC815" i="1"/>
  <c r="AD815" i="1" s="1"/>
  <c r="AA815" i="1"/>
  <c r="Y815" i="1"/>
  <c r="Z815" i="1"/>
  <c r="AC850" i="1"/>
  <c r="AD850" i="1" s="1"/>
  <c r="Z850" i="1"/>
  <c r="AC830" i="1"/>
  <c r="AD830" i="1" s="1"/>
  <c r="Z830" i="1"/>
  <c r="Y814" i="1"/>
  <c r="AC814" i="1"/>
  <c r="AD814" i="1" s="1"/>
  <c r="Z814" i="1"/>
  <c r="AA814" i="1"/>
  <c r="Y894" i="1"/>
  <c r="AA835" i="1"/>
  <c r="AC835" i="1"/>
  <c r="AD835" i="1" s="1"/>
  <c r="Z835" i="1"/>
  <c r="Y835" i="1"/>
  <c r="Y819" i="1"/>
  <c r="AE882" i="1"/>
  <c r="AF882" i="1" s="1"/>
  <c r="AC865" i="1"/>
  <c r="AD865" i="1" s="1"/>
  <c r="Z865" i="1"/>
  <c r="AC816" i="1"/>
  <c r="AD816" i="1" s="1"/>
  <c r="AA816" i="1"/>
  <c r="Z816" i="1"/>
  <c r="Y816" i="1"/>
  <c r="AC787" i="1"/>
  <c r="AD787" i="1" s="1"/>
  <c r="AA787" i="1"/>
  <c r="Z787" i="1"/>
  <c r="Y787" i="1"/>
  <c r="AA777" i="1"/>
  <c r="Z777" i="1"/>
  <c r="Y777" i="1"/>
  <c r="AC777" i="1"/>
  <c r="AD777" i="1" s="1"/>
  <c r="AB875" i="1"/>
  <c r="AE875" i="1"/>
  <c r="AF875" i="1" s="1"/>
  <c r="Z748" i="1"/>
  <c r="Y748" i="1"/>
  <c r="AC748" i="1"/>
  <c r="AD748" i="1" s="1"/>
  <c r="AA748" i="1"/>
  <c r="Y913" i="1"/>
  <c r="AC913" i="1"/>
  <c r="AD913" i="1" s="1"/>
  <c r="Z913" i="1"/>
  <c r="AA913" i="1"/>
  <c r="AC781" i="1"/>
  <c r="AD781" i="1" s="1"/>
  <c r="AA781" i="1"/>
  <c r="Z781" i="1"/>
  <c r="Y781" i="1"/>
  <c r="AC780" i="1"/>
  <c r="AD780" i="1" s="1"/>
  <c r="AA780" i="1"/>
  <c r="Y780" i="1"/>
  <c r="Z780" i="1"/>
  <c r="AE861" i="1"/>
  <c r="AF861" i="1" s="1"/>
  <c r="AB861" i="1"/>
  <c r="Y805" i="1"/>
  <c r="AC805" i="1"/>
  <c r="AD805" i="1" s="1"/>
  <c r="AA805" i="1"/>
  <c r="Z805" i="1"/>
  <c r="AC727" i="1"/>
  <c r="AD727" i="1" s="1"/>
  <c r="Z727" i="1"/>
  <c r="AC716" i="1"/>
  <c r="AD716" i="1" s="1"/>
  <c r="AA716" i="1"/>
  <c r="Z716" i="1"/>
  <c r="Y716" i="1"/>
  <c r="AB699" i="1"/>
  <c r="AE699" i="1"/>
  <c r="AF699" i="1" s="1"/>
  <c r="AB713" i="1"/>
  <c r="AE713" i="1"/>
  <c r="AF713" i="1" s="1"/>
  <c r="Z721" i="1"/>
  <c r="AC721" i="1"/>
  <c r="AD721" i="1" s="1"/>
  <c r="AA721" i="1"/>
  <c r="Y721" i="1"/>
  <c r="Z698" i="1"/>
  <c r="AA698" i="1"/>
  <c r="Y698" i="1"/>
  <c r="AC698" i="1"/>
  <c r="AD698" i="1" s="1"/>
  <c r="AB737" i="1"/>
  <c r="AE737" i="1"/>
  <c r="AF737" i="1" s="1"/>
  <c r="AE812" i="1"/>
  <c r="AF812" i="1" s="1"/>
  <c r="AB812" i="1"/>
  <c r="AC707" i="1"/>
  <c r="AD707" i="1" s="1"/>
  <c r="AA707" i="1"/>
  <c r="Z707" i="1"/>
  <c r="Y707" i="1"/>
  <c r="AC656" i="1"/>
  <c r="AD656" i="1" s="1"/>
  <c r="Z656" i="1"/>
  <c r="Y715" i="1"/>
  <c r="AC715" i="1"/>
  <c r="AD715" i="1" s="1"/>
  <c r="Z715" i="1"/>
  <c r="AA715" i="1"/>
  <c r="AB752" i="1"/>
  <c r="AE752" i="1"/>
  <c r="AF752" i="1" s="1"/>
  <c r="AE754" i="1"/>
  <c r="AF754" i="1" s="1"/>
  <c r="AB754" i="1"/>
  <c r="AC718" i="1"/>
  <c r="AD718" i="1" s="1"/>
  <c r="AA718" i="1"/>
  <c r="Y718" i="1"/>
  <c r="Z718" i="1"/>
  <c r="AC669" i="1"/>
  <c r="AD669" i="1" s="1"/>
  <c r="Z669" i="1"/>
  <c r="AE632" i="1"/>
  <c r="AF632" i="1" s="1"/>
  <c r="AB632" i="1"/>
  <c r="Z631" i="1"/>
  <c r="AA631" i="1"/>
  <c r="AC631" i="1"/>
  <c r="AD631" i="1" s="1"/>
  <c r="Y631" i="1"/>
  <c r="Z621" i="1"/>
  <c r="AC621" i="1"/>
  <c r="AD621" i="1" s="1"/>
  <c r="AA621" i="1"/>
  <c r="Y621" i="1"/>
  <c r="AC567" i="1"/>
  <c r="AD567" i="1" s="1"/>
  <c r="Z567" i="1"/>
  <c r="Y551" i="1"/>
  <c r="AC551" i="1"/>
  <c r="AD551" i="1" s="1"/>
  <c r="Z551" i="1"/>
  <c r="AA551" i="1"/>
  <c r="AC554" i="1"/>
  <c r="AD554" i="1" s="1"/>
  <c r="AA554" i="1"/>
  <c r="Z554" i="1"/>
  <c r="Y554" i="1"/>
  <c r="AB629" i="1"/>
  <c r="AE629" i="1"/>
  <c r="AF629" i="1" s="1"/>
  <c r="AC536" i="1"/>
  <c r="AD536" i="1" s="1"/>
  <c r="AA536" i="1"/>
  <c r="Z536" i="1"/>
  <c r="Y536" i="1"/>
  <c r="AC529" i="1"/>
  <c r="AD529" i="1" s="1"/>
  <c r="AA529" i="1"/>
  <c r="Z529" i="1"/>
  <c r="Y529" i="1"/>
  <c r="AE541" i="1"/>
  <c r="AF541" i="1" s="1"/>
  <c r="AB541" i="1"/>
  <c r="AC514" i="1"/>
  <c r="AD514" i="1" s="1"/>
  <c r="AA514" i="1"/>
  <c r="Z514" i="1"/>
  <c r="Y514" i="1"/>
  <c r="Y452" i="1"/>
  <c r="AC452" i="1"/>
  <c r="AD452" i="1" s="1"/>
  <c r="Z452" i="1"/>
  <c r="AA452" i="1"/>
  <c r="AC473" i="1"/>
  <c r="AD473" i="1" s="1"/>
  <c r="Z473" i="1"/>
  <c r="AE469" i="1"/>
  <c r="AF469" i="1" s="1"/>
  <c r="AB469" i="1"/>
  <c r="Y547" i="1"/>
  <c r="AE467" i="1"/>
  <c r="AF467" i="1" s="1"/>
  <c r="AB467" i="1"/>
  <c r="AE468" i="1"/>
  <c r="AF468" i="1" s="1"/>
  <c r="AB468" i="1"/>
  <c r="AA549" i="1"/>
  <c r="AC455" i="1"/>
  <c r="AD455" i="1" s="1"/>
  <c r="AA455" i="1"/>
  <c r="Y455" i="1"/>
  <c r="Z455" i="1"/>
  <c r="AA406" i="1"/>
  <c r="Z406" i="1"/>
  <c r="Y406" i="1"/>
  <c r="AC406" i="1"/>
  <c r="AD406" i="1" s="1"/>
  <c r="AA402" i="1"/>
  <c r="Z402" i="1"/>
  <c r="Y402" i="1"/>
  <c r="AC402" i="1"/>
  <c r="AD402" i="1" s="1"/>
  <c r="AC396" i="1"/>
  <c r="AD396" i="1" s="1"/>
  <c r="AA396" i="1"/>
  <c r="Z396" i="1"/>
  <c r="Y396" i="1"/>
  <c r="AC388" i="1"/>
  <c r="AD388" i="1" s="1"/>
  <c r="AA388" i="1"/>
  <c r="Z388" i="1"/>
  <c r="Y388" i="1"/>
  <c r="AA377" i="1"/>
  <c r="AC377" i="1"/>
  <c r="AD377" i="1" s="1"/>
  <c r="Z377" i="1"/>
  <c r="Y377" i="1"/>
  <c r="AA329" i="1"/>
  <c r="Z329" i="1"/>
  <c r="Y329" i="1"/>
  <c r="AC329" i="1"/>
  <c r="AD329" i="1" s="1"/>
  <c r="AA297" i="1"/>
  <c r="Z297" i="1"/>
  <c r="Y297" i="1"/>
  <c r="AC297" i="1"/>
  <c r="AD297" i="1" s="1"/>
  <c r="Y230" i="1"/>
  <c r="AC230" i="1"/>
  <c r="AD230" i="1" s="1"/>
  <c r="AA230" i="1"/>
  <c r="Z230" i="1"/>
  <c r="AC362" i="1"/>
  <c r="AD362" i="1" s="1"/>
  <c r="AA362" i="1"/>
  <c r="Z362" i="1"/>
  <c r="Y362" i="1"/>
  <c r="AC302" i="1"/>
  <c r="AD302" i="1" s="1"/>
  <c r="AA302" i="1"/>
  <c r="Z302" i="1"/>
  <c r="Y302" i="1"/>
  <c r="Y237" i="1"/>
  <c r="Z237" i="1"/>
  <c r="AC237" i="1"/>
  <c r="AD237" i="1" s="1"/>
  <c r="AA237" i="1"/>
  <c r="AA373" i="1"/>
  <c r="AC373" i="1"/>
  <c r="AD373" i="1" s="1"/>
  <c r="Z373" i="1"/>
  <c r="Y373" i="1"/>
  <c r="AC299" i="1"/>
  <c r="AD299" i="1" s="1"/>
  <c r="AA299" i="1"/>
  <c r="Z299" i="1"/>
  <c r="Y299" i="1"/>
  <c r="AC466" i="1"/>
  <c r="AD466" i="1" s="1"/>
  <c r="AA466" i="1"/>
  <c r="Z466" i="1"/>
  <c r="Y466" i="1"/>
  <c r="Z365" i="1"/>
  <c r="Y365" i="1"/>
  <c r="AC365" i="1"/>
  <c r="AD365" i="1" s="1"/>
  <c r="AA365" i="1"/>
  <c r="Z357" i="1"/>
  <c r="Y357" i="1"/>
  <c r="AC357" i="1"/>
  <c r="AD357" i="1" s="1"/>
  <c r="AA357" i="1"/>
  <c r="Y328" i="1"/>
  <c r="AC328" i="1"/>
  <c r="AD328" i="1" s="1"/>
  <c r="Z328" i="1"/>
  <c r="AA328" i="1"/>
  <c r="Z325" i="1"/>
  <c r="AC325" i="1"/>
  <c r="AD325" i="1" s="1"/>
  <c r="AA325" i="1"/>
  <c r="Y325" i="1"/>
  <c r="AB223" i="1"/>
  <c r="AE223" i="1"/>
  <c r="AF223" i="1" s="1"/>
  <c r="AC246" i="1"/>
  <c r="AD246" i="1" s="1"/>
  <c r="AA246" i="1"/>
  <c r="Z246" i="1"/>
  <c r="Y246" i="1"/>
  <c r="AB200" i="1"/>
  <c r="AE200" i="1"/>
  <c r="AF200" i="1" s="1"/>
  <c r="Z353" i="1"/>
  <c r="Y353" i="1"/>
  <c r="AC353" i="1"/>
  <c r="AD353" i="1" s="1"/>
  <c r="AA353" i="1"/>
  <c r="AB290" i="1"/>
  <c r="AE290" i="1"/>
  <c r="AF290" i="1" s="1"/>
  <c r="AB226" i="1"/>
  <c r="AE226" i="1"/>
  <c r="AF226" i="1" s="1"/>
  <c r="AC282" i="1"/>
  <c r="AD282" i="1" s="1"/>
  <c r="AA282" i="1"/>
  <c r="Y282" i="1"/>
  <c r="Z282" i="1"/>
  <c r="AC274" i="1"/>
  <c r="AD274" i="1" s="1"/>
  <c r="AA274" i="1"/>
  <c r="Y274" i="1"/>
  <c r="Z274" i="1"/>
  <c r="AC266" i="1"/>
  <c r="AD266" i="1" s="1"/>
  <c r="AA266" i="1"/>
  <c r="Y266" i="1"/>
  <c r="Z266" i="1"/>
  <c r="AC258" i="1"/>
  <c r="AD258" i="1" s="1"/>
  <c r="AA258" i="1"/>
  <c r="Y258" i="1"/>
  <c r="Z258" i="1"/>
  <c r="Y308" i="1"/>
  <c r="AC308" i="1"/>
  <c r="AD308" i="1" s="1"/>
  <c r="Z308" i="1"/>
  <c r="AA308" i="1"/>
  <c r="Y195" i="1"/>
  <c r="AC195" i="1"/>
  <c r="AD195" i="1" s="1"/>
  <c r="AA195" i="1"/>
  <c r="Z195" i="1"/>
  <c r="AC161" i="1"/>
  <c r="AD161" i="1" s="1"/>
  <c r="AA161" i="1"/>
  <c r="Z161" i="1"/>
  <c r="Y161" i="1"/>
  <c r="Y194" i="1"/>
  <c r="AC194" i="1"/>
  <c r="AD194" i="1" s="1"/>
  <c r="AA194" i="1"/>
  <c r="Z194" i="1"/>
  <c r="AC129" i="1"/>
  <c r="AD129" i="1" s="1"/>
  <c r="AA129" i="1"/>
  <c r="Z129" i="1"/>
  <c r="Y129" i="1"/>
  <c r="AC176" i="1"/>
  <c r="AD176" i="1" s="1"/>
  <c r="AA176" i="1"/>
  <c r="Z176" i="1"/>
  <c r="Y176" i="1"/>
  <c r="AC137" i="1"/>
  <c r="AD137" i="1" s="1"/>
  <c r="AA137" i="1"/>
  <c r="Y137" i="1"/>
  <c r="Z137" i="1"/>
  <c r="Y192" i="1"/>
  <c r="AC192" i="1"/>
  <c r="AD192" i="1" s="1"/>
  <c r="AA192" i="1"/>
  <c r="Z192" i="1"/>
  <c r="Y163" i="1"/>
  <c r="AC163" i="1"/>
  <c r="AD163" i="1" s="1"/>
  <c r="AA163" i="1"/>
  <c r="Z163" i="1"/>
  <c r="AA162" i="1"/>
  <c r="Z162" i="1"/>
  <c r="Y162" i="1"/>
  <c r="AC162" i="1"/>
  <c r="AD162" i="1" s="1"/>
  <c r="AB206" i="1"/>
  <c r="AE206" i="1"/>
  <c r="AF206" i="1" s="1"/>
  <c r="AA114" i="1"/>
  <c r="Y114" i="1"/>
  <c r="AE35" i="1"/>
  <c r="AF35" i="1" s="1"/>
  <c r="AB35" i="1"/>
  <c r="AB140" i="1"/>
  <c r="AE140" i="1"/>
  <c r="AF140" i="1" s="1"/>
  <c r="AE48" i="1"/>
  <c r="AF48" i="1" s="1"/>
  <c r="AB48" i="1"/>
  <c r="AB36" i="1"/>
  <c r="AE36" i="1"/>
  <c r="AF36" i="1" s="1"/>
  <c r="Z5" i="1"/>
  <c r="Z862" i="1"/>
  <c r="Y862" i="1"/>
  <c r="AC862" i="1"/>
  <c r="AD862" i="1" s="1"/>
  <c r="AA862" i="1"/>
  <c r="AC807" i="1"/>
  <c r="AD807" i="1" s="1"/>
  <c r="AA807" i="1"/>
  <c r="Y807" i="1"/>
  <c r="Z807" i="1"/>
  <c r="AC730" i="1"/>
  <c r="AD730" i="1" s="1"/>
  <c r="Z730" i="1"/>
  <c r="Z674" i="1"/>
  <c r="AC674" i="1"/>
  <c r="AD674" i="1" s="1"/>
  <c r="AC537" i="1"/>
  <c r="AD537" i="1" s="1"/>
  <c r="AA537" i="1"/>
  <c r="Z537" i="1"/>
  <c r="Y537" i="1"/>
  <c r="AC511" i="1"/>
  <c r="AD511" i="1" s="1"/>
  <c r="AA511" i="1"/>
  <c r="Z511" i="1"/>
  <c r="Y511" i="1"/>
  <c r="AC526" i="1"/>
  <c r="AD526" i="1" s="1"/>
  <c r="AA526" i="1"/>
  <c r="Z526" i="1"/>
  <c r="Y526" i="1"/>
  <c r="AC522" i="1"/>
  <c r="AD522" i="1" s="1"/>
  <c r="AA522" i="1"/>
  <c r="Y522" i="1"/>
  <c r="Z522" i="1"/>
  <c r="AE544" i="1"/>
  <c r="AF544" i="1" s="1"/>
  <c r="AB544" i="1"/>
  <c r="AA382" i="1"/>
  <c r="AC382" i="1"/>
  <c r="AD382" i="1" s="1"/>
  <c r="Z382" i="1"/>
  <c r="Y382" i="1"/>
  <c r="Y304" i="1"/>
  <c r="AC304" i="1"/>
  <c r="AD304" i="1" s="1"/>
  <c r="Z304" i="1"/>
  <c r="AA304" i="1"/>
  <c r="AC181" i="1"/>
  <c r="AD181" i="1" s="1"/>
  <c r="AA181" i="1"/>
  <c r="Z181" i="1"/>
  <c r="Y181" i="1"/>
  <c r="AE139" i="1"/>
  <c r="AF139" i="1" s="1"/>
  <c r="AC888" i="1"/>
  <c r="AD888" i="1" s="1"/>
  <c r="Y888" i="1"/>
  <c r="AA888" i="1"/>
  <c r="Z888" i="1"/>
  <c r="AB935" i="1"/>
  <c r="AE935" i="1"/>
  <c r="AF935" i="1" s="1"/>
  <c r="AC856" i="1"/>
  <c r="AD856" i="1" s="1"/>
  <c r="Z856" i="1"/>
  <c r="AB915" i="1"/>
  <c r="AE915" i="1"/>
  <c r="AF915" i="1" s="1"/>
  <c r="AE874" i="1"/>
  <c r="AF874" i="1" s="1"/>
  <c r="AC840" i="1"/>
  <c r="AD840" i="1" s="1"/>
  <c r="Z840" i="1"/>
  <c r="AA840" i="1"/>
  <c r="Y840" i="1"/>
  <c r="AB894" i="1"/>
  <c r="AE894" i="1"/>
  <c r="AF894" i="1" s="1"/>
  <c r="Z813" i="1"/>
  <c r="Y813" i="1"/>
  <c r="AC813" i="1"/>
  <c r="AD813" i="1" s="1"/>
  <c r="AA813" i="1"/>
  <c r="AC842" i="1"/>
  <c r="AD842" i="1" s="1"/>
  <c r="Z842" i="1"/>
  <c r="AB860" i="1"/>
  <c r="AE860" i="1"/>
  <c r="AF860" i="1" s="1"/>
  <c r="AC825" i="1"/>
  <c r="AD825" i="1" s="1"/>
  <c r="Z825" i="1"/>
  <c r="AB771" i="1"/>
  <c r="AE771" i="1"/>
  <c r="AF771" i="1" s="1"/>
  <c r="Y749" i="1"/>
  <c r="AC749" i="1"/>
  <c r="AD749" i="1" s="1"/>
  <c r="Z749" i="1"/>
  <c r="AA749" i="1"/>
  <c r="Y801" i="1"/>
  <c r="AC801" i="1"/>
  <c r="AD801" i="1" s="1"/>
  <c r="AA801" i="1"/>
  <c r="Z801" i="1"/>
  <c r="AC772" i="1"/>
  <c r="AD772" i="1" s="1"/>
  <c r="AA772" i="1"/>
  <c r="Z772" i="1"/>
  <c r="Y772" i="1"/>
  <c r="AC824" i="1"/>
  <c r="AD824" i="1" s="1"/>
  <c r="Z824" i="1"/>
  <c r="AB811" i="1"/>
  <c r="AE811" i="1"/>
  <c r="AF811" i="1" s="1"/>
  <c r="U842" i="1"/>
  <c r="U843" i="1" s="1"/>
  <c r="U844" i="1" s="1"/>
  <c r="AA841" i="1"/>
  <c r="AE714" i="1"/>
  <c r="AF714" i="1" s="1"/>
  <c r="AB714" i="1"/>
  <c r="AA696" i="1"/>
  <c r="Z696" i="1"/>
  <c r="Y696" i="1"/>
  <c r="AC696" i="1"/>
  <c r="AD696" i="1" s="1"/>
  <c r="Y649" i="1"/>
  <c r="Z652" i="1"/>
  <c r="AC652" i="1"/>
  <c r="AD652" i="1" s="1"/>
  <c r="AC665" i="1"/>
  <c r="AD665" i="1" s="1"/>
  <c r="Z665" i="1"/>
  <c r="AB643" i="1"/>
  <c r="AE643" i="1"/>
  <c r="AF643" i="1" s="1"/>
  <c r="AB630" i="1"/>
  <c r="AE630" i="1"/>
  <c r="AF630" i="1" s="1"/>
  <c r="AC619" i="1"/>
  <c r="AD619" i="1" s="1"/>
  <c r="AA619" i="1"/>
  <c r="Z619" i="1"/>
  <c r="Y619" i="1"/>
  <c r="Z641" i="1"/>
  <c r="AC570" i="1"/>
  <c r="AD570" i="1" s="1"/>
  <c r="Z570" i="1"/>
  <c r="AC531" i="1"/>
  <c r="AD531" i="1" s="1"/>
  <c r="AA531" i="1"/>
  <c r="Z531" i="1"/>
  <c r="Y531" i="1"/>
  <c r="AC523" i="1"/>
  <c r="AD523" i="1" s="1"/>
  <c r="AA523" i="1"/>
  <c r="Z523" i="1"/>
  <c r="Y523" i="1"/>
  <c r="Z463" i="1"/>
  <c r="Y463" i="1"/>
  <c r="AC463" i="1"/>
  <c r="AD463" i="1" s="1"/>
  <c r="AA463" i="1"/>
  <c r="Y509" i="1"/>
  <c r="AC509" i="1"/>
  <c r="AD509" i="1" s="1"/>
  <c r="Z509" i="1"/>
  <c r="AA509" i="1"/>
  <c r="AA625" i="1"/>
  <c r="AB547" i="1"/>
  <c r="AE547" i="1"/>
  <c r="AF547" i="1" s="1"/>
  <c r="AE434" i="1"/>
  <c r="AF434" i="1" s="1"/>
  <c r="AB434" i="1"/>
  <c r="Z491" i="1"/>
  <c r="Y491" i="1"/>
  <c r="AC491" i="1"/>
  <c r="AD491" i="1" s="1"/>
  <c r="AA491" i="1"/>
  <c r="U553" i="1"/>
  <c r="U554" i="1" s="1"/>
  <c r="U555" i="1" s="1"/>
  <c r="AA552" i="1"/>
  <c r="AA504" i="1"/>
  <c r="Z504" i="1"/>
  <c r="Y504" i="1"/>
  <c r="AC504" i="1"/>
  <c r="AD504" i="1" s="1"/>
  <c r="AA405" i="1"/>
  <c r="Z405" i="1"/>
  <c r="Y405" i="1"/>
  <c r="AC405" i="1"/>
  <c r="AD405" i="1" s="1"/>
  <c r="AA401" i="1"/>
  <c r="Z401" i="1"/>
  <c r="Y401" i="1"/>
  <c r="AC401" i="1"/>
  <c r="AD401" i="1" s="1"/>
  <c r="Z489" i="1"/>
  <c r="Y489" i="1"/>
  <c r="AC489" i="1"/>
  <c r="AD489" i="1" s="1"/>
  <c r="AA489" i="1"/>
  <c r="AC441" i="1"/>
  <c r="AD441" i="1" s="1"/>
  <c r="AA441" i="1"/>
  <c r="Z441" i="1"/>
  <c r="Y441" i="1"/>
  <c r="AC394" i="1"/>
  <c r="AD394" i="1" s="1"/>
  <c r="AA394" i="1"/>
  <c r="Z394" i="1"/>
  <c r="Y394" i="1"/>
  <c r="AA386" i="1"/>
  <c r="Z386" i="1"/>
  <c r="AC386" i="1"/>
  <c r="AD386" i="1" s="1"/>
  <c r="Y386" i="1"/>
  <c r="U473" i="1"/>
  <c r="U474" i="1" s="1"/>
  <c r="U475" i="1" s="1"/>
  <c r="U476" i="1" s="1"/>
  <c r="U477" i="1" s="1"/>
  <c r="AA472" i="1"/>
  <c r="AE411" i="1"/>
  <c r="AF411" i="1" s="1"/>
  <c r="AB411" i="1"/>
  <c r="AA369" i="1"/>
  <c r="AC369" i="1"/>
  <c r="AD369" i="1" s="1"/>
  <c r="Z369" i="1"/>
  <c r="Y369" i="1"/>
  <c r="AA309" i="1"/>
  <c r="Z309" i="1"/>
  <c r="Y309" i="1"/>
  <c r="AC309" i="1"/>
  <c r="AD309" i="1" s="1"/>
  <c r="AA293" i="1"/>
  <c r="Z293" i="1"/>
  <c r="Y293" i="1"/>
  <c r="AC293" i="1"/>
  <c r="AD293" i="1" s="1"/>
  <c r="AC366" i="1"/>
  <c r="AD366" i="1" s="1"/>
  <c r="AA366" i="1"/>
  <c r="Z366" i="1"/>
  <c r="Y366" i="1"/>
  <c r="AC298" i="1"/>
  <c r="AD298" i="1" s="1"/>
  <c r="AA298" i="1"/>
  <c r="Z298" i="1"/>
  <c r="Y298" i="1"/>
  <c r="AA376" i="1"/>
  <c r="AC376" i="1"/>
  <c r="AD376" i="1" s="1"/>
  <c r="Z376" i="1"/>
  <c r="Y376" i="1"/>
  <c r="AC335" i="1"/>
  <c r="AD335" i="1" s="1"/>
  <c r="AA335" i="1"/>
  <c r="Z335" i="1"/>
  <c r="Y335" i="1"/>
  <c r="AC311" i="1"/>
  <c r="AD311" i="1" s="1"/>
  <c r="AA311" i="1"/>
  <c r="Z311" i="1"/>
  <c r="Y311" i="1"/>
  <c r="AC295" i="1"/>
  <c r="AD295" i="1" s="1"/>
  <c r="AA295" i="1"/>
  <c r="Z295" i="1"/>
  <c r="Y295" i="1"/>
  <c r="AA378" i="1"/>
  <c r="Y378" i="1"/>
  <c r="AC378" i="1"/>
  <c r="AD378" i="1" s="1"/>
  <c r="Z378" i="1"/>
  <c r="AC456" i="1"/>
  <c r="AD456" i="1" s="1"/>
  <c r="AA456" i="1"/>
  <c r="Y456" i="1"/>
  <c r="Z456" i="1"/>
  <c r="AE421" i="1"/>
  <c r="AF421" i="1" s="1"/>
  <c r="AB421" i="1"/>
  <c r="Z363" i="1"/>
  <c r="Y363" i="1"/>
  <c r="AC363" i="1"/>
  <c r="AD363" i="1" s="1"/>
  <c r="AA363" i="1"/>
  <c r="AB227" i="1"/>
  <c r="AE227" i="1"/>
  <c r="AF227" i="1" s="1"/>
  <c r="AB210" i="1"/>
  <c r="AE210" i="1"/>
  <c r="AF210" i="1" s="1"/>
  <c r="AC323" i="1"/>
  <c r="AD323" i="1" s="1"/>
  <c r="AA323" i="1"/>
  <c r="Z323" i="1"/>
  <c r="Y323" i="1"/>
  <c r="AB208" i="1"/>
  <c r="AE208" i="1"/>
  <c r="AF208" i="1" s="1"/>
  <c r="AC276" i="1"/>
  <c r="AD276" i="1" s="1"/>
  <c r="AA276" i="1"/>
  <c r="Y276" i="1"/>
  <c r="Z276" i="1"/>
  <c r="AC268" i="1"/>
  <c r="AD268" i="1" s="1"/>
  <c r="AA268" i="1"/>
  <c r="Y268" i="1"/>
  <c r="Z268" i="1"/>
  <c r="AC260" i="1"/>
  <c r="AD260" i="1" s="1"/>
  <c r="AA260" i="1"/>
  <c r="Y260" i="1"/>
  <c r="Z260" i="1"/>
  <c r="Y332" i="1"/>
  <c r="AC332" i="1"/>
  <c r="AD332" i="1" s="1"/>
  <c r="Z332" i="1"/>
  <c r="AA332" i="1"/>
  <c r="Z339" i="1"/>
  <c r="Y339" i="1"/>
  <c r="AC339" i="1"/>
  <c r="AD339" i="1" s="1"/>
  <c r="AA339" i="1"/>
  <c r="AC231" i="1"/>
  <c r="AD231" i="1" s="1"/>
  <c r="AA231" i="1"/>
  <c r="Z231" i="1"/>
  <c r="Y231" i="1"/>
  <c r="AC169" i="1"/>
  <c r="AD169" i="1" s="1"/>
  <c r="AA169" i="1"/>
  <c r="Z169" i="1"/>
  <c r="Y169" i="1"/>
  <c r="AC184" i="1"/>
  <c r="AD184" i="1" s="1"/>
  <c r="AA184" i="1"/>
  <c r="Z184" i="1"/>
  <c r="Y184" i="1"/>
  <c r="AC152" i="1"/>
  <c r="AD152" i="1" s="1"/>
  <c r="AA152" i="1"/>
  <c r="Z152" i="1"/>
  <c r="Y152" i="1"/>
  <c r="Y86" i="1"/>
  <c r="AC86" i="1"/>
  <c r="AD86" i="1" s="1"/>
  <c r="Z86" i="1"/>
  <c r="AA86" i="1"/>
  <c r="Y171" i="1"/>
  <c r="AC171" i="1"/>
  <c r="AD171" i="1" s="1"/>
  <c r="AA171" i="1"/>
  <c r="Z171" i="1"/>
  <c r="AA47" i="1"/>
  <c r="Y47" i="1"/>
  <c r="AC47" i="1"/>
  <c r="AD47" i="1" s="1"/>
  <c r="Z47" i="1"/>
  <c r="AE211" i="1"/>
  <c r="AF211" i="1" s="1"/>
  <c r="AB211" i="1"/>
  <c r="AA170" i="1"/>
  <c r="Z170" i="1"/>
  <c r="Y170" i="1"/>
  <c r="AC170" i="1"/>
  <c r="AD170" i="1" s="1"/>
  <c r="Y197" i="1"/>
  <c r="AC197" i="1"/>
  <c r="AD197" i="1" s="1"/>
  <c r="AA197" i="1"/>
  <c r="Z197" i="1"/>
  <c r="AE108" i="1"/>
  <c r="AF108" i="1" s="1"/>
  <c r="AB108" i="1"/>
  <c r="AA94" i="1"/>
  <c r="Y94" i="1"/>
  <c r="AB53" i="1"/>
  <c r="AE53" i="1"/>
  <c r="AF53" i="1" s="1"/>
  <c r="AB52" i="1"/>
  <c r="AE52" i="1"/>
  <c r="AF52" i="1" s="1"/>
  <c r="AC6" i="1"/>
  <c r="AD6" i="1" s="1"/>
  <c r="AA6" i="1"/>
  <c r="Z6" i="1"/>
  <c r="Y6" i="1"/>
  <c r="AE43" i="1"/>
  <c r="AF43" i="1" s="1"/>
  <c r="AC889" i="1"/>
  <c r="AD889" i="1" s="1"/>
  <c r="AA889" i="1"/>
  <c r="Z889" i="1"/>
  <c r="Y889" i="1"/>
  <c r="AA697" i="1"/>
  <c r="Z697" i="1"/>
  <c r="Y697" i="1"/>
  <c r="AC697" i="1"/>
  <c r="AD697" i="1" s="1"/>
  <c r="AC668" i="1"/>
  <c r="AD668" i="1" s="1"/>
  <c r="Z668" i="1"/>
  <c r="AA627" i="1"/>
  <c r="AC627" i="1"/>
  <c r="AD627" i="1" s="1"/>
  <c r="Z627" i="1"/>
  <c r="Y627" i="1"/>
  <c r="AA620" i="1"/>
  <c r="AC620" i="1"/>
  <c r="AD620" i="1" s="1"/>
  <c r="Z620" i="1"/>
  <c r="Y620" i="1"/>
  <c r="Y300" i="1"/>
  <c r="AC300" i="1"/>
  <c r="AD300" i="1" s="1"/>
  <c r="Z300" i="1"/>
  <c r="AA300" i="1"/>
  <c r="Z341" i="1"/>
  <c r="Y341" i="1"/>
  <c r="AC341" i="1"/>
  <c r="AD341" i="1" s="1"/>
  <c r="AA341" i="1"/>
  <c r="AC279" i="1"/>
  <c r="AD279" i="1" s="1"/>
  <c r="AA279" i="1"/>
  <c r="Y279" i="1"/>
  <c r="Z279" i="1"/>
  <c r="AC255" i="1"/>
  <c r="AD255" i="1" s="1"/>
  <c r="AA255" i="1"/>
  <c r="Y255" i="1"/>
  <c r="Z255" i="1"/>
  <c r="AE920" i="1"/>
  <c r="AF920" i="1" s="1"/>
  <c r="AB937" i="1"/>
  <c r="AE937" i="1"/>
  <c r="AF937" i="1" s="1"/>
  <c r="AC897" i="1"/>
  <c r="AD897" i="1" s="1"/>
  <c r="Z897" i="1"/>
  <c r="Y929" i="1"/>
  <c r="AC929" i="1"/>
  <c r="AD929" i="1" s="1"/>
  <c r="Z929" i="1"/>
  <c r="AA929" i="1"/>
  <c r="AE891" i="1"/>
  <c r="AF891" i="1" s="1"/>
  <c r="AB891" i="1"/>
  <c r="Z908" i="1"/>
  <c r="Y872" i="1"/>
  <c r="AC872" i="1"/>
  <c r="AD872" i="1" s="1"/>
  <c r="Z872" i="1"/>
  <c r="AA872" i="1"/>
  <c r="AC858" i="1"/>
  <c r="AD858" i="1" s="1"/>
  <c r="AA858" i="1"/>
  <c r="Z858" i="1"/>
  <c r="Y858" i="1"/>
  <c r="AE883" i="1"/>
  <c r="AF883" i="1" s="1"/>
  <c r="AC806" i="1"/>
  <c r="AD806" i="1" s="1"/>
  <c r="Z806" i="1"/>
  <c r="AA806" i="1"/>
  <c r="Y806" i="1"/>
  <c r="Y799" i="1"/>
  <c r="AC799" i="1"/>
  <c r="AD799" i="1" s="1"/>
  <c r="AA799" i="1"/>
  <c r="Z799" i="1"/>
  <c r="Z740" i="1"/>
  <c r="Y740" i="1"/>
  <c r="AC740" i="1"/>
  <c r="AD740" i="1" s="1"/>
  <c r="AA740" i="1"/>
  <c r="Y797" i="1"/>
  <c r="AC797" i="1"/>
  <c r="AD797" i="1" s="1"/>
  <c r="AA797" i="1"/>
  <c r="Z797" i="1"/>
  <c r="AC768" i="1"/>
  <c r="AD768" i="1" s="1"/>
  <c r="AA768" i="1"/>
  <c r="Z768" i="1"/>
  <c r="Y768" i="1"/>
  <c r="AC744" i="1"/>
  <c r="AD744" i="1" s="1"/>
  <c r="Z744" i="1"/>
  <c r="AA789" i="1"/>
  <c r="AC724" i="1"/>
  <c r="AD724" i="1" s="1"/>
  <c r="Z724" i="1"/>
  <c r="AA724" i="1"/>
  <c r="Y724" i="1"/>
  <c r="AC795" i="1"/>
  <c r="AD795" i="1" s="1"/>
  <c r="AA795" i="1"/>
  <c r="Z795" i="1"/>
  <c r="Y795" i="1"/>
  <c r="AB753" i="1"/>
  <c r="AE753" i="1"/>
  <c r="AF753" i="1" s="1"/>
  <c r="AC693" i="1"/>
  <c r="AD693" i="1" s="1"/>
  <c r="AA693" i="1"/>
  <c r="Z693" i="1"/>
  <c r="Y693" i="1"/>
  <c r="Z705" i="1"/>
  <c r="AC705" i="1"/>
  <c r="AD705" i="1" s="1"/>
  <c r="AA705" i="1"/>
  <c r="Y705" i="1"/>
  <c r="Z658" i="1"/>
  <c r="AC658" i="1"/>
  <c r="AD658" i="1" s="1"/>
  <c r="Y648" i="1"/>
  <c r="Z650" i="1"/>
  <c r="AA650" i="1"/>
  <c r="Y650" i="1"/>
  <c r="AC650" i="1"/>
  <c r="AD650" i="1" s="1"/>
  <c r="AE722" i="1"/>
  <c r="AF722" i="1" s="1"/>
  <c r="AB722" i="1"/>
  <c r="Z703" i="1"/>
  <c r="Z638" i="1"/>
  <c r="AC638" i="1"/>
  <c r="AD638" i="1" s="1"/>
  <c r="AA638" i="1"/>
  <c r="Y638" i="1"/>
  <c r="AC626" i="1"/>
  <c r="AD626" i="1" s="1"/>
  <c r="AA626" i="1"/>
  <c r="Z626" i="1"/>
  <c r="Y626" i="1"/>
  <c r="Z688" i="1"/>
  <c r="Z592" i="1"/>
  <c r="AC592" i="1"/>
  <c r="AD592" i="1" s="1"/>
  <c r="AA592" i="1"/>
  <c r="Y592" i="1"/>
  <c r="Z588" i="1"/>
  <c r="AA588" i="1"/>
  <c r="Y588" i="1"/>
  <c r="AC588" i="1"/>
  <c r="AD588" i="1" s="1"/>
  <c r="AB642" i="1"/>
  <c r="AE642" i="1"/>
  <c r="AF642" i="1" s="1"/>
  <c r="AC618" i="1"/>
  <c r="AD618" i="1" s="1"/>
  <c r="AA618" i="1"/>
  <c r="Z618" i="1"/>
  <c r="Y618" i="1"/>
  <c r="Z585" i="1"/>
  <c r="AC585" i="1"/>
  <c r="AD585" i="1" s="1"/>
  <c r="AE617" i="1"/>
  <c r="AF617" i="1" s="1"/>
  <c r="AC578" i="1"/>
  <c r="AD578" i="1" s="1"/>
  <c r="Z578" i="1"/>
  <c r="Z566" i="1"/>
  <c r="AC566" i="1"/>
  <c r="AD566" i="1" s="1"/>
  <c r="AC546" i="1"/>
  <c r="AD546" i="1" s="1"/>
  <c r="AA546" i="1"/>
  <c r="Z546" i="1"/>
  <c r="Y546" i="1"/>
  <c r="AC519" i="1"/>
  <c r="AD519" i="1" s="1"/>
  <c r="AA519" i="1"/>
  <c r="Z519" i="1"/>
  <c r="Y519" i="1"/>
  <c r="AC528" i="1"/>
  <c r="AD528" i="1" s="1"/>
  <c r="AA528" i="1"/>
  <c r="Z528" i="1"/>
  <c r="Y528" i="1"/>
  <c r="AC510" i="1"/>
  <c r="AD510" i="1" s="1"/>
  <c r="AA510" i="1"/>
  <c r="Z510" i="1"/>
  <c r="Y510" i="1"/>
  <c r="Z484" i="1"/>
  <c r="AC484" i="1"/>
  <c r="AD484" i="1" s="1"/>
  <c r="AB540" i="1"/>
  <c r="AE540" i="1"/>
  <c r="AF540" i="1" s="1"/>
  <c r="Z478" i="1"/>
  <c r="AC478" i="1"/>
  <c r="AD478" i="1" s="1"/>
  <c r="AC459" i="1"/>
  <c r="AD459" i="1" s="1"/>
  <c r="AA459" i="1"/>
  <c r="Z459" i="1"/>
  <c r="Y459" i="1"/>
  <c r="AE498" i="1"/>
  <c r="AF498" i="1" s="1"/>
  <c r="AB498" i="1"/>
  <c r="AE490" i="1"/>
  <c r="AF490" i="1" s="1"/>
  <c r="AB490" i="1"/>
  <c r="AC439" i="1"/>
  <c r="AD439" i="1" s="1"/>
  <c r="AA439" i="1"/>
  <c r="Z439" i="1"/>
  <c r="Y439" i="1"/>
  <c r="AE500" i="1"/>
  <c r="AF500" i="1" s="1"/>
  <c r="AB500" i="1"/>
  <c r="AE492" i="1"/>
  <c r="AF492" i="1" s="1"/>
  <c r="AB492" i="1"/>
  <c r="AB460" i="1"/>
  <c r="AE460" i="1"/>
  <c r="AF460" i="1" s="1"/>
  <c r="AC393" i="1"/>
  <c r="AD393" i="1" s="1"/>
  <c r="AA393" i="1"/>
  <c r="Z393" i="1"/>
  <c r="Y393" i="1"/>
  <c r="AA385" i="1"/>
  <c r="Z385" i="1"/>
  <c r="AC385" i="1"/>
  <c r="AD385" i="1" s="1"/>
  <c r="Y385" i="1"/>
  <c r="AC360" i="1"/>
  <c r="AD360" i="1" s="1"/>
  <c r="AA360" i="1"/>
  <c r="Z360" i="1"/>
  <c r="Y360" i="1"/>
  <c r="AC354" i="1"/>
  <c r="AD354" i="1" s="1"/>
  <c r="AA354" i="1"/>
  <c r="Z354" i="1"/>
  <c r="Y354" i="1"/>
  <c r="AC346" i="1"/>
  <c r="AD346" i="1" s="1"/>
  <c r="AA346" i="1"/>
  <c r="Z346" i="1"/>
  <c r="Y346" i="1"/>
  <c r="AC338" i="1"/>
  <c r="AD338" i="1" s="1"/>
  <c r="AA338" i="1"/>
  <c r="Z338" i="1"/>
  <c r="Y338" i="1"/>
  <c r="AE429" i="1"/>
  <c r="AF429" i="1" s="1"/>
  <c r="AB429" i="1"/>
  <c r="AB414" i="1"/>
  <c r="AE414" i="1"/>
  <c r="AF414" i="1" s="1"/>
  <c r="AB410" i="1"/>
  <c r="AE410" i="1"/>
  <c r="AF410" i="1" s="1"/>
  <c r="Y296" i="1"/>
  <c r="AC296" i="1"/>
  <c r="AD296" i="1" s="1"/>
  <c r="Z296" i="1"/>
  <c r="AA296" i="1"/>
  <c r="AB221" i="1"/>
  <c r="AE221" i="1"/>
  <c r="AF221" i="1" s="1"/>
  <c r="Y336" i="1"/>
  <c r="AC336" i="1"/>
  <c r="AD336" i="1" s="1"/>
  <c r="Z336" i="1"/>
  <c r="AA336" i="1"/>
  <c r="Z349" i="1"/>
  <c r="Y349" i="1"/>
  <c r="AC349" i="1"/>
  <c r="AD349" i="1" s="1"/>
  <c r="AA349" i="1"/>
  <c r="AC254" i="1"/>
  <c r="AD254" i="1" s="1"/>
  <c r="AA254" i="1"/>
  <c r="Y254" i="1"/>
  <c r="Z254" i="1"/>
  <c r="AB224" i="1"/>
  <c r="AE224" i="1"/>
  <c r="AF224" i="1" s="1"/>
  <c r="AC281" i="1"/>
  <c r="AD281" i="1" s="1"/>
  <c r="AA281" i="1"/>
  <c r="Y281" i="1"/>
  <c r="Z281" i="1"/>
  <c r="AC273" i="1"/>
  <c r="AD273" i="1" s="1"/>
  <c r="AA273" i="1"/>
  <c r="Y273" i="1"/>
  <c r="Z273" i="1"/>
  <c r="AC265" i="1"/>
  <c r="AD265" i="1" s="1"/>
  <c r="AA265" i="1"/>
  <c r="Y265" i="1"/>
  <c r="Z265" i="1"/>
  <c r="AC257" i="1"/>
  <c r="AD257" i="1" s="1"/>
  <c r="AA257" i="1"/>
  <c r="Y257" i="1"/>
  <c r="Z257" i="1"/>
  <c r="AC249" i="1"/>
  <c r="AD249" i="1" s="1"/>
  <c r="AA249" i="1"/>
  <c r="Z249" i="1"/>
  <c r="Y249" i="1"/>
  <c r="AC189" i="1"/>
  <c r="AD189" i="1" s="1"/>
  <c r="AA189" i="1"/>
  <c r="Z189" i="1"/>
  <c r="Y189" i="1"/>
  <c r="AC157" i="1"/>
  <c r="AD157" i="1" s="1"/>
  <c r="AA157" i="1"/>
  <c r="Z157" i="1"/>
  <c r="Y157" i="1"/>
  <c r="AE214" i="1"/>
  <c r="AF214" i="1" s="1"/>
  <c r="AB214" i="1"/>
  <c r="AC145" i="1"/>
  <c r="AD145" i="1" s="1"/>
  <c r="AA145" i="1"/>
  <c r="Z145" i="1"/>
  <c r="Y145" i="1"/>
  <c r="AC172" i="1"/>
  <c r="AD172" i="1" s="1"/>
  <c r="AA172" i="1"/>
  <c r="Z172" i="1"/>
  <c r="Y172" i="1"/>
  <c r="Y58" i="1"/>
  <c r="AC58" i="1"/>
  <c r="AD58" i="1" s="1"/>
  <c r="AA58" i="1"/>
  <c r="Z58" i="1"/>
  <c r="Y191" i="1"/>
  <c r="Z191" i="1"/>
  <c r="AC191" i="1"/>
  <c r="AD191" i="1" s="1"/>
  <c r="AA191" i="1"/>
  <c r="Y159" i="1"/>
  <c r="AC159" i="1"/>
  <c r="AD159" i="1" s="1"/>
  <c r="AA159" i="1"/>
  <c r="Z159" i="1"/>
  <c r="Y39" i="1"/>
  <c r="AC39" i="1"/>
  <c r="AD39" i="1" s="1"/>
  <c r="AA39" i="1"/>
  <c r="Z39" i="1"/>
  <c r="AE143" i="1"/>
  <c r="AF143" i="1" s="1"/>
  <c r="AB143" i="1"/>
  <c r="AA190" i="1"/>
  <c r="Z190" i="1"/>
  <c r="Y190" i="1"/>
  <c r="AC190" i="1"/>
  <c r="AD190" i="1" s="1"/>
  <c r="AA158" i="1"/>
  <c r="Z158" i="1"/>
  <c r="Y158" i="1"/>
  <c r="AC158" i="1"/>
  <c r="AD158" i="1" s="1"/>
  <c r="AE104" i="1"/>
  <c r="AF104" i="1" s="1"/>
  <c r="AB104" i="1"/>
  <c r="AA110" i="1"/>
  <c r="Y110" i="1"/>
  <c r="AB61" i="1"/>
  <c r="AE61" i="1"/>
  <c r="AF61" i="1" s="1"/>
  <c r="AB50" i="1"/>
  <c r="AE50" i="1"/>
  <c r="AF50" i="1" s="1"/>
  <c r="AE92" i="1"/>
  <c r="AF92" i="1" s="1"/>
  <c r="AB92" i="1"/>
  <c r="AE32" i="1"/>
  <c r="AF32" i="1" s="1"/>
  <c r="AB32" i="1"/>
  <c r="Y921" i="1"/>
  <c r="AC921" i="1"/>
  <c r="AD921" i="1" s="1"/>
  <c r="Z921" i="1"/>
  <c r="AA921" i="1"/>
  <c r="Y839" i="1"/>
  <c r="AA839" i="1"/>
  <c r="AC839" i="1"/>
  <c r="AD839" i="1" s="1"/>
  <c r="Z839" i="1"/>
  <c r="AE838" i="1"/>
  <c r="AF838" i="1" s="1"/>
  <c r="AB838" i="1"/>
  <c r="Z654" i="1"/>
  <c r="AC654" i="1"/>
  <c r="AD654" i="1" s="1"/>
  <c r="AE648" i="1"/>
  <c r="AF648" i="1" s="1"/>
  <c r="AB648" i="1"/>
  <c r="AA387" i="1"/>
  <c r="Z387" i="1"/>
  <c r="Y387" i="1"/>
  <c r="AC387" i="1"/>
  <c r="AD387" i="1" s="1"/>
  <c r="AE419" i="1"/>
  <c r="AF419" i="1" s="1"/>
  <c r="AB419" i="1"/>
  <c r="AC340" i="1"/>
  <c r="AD340" i="1" s="1"/>
  <c r="AA340" i="1"/>
  <c r="Z340" i="1"/>
  <c r="Y340" i="1"/>
  <c r="AC149" i="1"/>
  <c r="AD149" i="1" s="1"/>
  <c r="AA149" i="1"/>
  <c r="Z149" i="1"/>
  <c r="Y149" i="1"/>
  <c r="AC164" i="1"/>
  <c r="AD164" i="1" s="1"/>
  <c r="AA164" i="1"/>
  <c r="Z164" i="1"/>
  <c r="Y164" i="1"/>
  <c r="AB936" i="1"/>
  <c r="AE936" i="1"/>
  <c r="AF936" i="1" s="1"/>
  <c r="Y887" i="1"/>
  <c r="Z887" i="1"/>
  <c r="AC887" i="1"/>
  <c r="AD887" i="1" s="1"/>
  <c r="AA887" i="1"/>
  <c r="U940" i="1"/>
  <c r="Y939" i="1"/>
  <c r="Y909" i="1"/>
  <c r="AC909" i="1"/>
  <c r="AD909" i="1" s="1"/>
  <c r="Z909" i="1"/>
  <c r="AA909" i="1"/>
  <c r="U896" i="1"/>
  <c r="U897" i="1" s="1"/>
  <c r="U898" i="1" s="1"/>
  <c r="AA895" i="1"/>
  <c r="Y869" i="1"/>
  <c r="AC869" i="1"/>
  <c r="AD869" i="1" s="1"/>
  <c r="Z869" i="1"/>
  <c r="AA869" i="1"/>
  <c r="Y917" i="1"/>
  <c r="AC917" i="1"/>
  <c r="AD917" i="1" s="1"/>
  <c r="Z917" i="1"/>
  <c r="AA917" i="1"/>
  <c r="AB885" i="1"/>
  <c r="AE885" i="1"/>
  <c r="AF885" i="1" s="1"/>
  <c r="Z855" i="1"/>
  <c r="AC855" i="1"/>
  <c r="AD855" i="1" s="1"/>
  <c r="AB933" i="1"/>
  <c r="AE933" i="1"/>
  <c r="AF933" i="1" s="1"/>
  <c r="Y895" i="1"/>
  <c r="Z854" i="1"/>
  <c r="AC854" i="1"/>
  <c r="AD854" i="1" s="1"/>
  <c r="Y841" i="1"/>
  <c r="Y822" i="1"/>
  <c r="AC822" i="1"/>
  <c r="AD822" i="1" s="1"/>
  <c r="Z822" i="1"/>
  <c r="Z829" i="1"/>
  <c r="AC829" i="1"/>
  <c r="AD829" i="1" s="1"/>
  <c r="AC817" i="1"/>
  <c r="AD817" i="1" s="1"/>
  <c r="AA817" i="1"/>
  <c r="Z817" i="1"/>
  <c r="Y817" i="1"/>
  <c r="AC734" i="1"/>
  <c r="AD734" i="1" s="1"/>
  <c r="Z734" i="1"/>
  <c r="AC779" i="1"/>
  <c r="AD779" i="1" s="1"/>
  <c r="AA779" i="1"/>
  <c r="Z779" i="1"/>
  <c r="Y779" i="1"/>
  <c r="AC764" i="1"/>
  <c r="AD764" i="1" s="1"/>
  <c r="Z764" i="1"/>
  <c r="Y741" i="1"/>
  <c r="AC741" i="1"/>
  <c r="AD741" i="1" s="1"/>
  <c r="Z741" i="1"/>
  <c r="AA741" i="1"/>
  <c r="AA819" i="1"/>
  <c r="AA770" i="1"/>
  <c r="Z770" i="1"/>
  <c r="Y770" i="1"/>
  <c r="AC770" i="1"/>
  <c r="AD770" i="1" s="1"/>
  <c r="AE776" i="1"/>
  <c r="AF776" i="1" s="1"/>
  <c r="AC731" i="1"/>
  <c r="AD731" i="1" s="1"/>
  <c r="Z731" i="1"/>
  <c r="AB774" i="1"/>
  <c r="AC758" i="1"/>
  <c r="AD758" i="1" s="1"/>
  <c r="Z758" i="1"/>
  <c r="AA739" i="1"/>
  <c r="U740" i="1"/>
  <c r="U741" i="1" s="1"/>
  <c r="U742" i="1" s="1"/>
  <c r="AA723" i="1"/>
  <c r="Y723" i="1"/>
  <c r="AC723" i="1"/>
  <c r="AD723" i="1" s="1"/>
  <c r="Z723" i="1"/>
  <c r="AC692" i="1"/>
  <c r="AD692" i="1" s="1"/>
  <c r="AA692" i="1"/>
  <c r="Z692" i="1"/>
  <c r="Y692" i="1"/>
  <c r="U726" i="1"/>
  <c r="U727" i="1" s="1"/>
  <c r="U728" i="1" s="1"/>
  <c r="AA725" i="1"/>
  <c r="AA791" i="1"/>
  <c r="Z791" i="1"/>
  <c r="Y791" i="1"/>
  <c r="AC791" i="1"/>
  <c r="AD791" i="1" s="1"/>
  <c r="AE641" i="1"/>
  <c r="AF641" i="1" s="1"/>
  <c r="Z666" i="1"/>
  <c r="AC666" i="1"/>
  <c r="AD666" i="1" s="1"/>
  <c r="AB628" i="1"/>
  <c r="AE628" i="1"/>
  <c r="AF628" i="1" s="1"/>
  <c r="AC559" i="1"/>
  <c r="AD559" i="1" s="1"/>
  <c r="Z559" i="1"/>
  <c r="Y543" i="1"/>
  <c r="AC543" i="1"/>
  <c r="AD543" i="1" s="1"/>
  <c r="Z543" i="1"/>
  <c r="AA543" i="1"/>
  <c r="Z542" i="1"/>
  <c r="Y542" i="1"/>
  <c r="AC542" i="1"/>
  <c r="AD542" i="1" s="1"/>
  <c r="AA542" i="1"/>
  <c r="AB639" i="1"/>
  <c r="AE639" i="1"/>
  <c r="AF639" i="1" s="1"/>
  <c r="AC507" i="1"/>
  <c r="AD507" i="1" s="1"/>
  <c r="AA507" i="1"/>
  <c r="Z507" i="1"/>
  <c r="Y507" i="1"/>
  <c r="AC533" i="1"/>
  <c r="AD533" i="1" s="1"/>
  <c r="AA533" i="1"/>
  <c r="Z533" i="1"/>
  <c r="Y533" i="1"/>
  <c r="AC525" i="1"/>
  <c r="AD525" i="1" s="1"/>
  <c r="AA525" i="1"/>
  <c r="Z525" i="1"/>
  <c r="Y525" i="1"/>
  <c r="Z479" i="1"/>
  <c r="AC479" i="1"/>
  <c r="AD479" i="1" s="1"/>
  <c r="AC581" i="1"/>
  <c r="AD581" i="1" s="1"/>
  <c r="Z581" i="1"/>
  <c r="Y517" i="1"/>
  <c r="AC517" i="1"/>
  <c r="AD517" i="1" s="1"/>
  <c r="Z517" i="1"/>
  <c r="AA517" i="1"/>
  <c r="AE465" i="1"/>
  <c r="AF465" i="1" s="1"/>
  <c r="AB465" i="1"/>
  <c r="Z451" i="1"/>
  <c r="AC451" i="1"/>
  <c r="AD451" i="1" s="1"/>
  <c r="AA451" i="1"/>
  <c r="Y451" i="1"/>
  <c r="Z499" i="1"/>
  <c r="Y499" i="1"/>
  <c r="AC499" i="1"/>
  <c r="AD499" i="1" s="1"/>
  <c r="AA499" i="1"/>
  <c r="AE432" i="1"/>
  <c r="AF432" i="1" s="1"/>
  <c r="AC471" i="1"/>
  <c r="AD471" i="1" s="1"/>
  <c r="AA471" i="1"/>
  <c r="Y471" i="1"/>
  <c r="Z471" i="1"/>
  <c r="AE416" i="1"/>
  <c r="AF416" i="1" s="1"/>
  <c r="AB448" i="1"/>
  <c r="AE448" i="1"/>
  <c r="AF448" i="1" s="1"/>
  <c r="AE435" i="1"/>
  <c r="AF435" i="1" s="1"/>
  <c r="AA404" i="1"/>
  <c r="Z404" i="1"/>
  <c r="Y404" i="1"/>
  <c r="AC404" i="1"/>
  <c r="AD404" i="1" s="1"/>
  <c r="AA400" i="1"/>
  <c r="Z400" i="1"/>
  <c r="Y400" i="1"/>
  <c r="AC400" i="1"/>
  <c r="AD400" i="1" s="1"/>
  <c r="Z497" i="1"/>
  <c r="Y497" i="1"/>
  <c r="AC497" i="1"/>
  <c r="AD497" i="1" s="1"/>
  <c r="AA497" i="1"/>
  <c r="AB446" i="1"/>
  <c r="AE446" i="1"/>
  <c r="AF446" i="1" s="1"/>
  <c r="AC392" i="1"/>
  <c r="AD392" i="1" s="1"/>
  <c r="AA392" i="1"/>
  <c r="Z392" i="1"/>
  <c r="Y392" i="1"/>
  <c r="AA384" i="1"/>
  <c r="Z384" i="1"/>
  <c r="AC384" i="1"/>
  <c r="AD384" i="1" s="1"/>
  <c r="Y384" i="1"/>
  <c r="AE417" i="1"/>
  <c r="AF417" i="1" s="1"/>
  <c r="AB417" i="1"/>
  <c r="AA337" i="1"/>
  <c r="Z337" i="1"/>
  <c r="Y337" i="1"/>
  <c r="AC337" i="1"/>
  <c r="AD337" i="1" s="1"/>
  <c r="AA305" i="1"/>
  <c r="Z305" i="1"/>
  <c r="Y305" i="1"/>
  <c r="AC305" i="1"/>
  <c r="AD305" i="1" s="1"/>
  <c r="AA374" i="1"/>
  <c r="AC374" i="1"/>
  <c r="AD374" i="1" s="1"/>
  <c r="Z374" i="1"/>
  <c r="Y374" i="1"/>
  <c r="AA379" i="1"/>
  <c r="AC379" i="1"/>
  <c r="AD379" i="1" s="1"/>
  <c r="Z379" i="1"/>
  <c r="Y379" i="1"/>
  <c r="AC310" i="1"/>
  <c r="AD310" i="1" s="1"/>
  <c r="AA310" i="1"/>
  <c r="Z310" i="1"/>
  <c r="Y310" i="1"/>
  <c r="AC294" i="1"/>
  <c r="AD294" i="1" s="1"/>
  <c r="AA294" i="1"/>
  <c r="Z294" i="1"/>
  <c r="Y294" i="1"/>
  <c r="AE413" i="1"/>
  <c r="AF413" i="1" s="1"/>
  <c r="AB413" i="1"/>
  <c r="AA368" i="1"/>
  <c r="AC368" i="1"/>
  <c r="AD368" i="1" s="1"/>
  <c r="Z368" i="1"/>
  <c r="Y368" i="1"/>
  <c r="AC331" i="1"/>
  <c r="AD331" i="1" s="1"/>
  <c r="AA331" i="1"/>
  <c r="Z331" i="1"/>
  <c r="Y331" i="1"/>
  <c r="AC307" i="1"/>
  <c r="AD307" i="1" s="1"/>
  <c r="AA307" i="1"/>
  <c r="Z307" i="1"/>
  <c r="Y307" i="1"/>
  <c r="AE287" i="1"/>
  <c r="AF287" i="1" s="1"/>
  <c r="AA370" i="1"/>
  <c r="Y370" i="1"/>
  <c r="AC370" i="1"/>
  <c r="AD370" i="1" s="1"/>
  <c r="Z370" i="1"/>
  <c r="AA375" i="1"/>
  <c r="Z375" i="1"/>
  <c r="Y375" i="1"/>
  <c r="AC375" i="1"/>
  <c r="AD375" i="1" s="1"/>
  <c r="Z361" i="1"/>
  <c r="Y361" i="1"/>
  <c r="AC361" i="1"/>
  <c r="AD361" i="1" s="1"/>
  <c r="AA361" i="1"/>
  <c r="AC433" i="1"/>
  <c r="AD433" i="1" s="1"/>
  <c r="AA433" i="1"/>
  <c r="Z433" i="1"/>
  <c r="Y433" i="1"/>
  <c r="AA380" i="1"/>
  <c r="Z380" i="1"/>
  <c r="Y380" i="1"/>
  <c r="AC380" i="1"/>
  <c r="AD380" i="1" s="1"/>
  <c r="AC327" i="1"/>
  <c r="AD327" i="1" s="1"/>
  <c r="AA327" i="1"/>
  <c r="Y327" i="1"/>
  <c r="Z327" i="1"/>
  <c r="AE212" i="1"/>
  <c r="AF212" i="1" s="1"/>
  <c r="AB212" i="1"/>
  <c r="AC291" i="1"/>
  <c r="AD291" i="1" s="1"/>
  <c r="Y291" i="1"/>
  <c r="AA291" i="1"/>
  <c r="Z291" i="1"/>
  <c r="AC245" i="1"/>
  <c r="AD245" i="1" s="1"/>
  <c r="AA245" i="1"/>
  <c r="Z245" i="1"/>
  <c r="Y245" i="1"/>
  <c r="AB207" i="1"/>
  <c r="AE207" i="1"/>
  <c r="AF207" i="1" s="1"/>
  <c r="AC251" i="1"/>
  <c r="AD251" i="1" s="1"/>
  <c r="AA251" i="1"/>
  <c r="Z251" i="1"/>
  <c r="Y251" i="1"/>
  <c r="AB234" i="1"/>
  <c r="AE234" i="1"/>
  <c r="AF234" i="1" s="1"/>
  <c r="AB218" i="1"/>
  <c r="AE218" i="1"/>
  <c r="AF218" i="1" s="1"/>
  <c r="AB205" i="1"/>
  <c r="AE205" i="1"/>
  <c r="AF205" i="1" s="1"/>
  <c r="AC278" i="1"/>
  <c r="AD278" i="1" s="1"/>
  <c r="AA278" i="1"/>
  <c r="Y278" i="1"/>
  <c r="Z278" i="1"/>
  <c r="AC270" i="1"/>
  <c r="AD270" i="1" s="1"/>
  <c r="AA270" i="1"/>
  <c r="Y270" i="1"/>
  <c r="Z270" i="1"/>
  <c r="AC262" i="1"/>
  <c r="AD262" i="1" s="1"/>
  <c r="AA262" i="1"/>
  <c r="Y262" i="1"/>
  <c r="Z262" i="1"/>
  <c r="AC250" i="1"/>
  <c r="AD250" i="1" s="1"/>
  <c r="AA250" i="1"/>
  <c r="Y250" i="1"/>
  <c r="Z250" i="1"/>
  <c r="Z347" i="1"/>
  <c r="Y347" i="1"/>
  <c r="AC347" i="1"/>
  <c r="AD347" i="1" s="1"/>
  <c r="AA347" i="1"/>
  <c r="AC240" i="1"/>
  <c r="AD240" i="1" s="1"/>
  <c r="AA240" i="1"/>
  <c r="Z240" i="1"/>
  <c r="Y240" i="1"/>
  <c r="AC177" i="1"/>
  <c r="AD177" i="1" s="1"/>
  <c r="AA177" i="1"/>
  <c r="Z177" i="1"/>
  <c r="Y177" i="1"/>
  <c r="Y193" i="1"/>
  <c r="AC193" i="1"/>
  <c r="AD193" i="1" s="1"/>
  <c r="AA193" i="1"/>
  <c r="Z193" i="1"/>
  <c r="AC160" i="1"/>
  <c r="AD160" i="1" s="1"/>
  <c r="AA160" i="1"/>
  <c r="Z160" i="1"/>
  <c r="Y160" i="1"/>
  <c r="Y49" i="1"/>
  <c r="AC49" i="1"/>
  <c r="AD49" i="1" s="1"/>
  <c r="AA49" i="1"/>
  <c r="Z49" i="1"/>
  <c r="Y179" i="1"/>
  <c r="AC179" i="1"/>
  <c r="AD179" i="1" s="1"/>
  <c r="AA179" i="1"/>
  <c r="Z179" i="1"/>
  <c r="Y147" i="1"/>
  <c r="AC147" i="1"/>
  <c r="AD147" i="1" s="1"/>
  <c r="AA147" i="1"/>
  <c r="Z147" i="1"/>
  <c r="Y31" i="1"/>
  <c r="AC31" i="1"/>
  <c r="AD31" i="1" s="1"/>
  <c r="AA31" i="1"/>
  <c r="Z31" i="1"/>
  <c r="AA178" i="1"/>
  <c r="Z178" i="1"/>
  <c r="Y178" i="1"/>
  <c r="AC178" i="1"/>
  <c r="AD178" i="1" s="1"/>
  <c r="AA146" i="1"/>
  <c r="Z146" i="1"/>
  <c r="Y146" i="1"/>
  <c r="AC146" i="1"/>
  <c r="AD146" i="1" s="1"/>
  <c r="AA122" i="1"/>
  <c r="Y122" i="1"/>
  <c r="AE100" i="1"/>
  <c r="AF100" i="1" s="1"/>
  <c r="AB100" i="1"/>
  <c r="AA106" i="1"/>
  <c r="Y106" i="1"/>
  <c r="S93" i="1"/>
  <c r="X92" i="1"/>
  <c r="AE45" i="1"/>
  <c r="AF45" i="1" s="1"/>
  <c r="AB45" i="1"/>
  <c r="AC88" i="1"/>
  <c r="AD88" i="1" s="1"/>
  <c r="AA88" i="1"/>
  <c r="Z88" i="1"/>
  <c r="Y88" i="1"/>
  <c r="AA56" i="1"/>
  <c r="Y56" i="1"/>
  <c r="AC56" i="1"/>
  <c r="AD56" i="1" s="1"/>
  <c r="Z56" i="1"/>
  <c r="Y802" i="1"/>
  <c r="AC802" i="1"/>
  <c r="AD802" i="1" s="1"/>
  <c r="AA802" i="1"/>
  <c r="Z802" i="1"/>
  <c r="Z773" i="1"/>
  <c r="Y773" i="1"/>
  <c r="AC773" i="1"/>
  <c r="AD773" i="1" s="1"/>
  <c r="AA773" i="1"/>
  <c r="Z653" i="1"/>
  <c r="Y653" i="1"/>
  <c r="AC653" i="1"/>
  <c r="AD653" i="1" s="1"/>
  <c r="AC580" i="1"/>
  <c r="AD580" i="1" s="1"/>
  <c r="Z580" i="1"/>
  <c r="Z550" i="1"/>
  <c r="Y550" i="1"/>
  <c r="AC550" i="1"/>
  <c r="AD550" i="1" s="1"/>
  <c r="AA550" i="1"/>
  <c r="AC534" i="1"/>
  <c r="AD534" i="1" s="1"/>
  <c r="AA534" i="1"/>
  <c r="Z534" i="1"/>
  <c r="Y534" i="1"/>
  <c r="AC502" i="1"/>
  <c r="AD502" i="1" s="1"/>
  <c r="AA502" i="1"/>
  <c r="Z502" i="1"/>
  <c r="Y502" i="1"/>
  <c r="Y521" i="1"/>
  <c r="AC521" i="1"/>
  <c r="AD521" i="1" s="1"/>
  <c r="Z521" i="1"/>
  <c r="AA521" i="1"/>
  <c r="AC457" i="1"/>
  <c r="AD457" i="1" s="1"/>
  <c r="AA457" i="1"/>
  <c r="Y457" i="1"/>
  <c r="Z457" i="1"/>
  <c r="AE436" i="1"/>
  <c r="AF436" i="1" s="1"/>
  <c r="AB436" i="1"/>
  <c r="AC348" i="1"/>
  <c r="AD348" i="1" s="1"/>
  <c r="AA348" i="1"/>
  <c r="Z348" i="1"/>
  <c r="Y348" i="1"/>
  <c r="Z482" i="1"/>
  <c r="AC482" i="1"/>
  <c r="AD482" i="1" s="1"/>
  <c r="AB217" i="1"/>
  <c r="AE217" i="1"/>
  <c r="AF217" i="1" s="1"/>
  <c r="AB220" i="1"/>
  <c r="AE220" i="1"/>
  <c r="AF220" i="1" s="1"/>
  <c r="AC248" i="1"/>
  <c r="AD248" i="1" s="1"/>
  <c r="AA248" i="1"/>
  <c r="Z248" i="1"/>
  <c r="Y248" i="1"/>
  <c r="Y151" i="1"/>
  <c r="AC151" i="1"/>
  <c r="AD151" i="1" s="1"/>
  <c r="AA151" i="1"/>
  <c r="Z151" i="1"/>
  <c r="AE916" i="1"/>
  <c r="AF916" i="1" s="1"/>
  <c r="AC896" i="1"/>
  <c r="AD896" i="1" s="1"/>
  <c r="AA896" i="1"/>
  <c r="Z896" i="1"/>
  <c r="AB911" i="1"/>
  <c r="AE911" i="1"/>
  <c r="AF911" i="1" s="1"/>
  <c r="AE877" i="1"/>
  <c r="AF877" i="1" s="1"/>
  <c r="AB877" i="1"/>
  <c r="AC848" i="1"/>
  <c r="AD848" i="1" s="1"/>
  <c r="Z848" i="1"/>
  <c r="AC893" i="1"/>
  <c r="AD893" i="1" s="1"/>
  <c r="AA893" i="1"/>
  <c r="Z893" i="1"/>
  <c r="Y893" i="1"/>
  <c r="AB884" i="1"/>
  <c r="AE884" i="1"/>
  <c r="AF884" i="1" s="1"/>
  <c r="Z832" i="1"/>
  <c r="AA832" i="1"/>
  <c r="Y832" i="1"/>
  <c r="AC832" i="1"/>
  <c r="AD832" i="1" s="1"/>
  <c r="AC851" i="1"/>
  <c r="AD851" i="1" s="1"/>
  <c r="Z851" i="1"/>
  <c r="AC834" i="1"/>
  <c r="AD834" i="1" s="1"/>
  <c r="Z834" i="1"/>
  <c r="Y834" i="1"/>
  <c r="AA834" i="1"/>
  <c r="Z920" i="1"/>
  <c r="AC871" i="1"/>
  <c r="AD871" i="1" s="1"/>
  <c r="AA871" i="1"/>
  <c r="Y871" i="1"/>
  <c r="Z871" i="1"/>
  <c r="AB859" i="1"/>
  <c r="AE859" i="1"/>
  <c r="AF859" i="1" s="1"/>
  <c r="AC843" i="1"/>
  <c r="AD843" i="1" s="1"/>
  <c r="Z843" i="1"/>
  <c r="Y800" i="1"/>
  <c r="AC800" i="1"/>
  <c r="AD800" i="1" s="1"/>
  <c r="AA800" i="1"/>
  <c r="Z800" i="1"/>
  <c r="Y803" i="1"/>
  <c r="AC803" i="1"/>
  <c r="AD803" i="1" s="1"/>
  <c r="AA803" i="1"/>
  <c r="Z803" i="1"/>
  <c r="AB810" i="1"/>
  <c r="AE810" i="1"/>
  <c r="AF810" i="1" s="1"/>
  <c r="Z719" i="1"/>
  <c r="Y719" i="1"/>
  <c r="AA719" i="1"/>
  <c r="AC719" i="1"/>
  <c r="AD719" i="1" s="1"/>
  <c r="AC702" i="1"/>
  <c r="AD702" i="1" s="1"/>
  <c r="AA702" i="1"/>
  <c r="Z702" i="1"/>
  <c r="Y702" i="1"/>
  <c r="AB738" i="1"/>
  <c r="AE738" i="1"/>
  <c r="AF738" i="1" s="1"/>
  <c r="AB782" i="1"/>
  <c r="AE782" i="1"/>
  <c r="AF782" i="1" s="1"/>
  <c r="Y796" i="1"/>
  <c r="AC796" i="1"/>
  <c r="AD796" i="1" s="1"/>
  <c r="AA796" i="1"/>
  <c r="Z796" i="1"/>
  <c r="AC704" i="1"/>
  <c r="AD704" i="1" s="1"/>
  <c r="AA704" i="1"/>
  <c r="Z704" i="1"/>
  <c r="Y704" i="1"/>
  <c r="AA615" i="1"/>
  <c r="Z615" i="1"/>
  <c r="Y615" i="1"/>
  <c r="AC615" i="1"/>
  <c r="AD615" i="1" s="1"/>
  <c r="AB717" i="1"/>
  <c r="AE717" i="1"/>
  <c r="AF717" i="1" s="1"/>
  <c r="AC637" i="1"/>
  <c r="AD637" i="1" s="1"/>
  <c r="AA637" i="1"/>
  <c r="Y637" i="1"/>
  <c r="Z637" i="1"/>
  <c r="AC633" i="1"/>
  <c r="AD633" i="1" s="1"/>
  <c r="Z633" i="1"/>
  <c r="Y633" i="1"/>
  <c r="AA633" i="1"/>
  <c r="Z591" i="1"/>
  <c r="AA591" i="1"/>
  <c r="Y591" i="1"/>
  <c r="AC591" i="1"/>
  <c r="AD591" i="1" s="1"/>
  <c r="Z587" i="1"/>
  <c r="AC587" i="1"/>
  <c r="AD587" i="1" s="1"/>
  <c r="AA587" i="1"/>
  <c r="Y587" i="1"/>
  <c r="AE647" i="1"/>
  <c r="AF647" i="1" s="1"/>
  <c r="AB647" i="1"/>
  <c r="Z577" i="1"/>
  <c r="AC577" i="1"/>
  <c r="AD577" i="1" s="1"/>
  <c r="AC562" i="1"/>
  <c r="AD562" i="1" s="1"/>
  <c r="Z562" i="1"/>
  <c r="AC530" i="1"/>
  <c r="AD530" i="1" s="1"/>
  <c r="AA530" i="1"/>
  <c r="Z530" i="1"/>
  <c r="Y530" i="1"/>
  <c r="AC518" i="1"/>
  <c r="AD518" i="1" s="1"/>
  <c r="AA518" i="1"/>
  <c r="Z518" i="1"/>
  <c r="Y518" i="1"/>
  <c r="Z476" i="1"/>
  <c r="AA476" i="1"/>
  <c r="Y476" i="1"/>
  <c r="AC476" i="1"/>
  <c r="AD476" i="1" s="1"/>
  <c r="Y505" i="1"/>
  <c r="AC505" i="1"/>
  <c r="AD505" i="1" s="1"/>
  <c r="Z505" i="1"/>
  <c r="AA505" i="1"/>
  <c r="AC569" i="1"/>
  <c r="AD569" i="1" s="1"/>
  <c r="Z569" i="1"/>
  <c r="AC553" i="1"/>
  <c r="AD553" i="1" s="1"/>
  <c r="AA553" i="1"/>
  <c r="Z553" i="1"/>
  <c r="Y553" i="1"/>
  <c r="Z487" i="1"/>
  <c r="Y487" i="1"/>
  <c r="AC487" i="1"/>
  <c r="AD487" i="1" s="1"/>
  <c r="AA487" i="1"/>
  <c r="AC428" i="1"/>
  <c r="AD428" i="1" s="1"/>
  <c r="AA428" i="1"/>
  <c r="Y428" i="1"/>
  <c r="Z428" i="1"/>
  <c r="AC391" i="1"/>
  <c r="AD391" i="1" s="1"/>
  <c r="AA391" i="1"/>
  <c r="Z391" i="1"/>
  <c r="Y391" i="1"/>
  <c r="AA383" i="1"/>
  <c r="Z383" i="1"/>
  <c r="Y383" i="1"/>
  <c r="AC383" i="1"/>
  <c r="AD383" i="1" s="1"/>
  <c r="AC364" i="1"/>
  <c r="AD364" i="1" s="1"/>
  <c r="AA364" i="1"/>
  <c r="Z364" i="1"/>
  <c r="Y364" i="1"/>
  <c r="AC352" i="1"/>
  <c r="AD352" i="1" s="1"/>
  <c r="AA352" i="1"/>
  <c r="Z352" i="1"/>
  <c r="Y352" i="1"/>
  <c r="AC344" i="1"/>
  <c r="AD344" i="1" s="1"/>
  <c r="AA344" i="1"/>
  <c r="Z344" i="1"/>
  <c r="Y344" i="1"/>
  <c r="AC334" i="1"/>
  <c r="AD334" i="1" s="1"/>
  <c r="AA334" i="1"/>
  <c r="Z334" i="1"/>
  <c r="Y334" i="1"/>
  <c r="AB225" i="1"/>
  <c r="AE225" i="1"/>
  <c r="AF225" i="1" s="1"/>
  <c r="AE215" i="1"/>
  <c r="AF215" i="1" s="1"/>
  <c r="AB215" i="1"/>
  <c r="AE314" i="1"/>
  <c r="AF314" i="1" s="1"/>
  <c r="AB314" i="1"/>
  <c r="AE233" i="1"/>
  <c r="AF233" i="1" s="1"/>
  <c r="AC275" i="1"/>
  <c r="AD275" i="1" s="1"/>
  <c r="AA275" i="1"/>
  <c r="Y275" i="1"/>
  <c r="Z275" i="1"/>
  <c r="AC267" i="1"/>
  <c r="AD267" i="1" s="1"/>
  <c r="AA267" i="1"/>
  <c r="Y267" i="1"/>
  <c r="Z267" i="1"/>
  <c r="AC259" i="1"/>
  <c r="AD259" i="1" s="1"/>
  <c r="AA259" i="1"/>
  <c r="Y259" i="1"/>
  <c r="Z259" i="1"/>
  <c r="AB201" i="1"/>
  <c r="AE201" i="1"/>
  <c r="AF201" i="1" s="1"/>
  <c r="AC165" i="1"/>
  <c r="AD165" i="1" s="1"/>
  <c r="AA165" i="1"/>
  <c r="Z165" i="1"/>
  <c r="Y165" i="1"/>
  <c r="AC180" i="1"/>
  <c r="AD180" i="1" s="1"/>
  <c r="AA180" i="1"/>
  <c r="Z180" i="1"/>
  <c r="Y180" i="1"/>
  <c r="AC148" i="1"/>
  <c r="AD148" i="1" s="1"/>
  <c r="AA148" i="1"/>
  <c r="Z148" i="1"/>
  <c r="Y148" i="1"/>
  <c r="AC130" i="1"/>
  <c r="AD130" i="1" s="1"/>
  <c r="Y130" i="1"/>
  <c r="AA130" i="1"/>
  <c r="Z130" i="1"/>
  <c r="Y167" i="1"/>
  <c r="AC167" i="1"/>
  <c r="AD167" i="1" s="1"/>
  <c r="AA167" i="1"/>
  <c r="Z167" i="1"/>
  <c r="AA166" i="1"/>
  <c r="Z166" i="1"/>
  <c r="Y166" i="1"/>
  <c r="AC166" i="1"/>
  <c r="AD166" i="1" s="1"/>
  <c r="Y196" i="1"/>
  <c r="AC196" i="1"/>
  <c r="AD196" i="1" s="1"/>
  <c r="AA196" i="1"/>
  <c r="Z196" i="1"/>
  <c r="AE120" i="1"/>
  <c r="AF120" i="1" s="1"/>
  <c r="AB120" i="1"/>
  <c r="AE96" i="1"/>
  <c r="AF96" i="1" s="1"/>
  <c r="AB96" i="1"/>
  <c r="AC41" i="1"/>
  <c r="AD41" i="1" s="1"/>
  <c r="AA41" i="1"/>
  <c r="Z41" i="1"/>
  <c r="Y41" i="1"/>
  <c r="AB38" i="1"/>
  <c r="AE38" i="1"/>
  <c r="AF38" i="1" s="1"/>
  <c r="AB37" i="1"/>
  <c r="AB138" i="1"/>
  <c r="AE138" i="1"/>
  <c r="AF138" i="1" s="1"/>
  <c r="Z54" i="1"/>
  <c r="AC54" i="1"/>
  <c r="AD54" i="1" s="1"/>
  <c r="AA54" i="1"/>
  <c r="Y54" i="1"/>
  <c r="AB44" i="1"/>
  <c r="AE44" i="1"/>
  <c r="AF44" i="1" s="1"/>
  <c r="AA5" i="1"/>
  <c r="AC735" i="1"/>
  <c r="AD735" i="1" s="1"/>
  <c r="Z735" i="1"/>
  <c r="Z593" i="1"/>
  <c r="AC593" i="1"/>
  <c r="AD593" i="1" s="1"/>
  <c r="AA593" i="1"/>
  <c r="Y593" i="1"/>
  <c r="AE622" i="1"/>
  <c r="AF622" i="1" s="1"/>
  <c r="AB622" i="1"/>
  <c r="AC545" i="1"/>
  <c r="AD545" i="1" s="1"/>
  <c r="AA545" i="1"/>
  <c r="Z545" i="1"/>
  <c r="Y545" i="1"/>
  <c r="AA462" i="1"/>
  <c r="Z462" i="1"/>
  <c r="Y462" i="1"/>
  <c r="AC462" i="1"/>
  <c r="AD462" i="1" s="1"/>
  <c r="AC454" i="1"/>
  <c r="AD454" i="1" s="1"/>
  <c r="AA454" i="1"/>
  <c r="Y454" i="1"/>
  <c r="Z454" i="1"/>
  <c r="AC443" i="1"/>
  <c r="AD443" i="1" s="1"/>
  <c r="AA443" i="1"/>
  <c r="Z443" i="1"/>
  <c r="Y443" i="1"/>
  <c r="AC395" i="1"/>
  <c r="AD395" i="1" s="1"/>
  <c r="AA395" i="1"/>
  <c r="Z395" i="1"/>
  <c r="Y395" i="1"/>
  <c r="AC356" i="1"/>
  <c r="AD356" i="1" s="1"/>
  <c r="AA356" i="1"/>
  <c r="Z356" i="1"/>
  <c r="Y356" i="1"/>
  <c r="Y229" i="1"/>
  <c r="Z229" i="1"/>
  <c r="AC229" i="1"/>
  <c r="AD229" i="1" s="1"/>
  <c r="AA229" i="1"/>
  <c r="AC252" i="1"/>
  <c r="AD252" i="1" s="1"/>
  <c r="AA252" i="1"/>
  <c r="Z252" i="1"/>
  <c r="Y252" i="1"/>
  <c r="AC271" i="1"/>
  <c r="AD271" i="1" s="1"/>
  <c r="AA271" i="1"/>
  <c r="Y271" i="1"/>
  <c r="Z271" i="1"/>
  <c r="AB142" i="1"/>
  <c r="AE142" i="1"/>
  <c r="AF142" i="1" s="1"/>
  <c r="AA182" i="1"/>
  <c r="Z182" i="1"/>
  <c r="Y182" i="1"/>
  <c r="AC182" i="1"/>
  <c r="AD182" i="1" s="1"/>
  <c r="AA102" i="1"/>
  <c r="Y102" i="1"/>
  <c r="AB930" i="1"/>
  <c r="AE930" i="1"/>
  <c r="AF930" i="1" s="1"/>
  <c r="AB939" i="1"/>
  <c r="AE939" i="1"/>
  <c r="AF939" i="1" s="1"/>
  <c r="Y879" i="1"/>
  <c r="AC879" i="1"/>
  <c r="AD879" i="1" s="1"/>
  <c r="AA879" i="1"/>
  <c r="Z879" i="1"/>
  <c r="AC873" i="1"/>
  <c r="AD873" i="1" s="1"/>
  <c r="Z873" i="1"/>
  <c r="Y873" i="1"/>
  <c r="AA873" i="1"/>
  <c r="Y925" i="1"/>
  <c r="AC925" i="1"/>
  <c r="AD925" i="1" s="1"/>
  <c r="Z925" i="1"/>
  <c r="AA925" i="1"/>
  <c r="AA880" i="1"/>
  <c r="Z880" i="1"/>
  <c r="Y880" i="1"/>
  <c r="AC880" i="1"/>
  <c r="AD880" i="1" s="1"/>
  <c r="AC866" i="1"/>
  <c r="AD866" i="1" s="1"/>
  <c r="AA866" i="1"/>
  <c r="Z866" i="1"/>
  <c r="Y866" i="1"/>
  <c r="AE836" i="1"/>
  <c r="AF836" i="1" s="1"/>
  <c r="AB836" i="1"/>
  <c r="AC809" i="1"/>
  <c r="AD809" i="1" s="1"/>
  <c r="AA809" i="1"/>
  <c r="Z809" i="1"/>
  <c r="Y809" i="1"/>
  <c r="Y798" i="1"/>
  <c r="AC798" i="1"/>
  <c r="AD798" i="1" s="1"/>
  <c r="AA798" i="1"/>
  <c r="Z798" i="1"/>
  <c r="AE792" i="1"/>
  <c r="AF792" i="1" s="1"/>
  <c r="AB792" i="1"/>
  <c r="AE767" i="1"/>
  <c r="AF767" i="1" s="1"/>
  <c r="AB767" i="1"/>
  <c r="AA783" i="1"/>
  <c r="AC783" i="1"/>
  <c r="AD783" i="1" s="1"/>
  <c r="Z783" i="1"/>
  <c r="Y783" i="1"/>
  <c r="AC759" i="1"/>
  <c r="AD759" i="1" s="1"/>
  <c r="Z759" i="1"/>
  <c r="Y759" i="1"/>
  <c r="AB769" i="1"/>
  <c r="AE769" i="1"/>
  <c r="AF769" i="1" s="1"/>
  <c r="AE701" i="1"/>
  <c r="AF701" i="1" s="1"/>
  <c r="AE785" i="1"/>
  <c r="AF785" i="1" s="1"/>
  <c r="AB785" i="1"/>
  <c r="Y804" i="1"/>
  <c r="AC804" i="1"/>
  <c r="AD804" i="1" s="1"/>
  <c r="AA804" i="1"/>
  <c r="Z804" i="1"/>
  <c r="AC726" i="1"/>
  <c r="AD726" i="1" s="1"/>
  <c r="AA726" i="1"/>
  <c r="Z726" i="1"/>
  <c r="Y726" i="1"/>
  <c r="AC766" i="1"/>
  <c r="AD766" i="1" s="1"/>
  <c r="Z766" i="1"/>
  <c r="AE691" i="1"/>
  <c r="AF691" i="1" s="1"/>
  <c r="AB691" i="1"/>
  <c r="AB646" i="1"/>
  <c r="AE646" i="1"/>
  <c r="AF646" i="1" s="1"/>
  <c r="AA784" i="1"/>
  <c r="Z784" i="1"/>
  <c r="AC784" i="1"/>
  <c r="AD784" i="1" s="1"/>
  <c r="Y784" i="1"/>
  <c r="AB695" i="1"/>
  <c r="AE695" i="1"/>
  <c r="AF695" i="1" s="1"/>
  <c r="AB644" i="1"/>
  <c r="AE644" i="1"/>
  <c r="AF644" i="1" s="1"/>
  <c r="AB635" i="1"/>
  <c r="AE635" i="1"/>
  <c r="AF635" i="1" s="1"/>
  <c r="AB649" i="1"/>
  <c r="AE649" i="1"/>
  <c r="AF649" i="1" s="1"/>
  <c r="AC623" i="1"/>
  <c r="AD623" i="1" s="1"/>
  <c r="AA623" i="1"/>
  <c r="Z623" i="1"/>
  <c r="Y623" i="1"/>
  <c r="AC664" i="1"/>
  <c r="AD664" i="1" s="1"/>
  <c r="Z664" i="1"/>
  <c r="AC579" i="1"/>
  <c r="AD579" i="1" s="1"/>
  <c r="Z579" i="1"/>
  <c r="Z558" i="1"/>
  <c r="AC558" i="1"/>
  <c r="AD558" i="1" s="1"/>
  <c r="U652" i="1"/>
  <c r="U653" i="1" s="1"/>
  <c r="U654" i="1" s="1"/>
  <c r="U655" i="1" s="1"/>
  <c r="Y651" i="1"/>
  <c r="AA651" i="1"/>
  <c r="AC538" i="1"/>
  <c r="AD538" i="1" s="1"/>
  <c r="AA538" i="1"/>
  <c r="Z538" i="1"/>
  <c r="Y538" i="1"/>
  <c r="AC515" i="1"/>
  <c r="AD515" i="1" s="1"/>
  <c r="AA515" i="1"/>
  <c r="Z515" i="1"/>
  <c r="Y515" i="1"/>
  <c r="AC535" i="1"/>
  <c r="AD535" i="1" s="1"/>
  <c r="AA535" i="1"/>
  <c r="Z535" i="1"/>
  <c r="Y535" i="1"/>
  <c r="AC527" i="1"/>
  <c r="AD527" i="1" s="1"/>
  <c r="AA527" i="1"/>
  <c r="Z527" i="1"/>
  <c r="Y527" i="1"/>
  <c r="AC506" i="1"/>
  <c r="AD506" i="1" s="1"/>
  <c r="AA506" i="1"/>
  <c r="Z506" i="1"/>
  <c r="Y506" i="1"/>
  <c r="AB539" i="1"/>
  <c r="AE539" i="1"/>
  <c r="AF539" i="1" s="1"/>
  <c r="AA475" i="1"/>
  <c r="Z475" i="1"/>
  <c r="Y475" i="1"/>
  <c r="AC475" i="1"/>
  <c r="AD475" i="1" s="1"/>
  <c r="AA461" i="1"/>
  <c r="Z461" i="1"/>
  <c r="Y461" i="1"/>
  <c r="AC461" i="1"/>
  <c r="AD461" i="1" s="1"/>
  <c r="AC424" i="1"/>
  <c r="AD424" i="1" s="1"/>
  <c r="AA424" i="1"/>
  <c r="Y424" i="1"/>
  <c r="Z424" i="1"/>
  <c r="Z445" i="1"/>
  <c r="Y445" i="1"/>
  <c r="AA445" i="1"/>
  <c r="AC445" i="1"/>
  <c r="AD445" i="1" s="1"/>
  <c r="AA403" i="1"/>
  <c r="Z403" i="1"/>
  <c r="Y403" i="1"/>
  <c r="AC403" i="1"/>
  <c r="AD403" i="1" s="1"/>
  <c r="AA508" i="1"/>
  <c r="Z508" i="1"/>
  <c r="Y508" i="1"/>
  <c r="AC508" i="1"/>
  <c r="AD508" i="1" s="1"/>
  <c r="AE437" i="1"/>
  <c r="AF437" i="1" s="1"/>
  <c r="AC390" i="1"/>
  <c r="AD390" i="1" s="1"/>
  <c r="AA390" i="1"/>
  <c r="Z390" i="1"/>
  <c r="Y390" i="1"/>
  <c r="AB398" i="1"/>
  <c r="AE398" i="1"/>
  <c r="AF398" i="1" s="1"/>
  <c r="AA333" i="1"/>
  <c r="Z333" i="1"/>
  <c r="Y333" i="1"/>
  <c r="AC333" i="1"/>
  <c r="AD333" i="1" s="1"/>
  <c r="AA301" i="1"/>
  <c r="Z301" i="1"/>
  <c r="Y301" i="1"/>
  <c r="AC301" i="1"/>
  <c r="AD301" i="1" s="1"/>
  <c r="AB418" i="1"/>
  <c r="AE418" i="1"/>
  <c r="AF418" i="1" s="1"/>
  <c r="Y238" i="1"/>
  <c r="AC238" i="1"/>
  <c r="AD238" i="1" s="1"/>
  <c r="AA238" i="1"/>
  <c r="Z238" i="1"/>
  <c r="AC358" i="1"/>
  <c r="AD358" i="1" s="1"/>
  <c r="AA358" i="1"/>
  <c r="Z358" i="1"/>
  <c r="Y358" i="1"/>
  <c r="AC306" i="1"/>
  <c r="AD306" i="1" s="1"/>
  <c r="AA306" i="1"/>
  <c r="Z306" i="1"/>
  <c r="Y306" i="1"/>
  <c r="Z292" i="1"/>
  <c r="Y292" i="1"/>
  <c r="AA292" i="1"/>
  <c r="AC292" i="1"/>
  <c r="AD292" i="1" s="1"/>
  <c r="AE321" i="1"/>
  <c r="AF321" i="1" s="1"/>
  <c r="AB321" i="1"/>
  <c r="AA381" i="1"/>
  <c r="AC381" i="1"/>
  <c r="AD381" i="1" s="1"/>
  <c r="Z381" i="1"/>
  <c r="Y381" i="1"/>
  <c r="AC303" i="1"/>
  <c r="AD303" i="1" s="1"/>
  <c r="AA303" i="1"/>
  <c r="Z303" i="1"/>
  <c r="Y303" i="1"/>
  <c r="AA367" i="1"/>
  <c r="Z367" i="1"/>
  <c r="Y367" i="1"/>
  <c r="AC367" i="1"/>
  <c r="AD367" i="1" s="1"/>
  <c r="Z359" i="1"/>
  <c r="Y359" i="1"/>
  <c r="AC359" i="1"/>
  <c r="AD359" i="1" s="1"/>
  <c r="AA359" i="1"/>
  <c r="AA372" i="1"/>
  <c r="Z372" i="1"/>
  <c r="Y372" i="1"/>
  <c r="AC372" i="1"/>
  <c r="AD372" i="1" s="1"/>
  <c r="AC247" i="1"/>
  <c r="AD247" i="1" s="1"/>
  <c r="AA247" i="1"/>
  <c r="Z247" i="1"/>
  <c r="Y247" i="1"/>
  <c r="AB219" i="1"/>
  <c r="AE219" i="1"/>
  <c r="AF219" i="1" s="1"/>
  <c r="Y312" i="1"/>
  <c r="AC312" i="1"/>
  <c r="AD312" i="1" s="1"/>
  <c r="Z312" i="1"/>
  <c r="AA312" i="1"/>
  <c r="AB236" i="1"/>
  <c r="AE236" i="1"/>
  <c r="AF236" i="1" s="1"/>
  <c r="Z345" i="1"/>
  <c r="Y345" i="1"/>
  <c r="AC345" i="1"/>
  <c r="AD345" i="1" s="1"/>
  <c r="AA345" i="1"/>
  <c r="AB213" i="1"/>
  <c r="AE213" i="1"/>
  <c r="AF213" i="1" s="1"/>
  <c r="AC253" i="1"/>
  <c r="AD253" i="1" s="1"/>
  <c r="AA253" i="1"/>
  <c r="Z253" i="1"/>
  <c r="Y253" i="1"/>
  <c r="AB222" i="1"/>
  <c r="AE222" i="1"/>
  <c r="AF222" i="1" s="1"/>
  <c r="AC280" i="1"/>
  <c r="AD280" i="1" s="1"/>
  <c r="AA280" i="1"/>
  <c r="Y280" i="1"/>
  <c r="Z280" i="1"/>
  <c r="AC272" i="1"/>
  <c r="AD272" i="1" s="1"/>
  <c r="AA272" i="1"/>
  <c r="Y272" i="1"/>
  <c r="Z272" i="1"/>
  <c r="AC264" i="1"/>
  <c r="AD264" i="1" s="1"/>
  <c r="AA264" i="1"/>
  <c r="Y264" i="1"/>
  <c r="Z264" i="1"/>
  <c r="AC256" i="1"/>
  <c r="AD256" i="1" s="1"/>
  <c r="AA256" i="1"/>
  <c r="Y256" i="1"/>
  <c r="Z256" i="1"/>
  <c r="AA324" i="1"/>
  <c r="AC324" i="1"/>
  <c r="AD324" i="1" s="1"/>
  <c r="Z324" i="1"/>
  <c r="Y324" i="1"/>
  <c r="Z355" i="1"/>
  <c r="Y355" i="1"/>
  <c r="AC355" i="1"/>
  <c r="AD355" i="1" s="1"/>
  <c r="AA355" i="1"/>
  <c r="AB288" i="1"/>
  <c r="AE288" i="1"/>
  <c r="AF288" i="1" s="1"/>
  <c r="AC185" i="1"/>
  <c r="AD185" i="1" s="1"/>
  <c r="AA185" i="1"/>
  <c r="Z185" i="1"/>
  <c r="Y185" i="1"/>
  <c r="AC153" i="1"/>
  <c r="AD153" i="1" s="1"/>
  <c r="AA153" i="1"/>
  <c r="Z153" i="1"/>
  <c r="Y153" i="1"/>
  <c r="AC241" i="1"/>
  <c r="AD241" i="1" s="1"/>
  <c r="AA241" i="1"/>
  <c r="Z241" i="1"/>
  <c r="Y241" i="1"/>
  <c r="AB133" i="1"/>
  <c r="AE133" i="1"/>
  <c r="AF133" i="1" s="1"/>
  <c r="AC168" i="1"/>
  <c r="AD168" i="1" s="1"/>
  <c r="AA168" i="1"/>
  <c r="Z168" i="1"/>
  <c r="Y168" i="1"/>
  <c r="AC232" i="1"/>
  <c r="AD232" i="1" s="1"/>
  <c r="Z232" i="1"/>
  <c r="Y232" i="1"/>
  <c r="AA232" i="1"/>
  <c r="Y187" i="1"/>
  <c r="AC187" i="1"/>
  <c r="AD187" i="1" s="1"/>
  <c r="AA187" i="1"/>
  <c r="Z187" i="1"/>
  <c r="Y155" i="1"/>
  <c r="AC155" i="1"/>
  <c r="AD155" i="1" s="1"/>
  <c r="AA155" i="1"/>
  <c r="Z155" i="1"/>
  <c r="AB235" i="1"/>
  <c r="AE235" i="1"/>
  <c r="AF235" i="1" s="1"/>
  <c r="AA186" i="1"/>
  <c r="Z186" i="1"/>
  <c r="Y186" i="1"/>
  <c r="AC186" i="1"/>
  <c r="AD186" i="1" s="1"/>
  <c r="AA154" i="1"/>
  <c r="Z154" i="1"/>
  <c r="Y154" i="1"/>
  <c r="AC154" i="1"/>
  <c r="AD154" i="1" s="1"/>
  <c r="AA118" i="1"/>
  <c r="Y118" i="1"/>
  <c r="AE62" i="1"/>
  <c r="AF62" i="1" s="1"/>
  <c r="AB62" i="1"/>
  <c r="AC33" i="1"/>
  <c r="AD33" i="1" s="1"/>
  <c r="AA33" i="1"/>
  <c r="Z33" i="1"/>
  <c r="Y33" i="1"/>
  <c r="AB141" i="1"/>
  <c r="AE141" i="1"/>
  <c r="AF141" i="1" s="1"/>
  <c r="AB34" i="1"/>
  <c r="AE34" i="1"/>
  <c r="AF34" i="1" s="1"/>
  <c r="AA876" i="1"/>
  <c r="Z876" i="1"/>
  <c r="AC876" i="1"/>
  <c r="AD876" i="1" s="1"/>
  <c r="Y876" i="1"/>
  <c r="AC751" i="1"/>
  <c r="AD751" i="1" s="1"/>
  <c r="AA751" i="1"/>
  <c r="Z751" i="1"/>
  <c r="Y751" i="1"/>
  <c r="Z634" i="1"/>
  <c r="AC634" i="1"/>
  <c r="AD634" i="1" s="1"/>
  <c r="Y634" i="1"/>
  <c r="AA634" i="1"/>
  <c r="Z351" i="1"/>
  <c r="Y351" i="1"/>
  <c r="AC351" i="1"/>
  <c r="AD351" i="1" s="1"/>
  <c r="AA351" i="1"/>
  <c r="AA55" i="1"/>
  <c r="Y55" i="1"/>
  <c r="AC55" i="1"/>
  <c r="AD55" i="1" s="1"/>
  <c r="Z55" i="1"/>
  <c r="AA150" i="1"/>
  <c r="Z150" i="1"/>
  <c r="Y150" i="1"/>
  <c r="AC150" i="1"/>
  <c r="AD150" i="1" s="1"/>
  <c r="AE112" i="1"/>
  <c r="AF112" i="1" s="1"/>
  <c r="AB112" i="1"/>
  <c r="AE128" i="1"/>
  <c r="AF128" i="1" s="1"/>
  <c r="AB128" i="1"/>
  <c r="Q60" i="1"/>
  <c r="P59" i="1"/>
  <c r="T8" i="1"/>
  <c r="W7" i="1"/>
  <c r="AE928" i="1"/>
  <c r="AF928" i="1" s="1"/>
  <c r="AE912" i="1"/>
  <c r="AF912" i="1" s="1"/>
  <c r="AC892" i="1"/>
  <c r="AD892" i="1" s="1"/>
  <c r="Y892" i="1"/>
  <c r="Z892" i="1"/>
  <c r="AA892" i="1"/>
  <c r="AB919" i="1"/>
  <c r="AE919" i="1"/>
  <c r="AF919" i="1" s="1"/>
  <c r="Y863" i="1"/>
  <c r="AC863" i="1"/>
  <c r="AD863" i="1" s="1"/>
  <c r="Z863" i="1"/>
  <c r="AA863" i="1"/>
  <c r="AC847" i="1"/>
  <c r="AD847" i="1" s="1"/>
  <c r="Z847" i="1"/>
  <c r="AC881" i="1"/>
  <c r="AD881" i="1" s="1"/>
  <c r="AA881" i="1"/>
  <c r="Y881" i="1"/>
  <c r="Z881" i="1"/>
  <c r="AB923" i="1"/>
  <c r="AE923" i="1"/>
  <c r="AF923" i="1" s="1"/>
  <c r="AC823" i="1"/>
  <c r="AD823" i="1" s="1"/>
  <c r="Z823" i="1"/>
  <c r="AE837" i="1"/>
  <c r="AF837" i="1" s="1"/>
  <c r="AB837" i="1"/>
  <c r="Z821" i="1"/>
  <c r="AC821" i="1"/>
  <c r="AD821" i="1" s="1"/>
  <c r="Y756" i="1"/>
  <c r="AC756" i="1"/>
  <c r="AD756" i="1" s="1"/>
  <c r="Z756" i="1"/>
  <c r="AA756" i="1"/>
  <c r="AB818" i="1"/>
  <c r="AE818" i="1"/>
  <c r="AF818" i="1" s="1"/>
  <c r="AC790" i="1"/>
  <c r="AD790" i="1" s="1"/>
  <c r="AA790" i="1"/>
  <c r="Z790" i="1"/>
  <c r="Y790" i="1"/>
  <c r="AE750" i="1"/>
  <c r="AF750" i="1" s="1"/>
  <c r="AB750" i="1"/>
  <c r="U865" i="1"/>
  <c r="U866" i="1" s="1"/>
  <c r="U867" i="1" s="1"/>
  <c r="AA864" i="1"/>
  <c r="AE808" i="1"/>
  <c r="AF808" i="1" s="1"/>
  <c r="AE755" i="1"/>
  <c r="AF755" i="1" s="1"/>
  <c r="AB755" i="1"/>
  <c r="AC788" i="1"/>
  <c r="AD788" i="1" s="1"/>
  <c r="Z788" i="1"/>
  <c r="AA788" i="1"/>
  <c r="Y788" i="1"/>
  <c r="AC743" i="1"/>
  <c r="AD743" i="1" s="1"/>
  <c r="Z743" i="1"/>
  <c r="AB700" i="1"/>
  <c r="AE700" i="1"/>
  <c r="AF700" i="1" s="1"/>
  <c r="AB720" i="1"/>
  <c r="AE720" i="1"/>
  <c r="AF720" i="1" s="1"/>
  <c r="AA820" i="1"/>
  <c r="U821" i="1"/>
  <c r="U822" i="1" s="1"/>
  <c r="U823" i="1" s="1"/>
  <c r="U824" i="1" s="1"/>
  <c r="U825" i="1" s="1"/>
  <c r="U826" i="1" s="1"/>
  <c r="AC708" i="1"/>
  <c r="AD708" i="1" s="1"/>
  <c r="AA708" i="1"/>
  <c r="Z708" i="1"/>
  <c r="Y708" i="1"/>
  <c r="AB694" i="1"/>
  <c r="AB645" i="1"/>
  <c r="AE645" i="1"/>
  <c r="AF645" i="1" s="1"/>
  <c r="AC657" i="1"/>
  <c r="AD657" i="1" s="1"/>
  <c r="Z657" i="1"/>
  <c r="AB706" i="1"/>
  <c r="AE706" i="1"/>
  <c r="AF706" i="1" s="1"/>
  <c r="U758" i="1"/>
  <c r="U759" i="1" s="1"/>
  <c r="U760" i="1" s="1"/>
  <c r="AA757" i="1"/>
  <c r="AA616" i="1"/>
  <c r="Z616" i="1"/>
  <c r="Y616" i="1"/>
  <c r="AC616" i="1"/>
  <c r="AD616" i="1" s="1"/>
  <c r="AC636" i="1"/>
  <c r="AD636" i="1" s="1"/>
  <c r="AA636" i="1"/>
  <c r="Y636" i="1"/>
  <c r="Z636" i="1"/>
  <c r="Z594" i="1"/>
  <c r="Y594" i="1"/>
  <c r="AA594" i="1"/>
  <c r="AC594" i="1"/>
  <c r="AD594" i="1" s="1"/>
  <c r="Z590" i="1"/>
  <c r="AC590" i="1"/>
  <c r="AD590" i="1" s="1"/>
  <c r="AA590" i="1"/>
  <c r="Y590" i="1"/>
  <c r="Z586" i="1"/>
  <c r="Y586" i="1"/>
  <c r="AC586" i="1"/>
  <c r="AD586" i="1" s="1"/>
  <c r="AA586" i="1"/>
  <c r="AC624" i="1"/>
  <c r="AD624" i="1" s="1"/>
  <c r="AA624" i="1"/>
  <c r="Y624" i="1"/>
  <c r="Z624" i="1"/>
  <c r="AC503" i="1"/>
  <c r="AD503" i="1" s="1"/>
  <c r="AA503" i="1"/>
  <c r="Z503" i="1"/>
  <c r="Y503" i="1"/>
  <c r="AC532" i="1"/>
  <c r="AD532" i="1" s="1"/>
  <c r="AA532" i="1"/>
  <c r="Z532" i="1"/>
  <c r="Y532" i="1"/>
  <c r="AC524" i="1"/>
  <c r="AD524" i="1" s="1"/>
  <c r="AA524" i="1"/>
  <c r="Z524" i="1"/>
  <c r="Y524" i="1"/>
  <c r="Y464" i="1"/>
  <c r="AC464" i="1"/>
  <c r="AD464" i="1" s="1"/>
  <c r="Z464" i="1"/>
  <c r="AA464" i="1"/>
  <c r="Z474" i="1"/>
  <c r="Y474" i="1"/>
  <c r="AA474" i="1"/>
  <c r="AC474" i="1"/>
  <c r="AD474" i="1" s="1"/>
  <c r="Y513" i="1"/>
  <c r="AC513" i="1"/>
  <c r="AD513" i="1" s="1"/>
  <c r="Z513" i="1"/>
  <c r="AA513" i="1"/>
  <c r="AE470" i="1"/>
  <c r="AF470" i="1" s="1"/>
  <c r="AB470" i="1"/>
  <c r="AE453" i="1"/>
  <c r="AF453" i="1" s="1"/>
  <c r="AB453" i="1"/>
  <c r="AB548" i="1"/>
  <c r="AE548" i="1"/>
  <c r="AF548" i="1" s="1"/>
  <c r="AA520" i="1"/>
  <c r="Z520" i="1"/>
  <c r="Y520" i="1"/>
  <c r="AC520" i="1"/>
  <c r="AD520" i="1" s="1"/>
  <c r="Z495" i="1"/>
  <c r="Y495" i="1"/>
  <c r="AC495" i="1"/>
  <c r="AD495" i="1" s="1"/>
  <c r="AA495" i="1"/>
  <c r="AC420" i="1"/>
  <c r="AD420" i="1" s="1"/>
  <c r="AA420" i="1"/>
  <c r="Y420" i="1"/>
  <c r="Z420" i="1"/>
  <c r="AC458" i="1"/>
  <c r="AD458" i="1" s="1"/>
  <c r="AA458" i="1"/>
  <c r="Z458" i="1"/>
  <c r="Y458" i="1"/>
  <c r="AE494" i="1"/>
  <c r="AF494" i="1" s="1"/>
  <c r="AB494" i="1"/>
  <c r="Z493" i="1"/>
  <c r="Y493" i="1"/>
  <c r="AC493" i="1"/>
  <c r="AD493" i="1" s="1"/>
  <c r="AA493" i="1"/>
  <c r="AC444" i="1"/>
  <c r="AD444" i="1" s="1"/>
  <c r="AA444" i="1"/>
  <c r="Y444" i="1"/>
  <c r="Z444" i="1"/>
  <c r="AA516" i="1"/>
  <c r="Z516" i="1"/>
  <c r="Y516" i="1"/>
  <c r="AC516" i="1"/>
  <c r="AD516" i="1" s="1"/>
  <c r="AE496" i="1"/>
  <c r="AF496" i="1" s="1"/>
  <c r="AB496" i="1"/>
  <c r="AE488" i="1"/>
  <c r="AF488" i="1" s="1"/>
  <c r="AB488" i="1"/>
  <c r="AB447" i="1"/>
  <c r="AE447" i="1"/>
  <c r="AF447" i="1" s="1"/>
  <c r="AC397" i="1"/>
  <c r="AD397" i="1" s="1"/>
  <c r="AA397" i="1"/>
  <c r="Z397" i="1"/>
  <c r="Y397" i="1"/>
  <c r="AC389" i="1"/>
  <c r="AD389" i="1" s="1"/>
  <c r="AA389" i="1"/>
  <c r="Z389" i="1"/>
  <c r="Y389" i="1"/>
  <c r="AA512" i="1"/>
  <c r="Z512" i="1"/>
  <c r="Y512" i="1"/>
  <c r="AC512" i="1"/>
  <c r="AD512" i="1" s="1"/>
  <c r="AE425" i="1"/>
  <c r="AF425" i="1" s="1"/>
  <c r="AB425" i="1"/>
  <c r="AA371" i="1"/>
  <c r="AC371" i="1"/>
  <c r="AD371" i="1" s="1"/>
  <c r="Z371" i="1"/>
  <c r="Y371" i="1"/>
  <c r="AC350" i="1"/>
  <c r="AD350" i="1" s="1"/>
  <c r="AA350" i="1"/>
  <c r="Z350" i="1"/>
  <c r="Y350" i="1"/>
  <c r="AC342" i="1"/>
  <c r="AD342" i="1" s="1"/>
  <c r="AA342" i="1"/>
  <c r="Z342" i="1"/>
  <c r="Y342" i="1"/>
  <c r="AC330" i="1"/>
  <c r="AD330" i="1" s="1"/>
  <c r="AA330" i="1"/>
  <c r="Z330" i="1"/>
  <c r="Y330" i="1"/>
  <c r="Y286" i="1"/>
  <c r="Z286" i="1"/>
  <c r="AA286" i="1"/>
  <c r="AC286" i="1"/>
  <c r="AD286" i="1" s="1"/>
  <c r="AC320" i="1"/>
  <c r="AD320" i="1" s="1"/>
  <c r="AA320" i="1"/>
  <c r="Z320" i="1"/>
  <c r="Y320" i="1"/>
  <c r="AE415" i="1"/>
  <c r="AF415" i="1" s="1"/>
  <c r="AB415" i="1"/>
  <c r="AC244" i="1"/>
  <c r="AD244" i="1" s="1"/>
  <c r="AA244" i="1"/>
  <c r="Z244" i="1"/>
  <c r="Y244" i="1"/>
  <c r="AC243" i="1"/>
  <c r="AD243" i="1" s="1"/>
  <c r="AA243" i="1"/>
  <c r="Y243" i="1"/>
  <c r="Z243" i="1"/>
  <c r="AB216" i="1"/>
  <c r="AE216" i="1"/>
  <c r="AF216" i="1" s="1"/>
  <c r="AC277" i="1"/>
  <c r="AD277" i="1" s="1"/>
  <c r="AA277" i="1"/>
  <c r="Y277" i="1"/>
  <c r="Z277" i="1"/>
  <c r="AC269" i="1"/>
  <c r="AD269" i="1" s="1"/>
  <c r="AA269" i="1"/>
  <c r="Y269" i="1"/>
  <c r="Z269" i="1"/>
  <c r="AC261" i="1"/>
  <c r="AD261" i="1" s="1"/>
  <c r="AA261" i="1"/>
  <c r="Y261" i="1"/>
  <c r="Z261" i="1"/>
  <c r="AC242" i="1"/>
  <c r="AD242" i="1" s="1"/>
  <c r="AA242" i="1"/>
  <c r="Y242" i="1"/>
  <c r="Z242" i="1"/>
  <c r="Z343" i="1"/>
  <c r="Y343" i="1"/>
  <c r="AC343" i="1"/>
  <c r="AD343" i="1" s="1"/>
  <c r="AA343" i="1"/>
  <c r="AC239" i="1"/>
  <c r="AD239" i="1" s="1"/>
  <c r="AA239" i="1"/>
  <c r="Z239" i="1"/>
  <c r="Y239" i="1"/>
  <c r="AC173" i="1"/>
  <c r="AD173" i="1" s="1"/>
  <c r="AA173" i="1"/>
  <c r="Z173" i="1"/>
  <c r="Y173" i="1"/>
  <c r="AE209" i="1"/>
  <c r="AF209" i="1" s="1"/>
  <c r="AB209" i="1"/>
  <c r="AC188" i="1"/>
  <c r="AD188" i="1" s="1"/>
  <c r="AA188" i="1"/>
  <c r="Z188" i="1"/>
  <c r="Y188" i="1"/>
  <c r="AC156" i="1"/>
  <c r="AD156" i="1" s="1"/>
  <c r="AA156" i="1"/>
  <c r="Z156" i="1"/>
  <c r="Y156" i="1"/>
  <c r="Y175" i="1"/>
  <c r="AC175" i="1"/>
  <c r="AD175" i="1" s="1"/>
  <c r="AA175" i="1"/>
  <c r="Z175" i="1"/>
  <c r="AB202" i="1"/>
  <c r="AE202" i="1"/>
  <c r="AF202" i="1" s="1"/>
  <c r="Q93" i="1"/>
  <c r="P92" i="1"/>
  <c r="AA174" i="1"/>
  <c r="Z174" i="1"/>
  <c r="Y174" i="1"/>
  <c r="AC174" i="1"/>
  <c r="AD174" i="1" s="1"/>
  <c r="AE116" i="1"/>
  <c r="AF116" i="1" s="1"/>
  <c r="AB116" i="1"/>
  <c r="AB85" i="1"/>
  <c r="AE85" i="1"/>
  <c r="AF85" i="1" s="1"/>
  <c r="AC51" i="1"/>
  <c r="AD51" i="1" s="1"/>
  <c r="AA51" i="1"/>
  <c r="Z51" i="1"/>
  <c r="Y51" i="1"/>
  <c r="AA98" i="1"/>
  <c r="Y98" i="1"/>
  <c r="AC60" i="1"/>
  <c r="AD60" i="1" s="1"/>
  <c r="AA60" i="1"/>
  <c r="Z60" i="1"/>
  <c r="Y60" i="1"/>
  <c r="AB29" i="1"/>
  <c r="AE29" i="1"/>
  <c r="AF29" i="1" s="1"/>
  <c r="Z30" i="1"/>
  <c r="AC30" i="1"/>
  <c r="AD30" i="1" s="1"/>
  <c r="AA30" i="1"/>
  <c r="Y30" i="1"/>
  <c r="AC42" i="1"/>
  <c r="AD42" i="1" s="1"/>
  <c r="AA42" i="1"/>
  <c r="Z42" i="1"/>
  <c r="Y42" i="1"/>
  <c r="AA3" i="1"/>
  <c r="AC3" i="1"/>
  <c r="AD3" i="1" s="1"/>
  <c r="Z3" i="1"/>
  <c r="Y3" i="1"/>
  <c r="Y5" i="1"/>
  <c r="AB80" i="1" l="1"/>
  <c r="AE80" i="1"/>
  <c r="AF80" i="1" s="1"/>
  <c r="AB786" i="1"/>
  <c r="AB318" i="1"/>
  <c r="AE318" i="1"/>
  <c r="AF318" i="1" s="1"/>
  <c r="AB603" i="1"/>
  <c r="AE710" i="1"/>
  <c r="AF710" i="1" s="1"/>
  <c r="AB65" i="1"/>
  <c r="AE65" i="1"/>
  <c r="AF65" i="1" s="1"/>
  <c r="AB440" i="1"/>
  <c r="AE440" i="1"/>
  <c r="AF440" i="1" s="1"/>
  <c r="AB283" i="1"/>
  <c r="AE283" i="1"/>
  <c r="AF283" i="1" s="1"/>
  <c r="AB64" i="1"/>
  <c r="AE64" i="1"/>
  <c r="AF64" i="1" s="1"/>
  <c r="AE450" i="1"/>
  <c r="AF450" i="1" s="1"/>
  <c r="AB450" i="1"/>
  <c r="AB72" i="1"/>
  <c r="AE72" i="1"/>
  <c r="AF72" i="1" s="1"/>
  <c r="AE778" i="1"/>
  <c r="AF778" i="1" s="1"/>
  <c r="AB778" i="1"/>
  <c r="AB289" i="1"/>
  <c r="AE289" i="1"/>
  <c r="AF289" i="1" s="1"/>
  <c r="AE922" i="1"/>
  <c r="AF922" i="1" s="1"/>
  <c r="AB922" i="1"/>
  <c r="AE71" i="1"/>
  <c r="AF71" i="1" s="1"/>
  <c r="AB71" i="1"/>
  <c r="AB438" i="1"/>
  <c r="AE438" i="1"/>
  <c r="AF438" i="1" s="1"/>
  <c r="AB878" i="1"/>
  <c r="AE878" i="1"/>
  <c r="AF878" i="1" s="1"/>
  <c r="AB59" i="1"/>
  <c r="AE59" i="1"/>
  <c r="AF59" i="1" s="1"/>
  <c r="AB81" i="1"/>
  <c r="AE81" i="1"/>
  <c r="AF81" i="1" s="1"/>
  <c r="AB442" i="1"/>
  <c r="AE442" i="1"/>
  <c r="AF442" i="1" s="1"/>
  <c r="AB66" i="1"/>
  <c r="AE66" i="1"/>
  <c r="AF66" i="1" s="1"/>
  <c r="AE910" i="1"/>
  <c r="AF910" i="1" s="1"/>
  <c r="AB910" i="1"/>
  <c r="AB736" i="1"/>
  <c r="AE736" i="1"/>
  <c r="AF736" i="1" s="1"/>
  <c r="AB70" i="1"/>
  <c r="AE70" i="1"/>
  <c r="AF70" i="1" s="1"/>
  <c r="AE596" i="1"/>
  <c r="AF596" i="1" s="1"/>
  <c r="AB596" i="1"/>
  <c r="AB68" i="1"/>
  <c r="AE68" i="1"/>
  <c r="AF68" i="1" s="1"/>
  <c r="AB76" i="1"/>
  <c r="AE76" i="1"/>
  <c r="AF76" i="1" s="1"/>
  <c r="AE69" i="1"/>
  <c r="AF69" i="1" s="1"/>
  <c r="AB69" i="1"/>
  <c r="AB40" i="1"/>
  <c r="AB28" i="1"/>
  <c r="AE28" i="1"/>
  <c r="AF28" i="1" s="1"/>
  <c r="AB606" i="1"/>
  <c r="AE606" i="1"/>
  <c r="AF606" i="1" s="1"/>
  <c r="AE67" i="1"/>
  <c r="AF67" i="1" s="1"/>
  <c r="AB67" i="1"/>
  <c r="AB73" i="1"/>
  <c r="AE73" i="1"/>
  <c r="AF73" i="1" s="1"/>
  <c r="AB926" i="1"/>
  <c r="AE926" i="1"/>
  <c r="AF926" i="1" s="1"/>
  <c r="AE84" i="1"/>
  <c r="AF84" i="1" s="1"/>
  <c r="AB84" i="1"/>
  <c r="AB607" i="1"/>
  <c r="AE607" i="1"/>
  <c r="AF607" i="1" s="1"/>
  <c r="AE198" i="1"/>
  <c r="AF198" i="1" s="1"/>
  <c r="AB198" i="1"/>
  <c r="AE2" i="1"/>
  <c r="AF2" i="1" s="1"/>
  <c r="AB2" i="1"/>
  <c r="AB124" i="1"/>
  <c r="AE124" i="1"/>
  <c r="AF124" i="1" s="1"/>
  <c r="AB203" i="1"/>
  <c r="AE203" i="1"/>
  <c r="AF203" i="1" s="1"/>
  <c r="AB319" i="1"/>
  <c r="AE319" i="1"/>
  <c r="AF319" i="1" s="1"/>
  <c r="AB634" i="1"/>
  <c r="AE634" i="1"/>
  <c r="AF634" i="1" s="1"/>
  <c r="AA897" i="1"/>
  <c r="AB620" i="1"/>
  <c r="AE620" i="1"/>
  <c r="AF620" i="1" s="1"/>
  <c r="AB152" i="1"/>
  <c r="AE152" i="1"/>
  <c r="AF152" i="1" s="1"/>
  <c r="AB619" i="1"/>
  <c r="AE619" i="1"/>
  <c r="AF619" i="1" s="1"/>
  <c r="AB258" i="1"/>
  <c r="AE258" i="1"/>
  <c r="AF258" i="1" s="1"/>
  <c r="AB302" i="1"/>
  <c r="AE302" i="1"/>
  <c r="AF302" i="1" s="1"/>
  <c r="AB343" i="1"/>
  <c r="AE343" i="1"/>
  <c r="AF343" i="1" s="1"/>
  <c r="AB420" i="1"/>
  <c r="AE420" i="1"/>
  <c r="AF420" i="1" s="1"/>
  <c r="AB513" i="1"/>
  <c r="AE513" i="1"/>
  <c r="AF513" i="1" s="1"/>
  <c r="AE757" i="1"/>
  <c r="AF757" i="1" s="1"/>
  <c r="AB757" i="1"/>
  <c r="AB520" i="1"/>
  <c r="AE520" i="1"/>
  <c r="AF520" i="1" s="1"/>
  <c r="AB590" i="1"/>
  <c r="AE590" i="1"/>
  <c r="AF590" i="1" s="1"/>
  <c r="AE820" i="1"/>
  <c r="AF820" i="1" s="1"/>
  <c r="AB820" i="1"/>
  <c r="AE864" i="1"/>
  <c r="AF864" i="1" s="1"/>
  <c r="AB864" i="1"/>
  <c r="AB892" i="1"/>
  <c r="AE892" i="1"/>
  <c r="AF892" i="1" s="1"/>
  <c r="AB751" i="1"/>
  <c r="AE751" i="1"/>
  <c r="AF751" i="1" s="1"/>
  <c r="AB42" i="1"/>
  <c r="AE42" i="1"/>
  <c r="AF42" i="1" s="1"/>
  <c r="AB173" i="1"/>
  <c r="AE173" i="1"/>
  <c r="AF173" i="1" s="1"/>
  <c r="AB261" i="1"/>
  <c r="AE261" i="1"/>
  <c r="AF261" i="1" s="1"/>
  <c r="AB277" i="1"/>
  <c r="AE277" i="1"/>
  <c r="AF277" i="1" s="1"/>
  <c r="AB320" i="1"/>
  <c r="AE320" i="1"/>
  <c r="AF320" i="1" s="1"/>
  <c r="AB330" i="1"/>
  <c r="AE330" i="1"/>
  <c r="AF330" i="1" s="1"/>
  <c r="AB350" i="1"/>
  <c r="AE350" i="1"/>
  <c r="AF350" i="1" s="1"/>
  <c r="AB444" i="1"/>
  <c r="AE444" i="1"/>
  <c r="AF444" i="1" s="1"/>
  <c r="AB495" i="1"/>
  <c r="AE495" i="1"/>
  <c r="AF495" i="1" s="1"/>
  <c r="AB532" i="1"/>
  <c r="AE532" i="1"/>
  <c r="AF532" i="1" s="1"/>
  <c r="AB624" i="1"/>
  <c r="AE624" i="1"/>
  <c r="AF624" i="1" s="1"/>
  <c r="AB636" i="1"/>
  <c r="AE636" i="1"/>
  <c r="AF636" i="1" s="1"/>
  <c r="Y867" i="1"/>
  <c r="AA867" i="1"/>
  <c r="Q61" i="1"/>
  <c r="P60" i="1"/>
  <c r="AB150" i="1"/>
  <c r="AE150" i="1"/>
  <c r="AF150" i="1" s="1"/>
  <c r="AB372" i="1"/>
  <c r="AE372" i="1"/>
  <c r="AF372" i="1" s="1"/>
  <c r="AB367" i="1"/>
  <c r="AE367" i="1"/>
  <c r="AF367" i="1" s="1"/>
  <c r="AB381" i="1"/>
  <c r="AE381" i="1"/>
  <c r="AF381" i="1" s="1"/>
  <c r="AB238" i="1"/>
  <c r="AE238" i="1"/>
  <c r="AF238" i="1" s="1"/>
  <c r="AB301" i="1"/>
  <c r="AE301" i="1"/>
  <c r="AF301" i="1" s="1"/>
  <c r="AB506" i="1"/>
  <c r="AE506" i="1"/>
  <c r="AF506" i="1" s="1"/>
  <c r="AB535" i="1"/>
  <c r="AE535" i="1"/>
  <c r="AF535" i="1" s="1"/>
  <c r="AB538" i="1"/>
  <c r="AE538" i="1"/>
  <c r="AF538" i="1" s="1"/>
  <c r="AB804" i="1"/>
  <c r="AE804" i="1"/>
  <c r="AF804" i="1" s="1"/>
  <c r="AB783" i="1"/>
  <c r="AE783" i="1"/>
  <c r="AF783" i="1" s="1"/>
  <c r="AB879" i="1"/>
  <c r="AE879" i="1"/>
  <c r="AF879" i="1" s="1"/>
  <c r="AB462" i="1"/>
  <c r="AE462" i="1"/>
  <c r="AF462" i="1" s="1"/>
  <c r="AB593" i="1"/>
  <c r="AE593" i="1"/>
  <c r="AF593" i="1" s="1"/>
  <c r="AB267" i="1"/>
  <c r="AE267" i="1"/>
  <c r="AF267" i="1" s="1"/>
  <c r="AB383" i="1"/>
  <c r="AE383" i="1"/>
  <c r="AF383" i="1" s="1"/>
  <c r="AB587" i="1"/>
  <c r="AE587" i="1"/>
  <c r="AF587" i="1" s="1"/>
  <c r="AB800" i="1"/>
  <c r="AE800" i="1"/>
  <c r="AF800" i="1" s="1"/>
  <c r="AB832" i="1"/>
  <c r="AE832" i="1"/>
  <c r="AF832" i="1" s="1"/>
  <c r="AB146" i="1"/>
  <c r="AE146" i="1"/>
  <c r="AF146" i="1" s="1"/>
  <c r="AB294" i="1"/>
  <c r="AE294" i="1"/>
  <c r="AF294" i="1" s="1"/>
  <c r="AA758" i="1"/>
  <c r="AB779" i="1"/>
  <c r="AE779" i="1"/>
  <c r="AF779" i="1" s="1"/>
  <c r="AB817" i="1"/>
  <c r="AE817" i="1"/>
  <c r="AF817" i="1" s="1"/>
  <c r="AB917" i="1"/>
  <c r="AE917" i="1"/>
  <c r="AF917" i="1" s="1"/>
  <c r="AE895" i="1"/>
  <c r="AF895" i="1" s="1"/>
  <c r="AB895" i="1"/>
  <c r="AB887" i="1"/>
  <c r="AE887" i="1"/>
  <c r="AF887" i="1" s="1"/>
  <c r="AB164" i="1"/>
  <c r="AE164" i="1"/>
  <c r="AF164" i="1" s="1"/>
  <c r="AB340" i="1"/>
  <c r="AE340" i="1"/>
  <c r="AF340" i="1" s="1"/>
  <c r="AB191" i="1"/>
  <c r="AE191" i="1"/>
  <c r="AF191" i="1" s="1"/>
  <c r="AB189" i="1"/>
  <c r="AE189" i="1"/>
  <c r="AF189" i="1" s="1"/>
  <c r="AB257" i="1"/>
  <c r="AE257" i="1"/>
  <c r="AF257" i="1" s="1"/>
  <c r="AB273" i="1"/>
  <c r="AE273" i="1"/>
  <c r="AF273" i="1" s="1"/>
  <c r="AB336" i="1"/>
  <c r="AE336" i="1"/>
  <c r="AF336" i="1" s="1"/>
  <c r="AB439" i="1"/>
  <c r="AE439" i="1"/>
  <c r="AF439" i="1" s="1"/>
  <c r="AB459" i="1"/>
  <c r="AE459" i="1"/>
  <c r="AF459" i="1" s="1"/>
  <c r="AB795" i="1"/>
  <c r="AE795" i="1"/>
  <c r="AF795" i="1" s="1"/>
  <c r="AB797" i="1"/>
  <c r="AE797" i="1"/>
  <c r="AF797" i="1" s="1"/>
  <c r="AB799" i="1"/>
  <c r="AE799" i="1"/>
  <c r="AF799" i="1" s="1"/>
  <c r="AB255" i="1"/>
  <c r="AE255" i="1"/>
  <c r="AF255" i="1" s="1"/>
  <c r="AB889" i="1"/>
  <c r="AE889" i="1"/>
  <c r="AF889" i="1" s="1"/>
  <c r="AB170" i="1"/>
  <c r="AE170" i="1"/>
  <c r="AF170" i="1" s="1"/>
  <c r="AB171" i="1"/>
  <c r="AE171" i="1"/>
  <c r="AF171" i="1" s="1"/>
  <c r="U556" i="1"/>
  <c r="AA555" i="1"/>
  <c r="Y555" i="1"/>
  <c r="AB531" i="1"/>
  <c r="AE531" i="1"/>
  <c r="AF531" i="1" s="1"/>
  <c r="AE841" i="1"/>
  <c r="AF841" i="1" s="1"/>
  <c r="AB841" i="1"/>
  <c r="AB749" i="1"/>
  <c r="AE749" i="1"/>
  <c r="AF749" i="1" s="1"/>
  <c r="AA825" i="1"/>
  <c r="AB813" i="1"/>
  <c r="AE813" i="1"/>
  <c r="AF813" i="1" s="1"/>
  <c r="AB522" i="1"/>
  <c r="AE522" i="1"/>
  <c r="AF522" i="1" s="1"/>
  <c r="AB511" i="1"/>
  <c r="AE511" i="1"/>
  <c r="AF511" i="1" s="1"/>
  <c r="AB807" i="1"/>
  <c r="AE807" i="1"/>
  <c r="AF807" i="1" s="1"/>
  <c r="AB192" i="1"/>
  <c r="AE192" i="1"/>
  <c r="AF192" i="1" s="1"/>
  <c r="AB194" i="1"/>
  <c r="AE194" i="1"/>
  <c r="AF194" i="1" s="1"/>
  <c r="AB195" i="1"/>
  <c r="AE195" i="1"/>
  <c r="AF195" i="1" s="1"/>
  <c r="AB325" i="1"/>
  <c r="AE325" i="1"/>
  <c r="AF325" i="1" s="1"/>
  <c r="AB230" i="1"/>
  <c r="AE230" i="1"/>
  <c r="AF230" i="1" s="1"/>
  <c r="AB621" i="1"/>
  <c r="AE621" i="1"/>
  <c r="AF621" i="1" s="1"/>
  <c r="AB814" i="1"/>
  <c r="AE814" i="1"/>
  <c r="AF814" i="1" s="1"/>
  <c r="AB501" i="1"/>
  <c r="AE501" i="1"/>
  <c r="AF501" i="1" s="1"/>
  <c r="AB756" i="1"/>
  <c r="AE756" i="1"/>
  <c r="AF756" i="1" s="1"/>
  <c r="AB185" i="1"/>
  <c r="AE185" i="1"/>
  <c r="AF185" i="1" s="1"/>
  <c r="Z92" i="1"/>
  <c r="AC92" i="1"/>
  <c r="AD92" i="1" s="1"/>
  <c r="AB379" i="1"/>
  <c r="AE379" i="1"/>
  <c r="AF379" i="1" s="1"/>
  <c r="AB517" i="1"/>
  <c r="AE517" i="1"/>
  <c r="AF517" i="1" s="1"/>
  <c r="AB366" i="1"/>
  <c r="AE366" i="1"/>
  <c r="AF366" i="1" s="1"/>
  <c r="AB60" i="1"/>
  <c r="AE60" i="1"/>
  <c r="AF60" i="1" s="1"/>
  <c r="AB51" i="1"/>
  <c r="AE51" i="1"/>
  <c r="AF51" i="1" s="1"/>
  <c r="AB188" i="1"/>
  <c r="AE188" i="1"/>
  <c r="AF188" i="1" s="1"/>
  <c r="AB244" i="1"/>
  <c r="AE244" i="1"/>
  <c r="AF244" i="1" s="1"/>
  <c r="AB397" i="1"/>
  <c r="AE397" i="1"/>
  <c r="AF397" i="1" s="1"/>
  <c r="AB493" i="1"/>
  <c r="AE493" i="1"/>
  <c r="AF493" i="1" s="1"/>
  <c r="AB458" i="1"/>
  <c r="AE458" i="1"/>
  <c r="AF458" i="1" s="1"/>
  <c r="AB586" i="1"/>
  <c r="AE586" i="1"/>
  <c r="AF586" i="1" s="1"/>
  <c r="AB186" i="1"/>
  <c r="AE186" i="1"/>
  <c r="AF186" i="1" s="1"/>
  <c r="AB187" i="1"/>
  <c r="AE187" i="1"/>
  <c r="AF187" i="1" s="1"/>
  <c r="AB424" i="1"/>
  <c r="AE424" i="1"/>
  <c r="AF424" i="1" s="1"/>
  <c r="AE651" i="1"/>
  <c r="AF651" i="1" s="1"/>
  <c r="AB651" i="1"/>
  <c r="AB784" i="1"/>
  <c r="AE784" i="1"/>
  <c r="AF784" i="1" s="1"/>
  <c r="AB180" i="1"/>
  <c r="AE180" i="1"/>
  <c r="AF180" i="1" s="1"/>
  <c r="AB796" i="1"/>
  <c r="AE796" i="1"/>
  <c r="AF796" i="1" s="1"/>
  <c r="Y896" i="1"/>
  <c r="AB56" i="1"/>
  <c r="AE56" i="1"/>
  <c r="AF56" i="1" s="1"/>
  <c r="S94" i="1"/>
  <c r="X93" i="1"/>
  <c r="AB147" i="1"/>
  <c r="AE147" i="1"/>
  <c r="AF147" i="1" s="1"/>
  <c r="AB49" i="1"/>
  <c r="AE49" i="1"/>
  <c r="AF49" i="1" s="1"/>
  <c r="AB193" i="1"/>
  <c r="AE193" i="1"/>
  <c r="AF193" i="1" s="1"/>
  <c r="AB291" i="1"/>
  <c r="AE291" i="1"/>
  <c r="AF291" i="1" s="1"/>
  <c r="AB375" i="1"/>
  <c r="AE375" i="1"/>
  <c r="AF375" i="1" s="1"/>
  <c r="AB307" i="1"/>
  <c r="AE307" i="1"/>
  <c r="AF307" i="1" s="1"/>
  <c r="AB497" i="1"/>
  <c r="AE497" i="1"/>
  <c r="AF497" i="1" s="1"/>
  <c r="AB725" i="1"/>
  <c r="AE725" i="1"/>
  <c r="AF725" i="1" s="1"/>
  <c r="AB909" i="1"/>
  <c r="AE909" i="1"/>
  <c r="AF909" i="1" s="1"/>
  <c r="AA654" i="1"/>
  <c r="AB839" i="1"/>
  <c r="AE839" i="1"/>
  <c r="AF839" i="1" s="1"/>
  <c r="AB110" i="1"/>
  <c r="AE110" i="1"/>
  <c r="AF110" i="1" s="1"/>
  <c r="AB172" i="1"/>
  <c r="AE172" i="1"/>
  <c r="AF172" i="1" s="1"/>
  <c r="AB254" i="1"/>
  <c r="AE254" i="1"/>
  <c r="AF254" i="1" s="1"/>
  <c r="AB338" i="1"/>
  <c r="AE338" i="1"/>
  <c r="AF338" i="1" s="1"/>
  <c r="AB354" i="1"/>
  <c r="AE354" i="1"/>
  <c r="AF354" i="1" s="1"/>
  <c r="AB528" i="1"/>
  <c r="AE528" i="1"/>
  <c r="AF528" i="1" s="1"/>
  <c r="AB546" i="1"/>
  <c r="AE546" i="1"/>
  <c r="AF546" i="1" s="1"/>
  <c r="AB626" i="1"/>
  <c r="AE626" i="1"/>
  <c r="AF626" i="1" s="1"/>
  <c r="AB693" i="1"/>
  <c r="AE693" i="1"/>
  <c r="AF693" i="1" s="1"/>
  <c r="AB858" i="1"/>
  <c r="AE858" i="1"/>
  <c r="AF858" i="1" s="1"/>
  <c r="AB300" i="1"/>
  <c r="AE300" i="1"/>
  <c r="AF300" i="1" s="1"/>
  <c r="AB197" i="1"/>
  <c r="AE197" i="1"/>
  <c r="AF197" i="1" s="1"/>
  <c r="AB378" i="1"/>
  <c r="AE378" i="1"/>
  <c r="AF378" i="1" s="1"/>
  <c r="AB376" i="1"/>
  <c r="AE376" i="1"/>
  <c r="AF376" i="1" s="1"/>
  <c r="AB309" i="1"/>
  <c r="AE309" i="1"/>
  <c r="AF309" i="1" s="1"/>
  <c r="AA477" i="1"/>
  <c r="U478" i="1"/>
  <c r="Y477" i="1"/>
  <c r="AB405" i="1"/>
  <c r="AE405" i="1"/>
  <c r="AF405" i="1" s="1"/>
  <c r="AB509" i="1"/>
  <c r="AE509" i="1"/>
  <c r="AF509" i="1" s="1"/>
  <c r="AB772" i="1"/>
  <c r="AE772" i="1"/>
  <c r="AF772" i="1" s="1"/>
  <c r="AB181" i="1"/>
  <c r="AE181" i="1"/>
  <c r="AF181" i="1" s="1"/>
  <c r="AB862" i="1"/>
  <c r="AE862" i="1"/>
  <c r="AF862" i="1" s="1"/>
  <c r="AB162" i="1"/>
  <c r="AE162" i="1"/>
  <c r="AF162" i="1" s="1"/>
  <c r="AB373" i="1"/>
  <c r="AE373" i="1"/>
  <c r="AF373" i="1" s="1"/>
  <c r="AB329" i="1"/>
  <c r="AE329" i="1"/>
  <c r="AF329" i="1" s="1"/>
  <c r="AB402" i="1"/>
  <c r="AE402" i="1"/>
  <c r="AF402" i="1" s="1"/>
  <c r="AB721" i="1"/>
  <c r="AE721" i="1"/>
  <c r="AF721" i="1" s="1"/>
  <c r="AB805" i="1"/>
  <c r="AE805" i="1"/>
  <c r="AF805" i="1" s="1"/>
  <c r="AB306" i="1"/>
  <c r="AE306" i="1"/>
  <c r="AF306" i="1" s="1"/>
  <c r="AB102" i="1"/>
  <c r="AE102" i="1"/>
  <c r="AF102" i="1" s="1"/>
  <c r="AB305" i="1"/>
  <c r="AE305" i="1"/>
  <c r="AF305" i="1" s="1"/>
  <c r="U899" i="1"/>
  <c r="AA898" i="1"/>
  <c r="Y898" i="1"/>
  <c r="AB260" i="1"/>
  <c r="AE260" i="1"/>
  <c r="AF260" i="1" s="1"/>
  <c r="AB491" i="1"/>
  <c r="AE491" i="1"/>
  <c r="AF491" i="1" s="1"/>
  <c r="AB30" i="1"/>
  <c r="AE30" i="1"/>
  <c r="AF30" i="1" s="1"/>
  <c r="AB174" i="1"/>
  <c r="AE174" i="1"/>
  <c r="AF174" i="1" s="1"/>
  <c r="AB286" i="1"/>
  <c r="AE286" i="1"/>
  <c r="AF286" i="1" s="1"/>
  <c r="AB512" i="1"/>
  <c r="AE512" i="1"/>
  <c r="AF512" i="1" s="1"/>
  <c r="AB881" i="1"/>
  <c r="AE881" i="1"/>
  <c r="AF881" i="1" s="1"/>
  <c r="AB264" i="1"/>
  <c r="AE264" i="1"/>
  <c r="AF264" i="1" s="1"/>
  <c r="AB312" i="1"/>
  <c r="AE312" i="1"/>
  <c r="AF312" i="1" s="1"/>
  <c r="AB247" i="1"/>
  <c r="AE247" i="1"/>
  <c r="AF247" i="1" s="1"/>
  <c r="AB303" i="1"/>
  <c r="AE303" i="1"/>
  <c r="AF303" i="1" s="1"/>
  <c r="AB403" i="1"/>
  <c r="AE403" i="1"/>
  <c r="AF403" i="1" s="1"/>
  <c r="AB475" i="1"/>
  <c r="AE475" i="1"/>
  <c r="AF475" i="1" s="1"/>
  <c r="AB623" i="1"/>
  <c r="AE623" i="1"/>
  <c r="AF623" i="1" s="1"/>
  <c r="AA759" i="1"/>
  <c r="AB809" i="1"/>
  <c r="AE809" i="1"/>
  <c r="AF809" i="1" s="1"/>
  <c r="AE873" i="1"/>
  <c r="AF873" i="1" s="1"/>
  <c r="AB873" i="1"/>
  <c r="AB271" i="1"/>
  <c r="AE271" i="1"/>
  <c r="AF271" i="1" s="1"/>
  <c r="AB395" i="1"/>
  <c r="AE395" i="1"/>
  <c r="AF395" i="1" s="1"/>
  <c r="AB454" i="1"/>
  <c r="AE454" i="1"/>
  <c r="AF454" i="1" s="1"/>
  <c r="AB545" i="1"/>
  <c r="AE545" i="1"/>
  <c r="AF545" i="1" s="1"/>
  <c r="AB54" i="1"/>
  <c r="AE54" i="1"/>
  <c r="AF54" i="1" s="1"/>
  <c r="AB166" i="1"/>
  <c r="AE166" i="1"/>
  <c r="AF166" i="1" s="1"/>
  <c r="AB344" i="1"/>
  <c r="AE344" i="1"/>
  <c r="AF344" i="1" s="1"/>
  <c r="AB364" i="1"/>
  <c r="AE364" i="1"/>
  <c r="AF364" i="1" s="1"/>
  <c r="AB391" i="1"/>
  <c r="AE391" i="1"/>
  <c r="AF391" i="1" s="1"/>
  <c r="AB476" i="1"/>
  <c r="AE476" i="1"/>
  <c r="AF476" i="1" s="1"/>
  <c r="AB530" i="1"/>
  <c r="AE530" i="1"/>
  <c r="AF530" i="1" s="1"/>
  <c r="AB702" i="1"/>
  <c r="AE702" i="1"/>
  <c r="AF702" i="1" s="1"/>
  <c r="Y843" i="1"/>
  <c r="AB871" i="1"/>
  <c r="AE871" i="1"/>
  <c r="AF871" i="1" s="1"/>
  <c r="AB248" i="1"/>
  <c r="AE248" i="1"/>
  <c r="AF248" i="1" s="1"/>
  <c r="AB550" i="1"/>
  <c r="AE550" i="1"/>
  <c r="AF550" i="1" s="1"/>
  <c r="AB122" i="1"/>
  <c r="AE122" i="1"/>
  <c r="AF122" i="1" s="1"/>
  <c r="AB240" i="1"/>
  <c r="AE240" i="1"/>
  <c r="AF240" i="1" s="1"/>
  <c r="AB250" i="1"/>
  <c r="AE250" i="1"/>
  <c r="AF250" i="1" s="1"/>
  <c r="AB270" i="1"/>
  <c r="AE270" i="1"/>
  <c r="AF270" i="1" s="1"/>
  <c r="AB361" i="1"/>
  <c r="AE361" i="1"/>
  <c r="AF361" i="1" s="1"/>
  <c r="AB368" i="1"/>
  <c r="AE368" i="1"/>
  <c r="AF368" i="1" s="1"/>
  <c r="AB384" i="1"/>
  <c r="AE384" i="1"/>
  <c r="AF384" i="1" s="1"/>
  <c r="AB533" i="1"/>
  <c r="AE533" i="1"/>
  <c r="AF533" i="1" s="1"/>
  <c r="AB542" i="1"/>
  <c r="AE542" i="1"/>
  <c r="AF542" i="1" s="1"/>
  <c r="AA728" i="1"/>
  <c r="Y728" i="1"/>
  <c r="U729" i="1"/>
  <c r="AB723" i="1"/>
  <c r="AE723" i="1"/>
  <c r="AF723" i="1" s="1"/>
  <c r="AB385" i="1"/>
  <c r="AE385" i="1"/>
  <c r="AF385" i="1" s="1"/>
  <c r="AB618" i="1"/>
  <c r="AE618" i="1"/>
  <c r="AF618" i="1" s="1"/>
  <c r="AB724" i="1"/>
  <c r="AE724" i="1"/>
  <c r="AF724" i="1" s="1"/>
  <c r="AB740" i="1"/>
  <c r="AE740" i="1"/>
  <c r="AF740" i="1" s="1"/>
  <c r="AB929" i="1"/>
  <c r="AE929" i="1"/>
  <c r="AF929" i="1" s="1"/>
  <c r="AB86" i="1"/>
  <c r="AE86" i="1"/>
  <c r="AF86" i="1" s="1"/>
  <c r="AB332" i="1"/>
  <c r="AE332" i="1"/>
  <c r="AF332" i="1" s="1"/>
  <c r="AA652" i="1"/>
  <c r="AB696" i="1"/>
  <c r="AE696" i="1"/>
  <c r="AF696" i="1" s="1"/>
  <c r="AB382" i="1"/>
  <c r="AE382" i="1"/>
  <c r="AF382" i="1" s="1"/>
  <c r="AB114" i="1"/>
  <c r="AE114" i="1"/>
  <c r="AF114" i="1" s="1"/>
  <c r="AB308" i="1"/>
  <c r="AE308" i="1"/>
  <c r="AF308" i="1" s="1"/>
  <c r="AB353" i="1"/>
  <c r="AE353" i="1"/>
  <c r="AF353" i="1" s="1"/>
  <c r="AB246" i="1"/>
  <c r="AE246" i="1"/>
  <c r="AF246" i="1" s="1"/>
  <c r="AB328" i="1"/>
  <c r="AE328" i="1"/>
  <c r="AF328" i="1" s="1"/>
  <c r="AB365" i="1"/>
  <c r="AE365" i="1"/>
  <c r="AF365" i="1" s="1"/>
  <c r="AB237" i="1"/>
  <c r="AE237" i="1"/>
  <c r="AF237" i="1" s="1"/>
  <c r="AE549" i="1"/>
  <c r="AF549" i="1" s="1"/>
  <c r="AB549" i="1"/>
  <c r="AA473" i="1"/>
  <c r="AB529" i="1"/>
  <c r="AE529" i="1"/>
  <c r="AF529" i="1" s="1"/>
  <c r="AB716" i="1"/>
  <c r="AE716" i="1"/>
  <c r="AF716" i="1" s="1"/>
  <c r="AB748" i="1"/>
  <c r="AE748" i="1"/>
  <c r="AF748" i="1" s="1"/>
  <c r="AB816" i="1"/>
  <c r="AE816" i="1"/>
  <c r="AF816" i="1" s="1"/>
  <c r="AB63" i="1"/>
  <c r="AE63" i="1"/>
  <c r="AF63" i="1" s="1"/>
  <c r="AB118" i="1"/>
  <c r="AE118" i="1"/>
  <c r="AF118" i="1" s="1"/>
  <c r="AB359" i="1"/>
  <c r="AE359" i="1"/>
  <c r="AF359" i="1" s="1"/>
  <c r="AB390" i="1"/>
  <c r="AE390" i="1"/>
  <c r="AF390" i="1" s="1"/>
  <c r="AB327" i="1"/>
  <c r="AE327" i="1"/>
  <c r="AF327" i="1" s="1"/>
  <c r="AB158" i="1"/>
  <c r="AE158" i="1"/>
  <c r="AF158" i="1" s="1"/>
  <c r="AB588" i="1"/>
  <c r="AE588" i="1"/>
  <c r="AF588" i="1" s="1"/>
  <c r="AB169" i="1"/>
  <c r="AE169" i="1"/>
  <c r="AF169" i="1" s="1"/>
  <c r="AB311" i="1"/>
  <c r="AE311" i="1"/>
  <c r="AF311" i="1" s="1"/>
  <c r="AB176" i="1"/>
  <c r="AE176" i="1"/>
  <c r="AF176" i="1" s="1"/>
  <c r="AB474" i="1"/>
  <c r="AE474" i="1"/>
  <c r="AF474" i="1" s="1"/>
  <c r="AB594" i="1"/>
  <c r="AE594" i="1"/>
  <c r="AF594" i="1" s="1"/>
  <c r="AB33" i="1"/>
  <c r="AE33" i="1"/>
  <c r="AF33" i="1" s="1"/>
  <c r="AB168" i="1"/>
  <c r="AE168" i="1"/>
  <c r="AF168" i="1" s="1"/>
  <c r="AB280" i="1"/>
  <c r="AE280" i="1"/>
  <c r="AF280" i="1" s="1"/>
  <c r="AB239" i="1"/>
  <c r="AE239" i="1"/>
  <c r="AF239" i="1" s="1"/>
  <c r="AB242" i="1"/>
  <c r="AE242" i="1"/>
  <c r="AF242" i="1" s="1"/>
  <c r="AB269" i="1"/>
  <c r="AE269" i="1"/>
  <c r="AF269" i="1" s="1"/>
  <c r="AB342" i="1"/>
  <c r="AE342" i="1"/>
  <c r="AF342" i="1" s="1"/>
  <c r="AB524" i="1"/>
  <c r="AE524" i="1"/>
  <c r="AF524" i="1" s="1"/>
  <c r="AB503" i="1"/>
  <c r="AE503" i="1"/>
  <c r="AF503" i="1" s="1"/>
  <c r="AB708" i="1"/>
  <c r="AE708" i="1"/>
  <c r="AF708" i="1" s="1"/>
  <c r="Y823" i="1"/>
  <c r="AB55" i="1"/>
  <c r="AE55" i="1"/>
  <c r="AF55" i="1" s="1"/>
  <c r="AB876" i="1"/>
  <c r="AE876" i="1"/>
  <c r="AF876" i="1" s="1"/>
  <c r="AB324" i="1"/>
  <c r="AE324" i="1"/>
  <c r="AF324" i="1" s="1"/>
  <c r="AB292" i="1"/>
  <c r="AE292" i="1"/>
  <c r="AF292" i="1" s="1"/>
  <c r="AB333" i="1"/>
  <c r="AE333" i="1"/>
  <c r="AF333" i="1" s="1"/>
  <c r="AB527" i="1"/>
  <c r="AE527" i="1"/>
  <c r="AF527" i="1" s="1"/>
  <c r="AB515" i="1"/>
  <c r="AE515" i="1"/>
  <c r="AF515" i="1" s="1"/>
  <c r="U656" i="1"/>
  <c r="Y655" i="1"/>
  <c r="AA655" i="1"/>
  <c r="AB259" i="1"/>
  <c r="AE259" i="1"/>
  <c r="AF259" i="1" s="1"/>
  <c r="AB275" i="1"/>
  <c r="AE275" i="1"/>
  <c r="AF275" i="1" s="1"/>
  <c r="AE615" i="1"/>
  <c r="AF615" i="1" s="1"/>
  <c r="AB615" i="1"/>
  <c r="AB803" i="1"/>
  <c r="AE803" i="1"/>
  <c r="AF803" i="1" s="1"/>
  <c r="AA653" i="1"/>
  <c r="AB802" i="1"/>
  <c r="AE802" i="1"/>
  <c r="AF802" i="1" s="1"/>
  <c r="AB178" i="1"/>
  <c r="AE178" i="1"/>
  <c r="AF178" i="1" s="1"/>
  <c r="AB310" i="1"/>
  <c r="AE310" i="1"/>
  <c r="AF310" i="1" s="1"/>
  <c r="AB471" i="1"/>
  <c r="AE471" i="1"/>
  <c r="AF471" i="1" s="1"/>
  <c r="AB451" i="1"/>
  <c r="AE451" i="1"/>
  <c r="AF451" i="1" s="1"/>
  <c r="U743" i="1"/>
  <c r="AA742" i="1"/>
  <c r="Y742" i="1"/>
  <c r="AB770" i="1"/>
  <c r="AE770" i="1"/>
  <c r="AF770" i="1" s="1"/>
  <c r="AB869" i="1"/>
  <c r="AE869" i="1"/>
  <c r="AF869" i="1" s="1"/>
  <c r="AB149" i="1"/>
  <c r="AE149" i="1"/>
  <c r="AF149" i="1" s="1"/>
  <c r="Y654" i="1"/>
  <c r="AB921" i="1"/>
  <c r="AE921" i="1"/>
  <c r="AF921" i="1" s="1"/>
  <c r="AB157" i="1"/>
  <c r="AE157" i="1"/>
  <c r="AF157" i="1" s="1"/>
  <c r="AB249" i="1"/>
  <c r="AE249" i="1"/>
  <c r="AF249" i="1" s="1"/>
  <c r="AB265" i="1"/>
  <c r="AE265" i="1"/>
  <c r="AF265" i="1" s="1"/>
  <c r="AB281" i="1"/>
  <c r="AE281" i="1"/>
  <c r="AF281" i="1" s="1"/>
  <c r="AB349" i="1"/>
  <c r="AE349" i="1"/>
  <c r="AF349" i="1" s="1"/>
  <c r="AB592" i="1"/>
  <c r="AE592" i="1"/>
  <c r="AF592" i="1" s="1"/>
  <c r="AB806" i="1"/>
  <c r="AE806" i="1"/>
  <c r="AF806" i="1" s="1"/>
  <c r="AB872" i="1"/>
  <c r="AE872" i="1"/>
  <c r="AF872" i="1" s="1"/>
  <c r="AB279" i="1"/>
  <c r="AE279" i="1"/>
  <c r="AF279" i="1" s="1"/>
  <c r="AB523" i="1"/>
  <c r="AE523" i="1"/>
  <c r="AF523" i="1" s="1"/>
  <c r="Y824" i="1"/>
  <c r="Y842" i="1"/>
  <c r="AB888" i="1"/>
  <c r="AE888" i="1"/>
  <c r="AF888" i="1" s="1"/>
  <c r="AB304" i="1"/>
  <c r="AE304" i="1"/>
  <c r="AF304" i="1" s="1"/>
  <c r="AB526" i="1"/>
  <c r="AE526" i="1"/>
  <c r="AF526" i="1" s="1"/>
  <c r="AB537" i="1"/>
  <c r="AE537" i="1"/>
  <c r="AF537" i="1" s="1"/>
  <c r="AB163" i="1"/>
  <c r="AE163" i="1"/>
  <c r="AF163" i="1" s="1"/>
  <c r="Y473" i="1"/>
  <c r="AB777" i="1"/>
  <c r="AE777" i="1"/>
  <c r="AF777" i="1" s="1"/>
  <c r="AB263" i="1"/>
  <c r="AE263" i="1"/>
  <c r="AF263" i="1" s="1"/>
  <c r="AB449" i="1"/>
  <c r="AE449" i="1"/>
  <c r="AF449" i="1" s="1"/>
  <c r="AB589" i="1"/>
  <c r="AE589" i="1"/>
  <c r="AF589" i="1" s="1"/>
  <c r="AB788" i="1"/>
  <c r="AE788" i="1"/>
  <c r="AF788" i="1" s="1"/>
  <c r="AB863" i="1"/>
  <c r="AE863" i="1"/>
  <c r="AF863" i="1" s="1"/>
  <c r="AB241" i="1"/>
  <c r="AE241" i="1"/>
  <c r="AF241" i="1" s="1"/>
  <c r="AB866" i="1"/>
  <c r="AE866" i="1"/>
  <c r="AF866" i="1" s="1"/>
  <c r="AB251" i="1"/>
  <c r="AE251" i="1"/>
  <c r="AF251" i="1" s="1"/>
  <c r="AB791" i="1"/>
  <c r="AE791" i="1"/>
  <c r="AF791" i="1" s="1"/>
  <c r="AB276" i="1"/>
  <c r="AE276" i="1"/>
  <c r="AF276" i="1" s="1"/>
  <c r="AB394" i="1"/>
  <c r="AE394" i="1"/>
  <c r="AF394" i="1" s="1"/>
  <c r="U845" i="1"/>
  <c r="AA844" i="1"/>
  <c r="Y844" i="1"/>
  <c r="AB780" i="1"/>
  <c r="AE780" i="1"/>
  <c r="AF780" i="1" s="1"/>
  <c r="AB3" i="1"/>
  <c r="AE3" i="1"/>
  <c r="AF3" i="1" s="1"/>
  <c r="Q94" i="1"/>
  <c r="P93" i="1"/>
  <c r="AB371" i="1"/>
  <c r="AE371" i="1"/>
  <c r="AF371" i="1" s="1"/>
  <c r="AB516" i="1"/>
  <c r="AE516" i="1"/>
  <c r="AF516" i="1" s="1"/>
  <c r="AB616" i="1"/>
  <c r="AE616" i="1"/>
  <c r="AF616" i="1" s="1"/>
  <c r="AB790" i="1"/>
  <c r="AE790" i="1"/>
  <c r="AF790" i="1" s="1"/>
  <c r="AA821" i="1"/>
  <c r="AA823" i="1"/>
  <c r="AA7" i="1"/>
  <c r="Z7" i="1"/>
  <c r="Y7" i="1"/>
  <c r="AC7" i="1"/>
  <c r="AD7" i="1" s="1"/>
  <c r="AB351" i="1"/>
  <c r="AE351" i="1"/>
  <c r="AF351" i="1" s="1"/>
  <c r="AB232" i="1"/>
  <c r="AE232" i="1"/>
  <c r="AF232" i="1" s="1"/>
  <c r="AB153" i="1"/>
  <c r="AE153" i="1"/>
  <c r="AF153" i="1" s="1"/>
  <c r="AB355" i="1"/>
  <c r="AE355" i="1"/>
  <c r="AF355" i="1" s="1"/>
  <c r="AB345" i="1"/>
  <c r="AE345" i="1"/>
  <c r="AF345" i="1" s="1"/>
  <c r="AB358" i="1"/>
  <c r="AE358" i="1"/>
  <c r="AF358" i="1" s="1"/>
  <c r="AB445" i="1"/>
  <c r="AE445" i="1"/>
  <c r="AF445" i="1" s="1"/>
  <c r="AB726" i="1"/>
  <c r="AE726" i="1"/>
  <c r="AF726" i="1" s="1"/>
  <c r="AB196" i="1"/>
  <c r="AE196" i="1"/>
  <c r="AF196" i="1" s="1"/>
  <c r="AB167" i="1"/>
  <c r="AE167" i="1"/>
  <c r="AF167" i="1" s="1"/>
  <c r="AB505" i="1"/>
  <c r="AE505" i="1"/>
  <c r="AF505" i="1" s="1"/>
  <c r="AB591" i="1"/>
  <c r="AE591" i="1"/>
  <c r="AF591" i="1" s="1"/>
  <c r="AB637" i="1"/>
  <c r="AE637" i="1"/>
  <c r="AF637" i="1" s="1"/>
  <c r="AA843" i="1"/>
  <c r="AB457" i="1"/>
  <c r="AE457" i="1"/>
  <c r="AF457" i="1" s="1"/>
  <c r="AB502" i="1"/>
  <c r="AE502" i="1"/>
  <c r="AF502" i="1" s="1"/>
  <c r="AB88" i="1"/>
  <c r="AE88" i="1"/>
  <c r="AF88" i="1" s="1"/>
  <c r="AB106" i="1"/>
  <c r="AE106" i="1"/>
  <c r="AF106" i="1" s="1"/>
  <c r="AB347" i="1"/>
  <c r="AE347" i="1"/>
  <c r="AF347" i="1" s="1"/>
  <c r="AB374" i="1"/>
  <c r="AE374" i="1"/>
  <c r="AF374" i="1" s="1"/>
  <c r="AB337" i="1"/>
  <c r="AE337" i="1"/>
  <c r="AF337" i="1" s="1"/>
  <c r="AB404" i="1"/>
  <c r="AE404" i="1"/>
  <c r="AF404" i="1" s="1"/>
  <c r="AE739" i="1"/>
  <c r="AF739" i="1" s="1"/>
  <c r="AB739" i="1"/>
  <c r="AB819" i="1"/>
  <c r="AE819" i="1"/>
  <c r="AF819" i="1" s="1"/>
  <c r="AB190" i="1"/>
  <c r="AE190" i="1"/>
  <c r="AF190" i="1" s="1"/>
  <c r="AB159" i="1"/>
  <c r="AE159" i="1"/>
  <c r="AF159" i="1" s="1"/>
  <c r="AB58" i="1"/>
  <c r="AE58" i="1"/>
  <c r="AF58" i="1" s="1"/>
  <c r="AB638" i="1"/>
  <c r="AE638" i="1"/>
  <c r="AF638" i="1" s="1"/>
  <c r="AE650" i="1"/>
  <c r="AF650" i="1" s="1"/>
  <c r="AB650" i="1"/>
  <c r="AB705" i="1"/>
  <c r="AE705" i="1"/>
  <c r="AF705" i="1" s="1"/>
  <c r="AB768" i="1"/>
  <c r="AE768" i="1"/>
  <c r="AF768" i="1" s="1"/>
  <c r="AB627" i="1"/>
  <c r="AE627" i="1"/>
  <c r="AF627" i="1" s="1"/>
  <c r="AB697" i="1"/>
  <c r="AE697" i="1"/>
  <c r="AF697" i="1" s="1"/>
  <c r="AB6" i="1"/>
  <c r="AE6" i="1"/>
  <c r="AF6" i="1" s="1"/>
  <c r="AB94" i="1"/>
  <c r="AE94" i="1"/>
  <c r="AF94" i="1" s="1"/>
  <c r="AB184" i="1"/>
  <c r="AE184" i="1"/>
  <c r="AF184" i="1" s="1"/>
  <c r="AB231" i="1"/>
  <c r="AE231" i="1"/>
  <c r="AF231" i="1" s="1"/>
  <c r="AB268" i="1"/>
  <c r="AE268" i="1"/>
  <c r="AF268" i="1" s="1"/>
  <c r="AB363" i="1"/>
  <c r="AE363" i="1"/>
  <c r="AF363" i="1" s="1"/>
  <c r="AB456" i="1"/>
  <c r="AE456" i="1"/>
  <c r="AF456" i="1" s="1"/>
  <c r="AB295" i="1"/>
  <c r="AE295" i="1"/>
  <c r="AF295" i="1" s="1"/>
  <c r="AB335" i="1"/>
  <c r="AE335" i="1"/>
  <c r="AF335" i="1" s="1"/>
  <c r="AB298" i="1"/>
  <c r="AE298" i="1"/>
  <c r="AF298" i="1" s="1"/>
  <c r="AB441" i="1"/>
  <c r="AE441" i="1"/>
  <c r="AF441" i="1" s="1"/>
  <c r="Y652" i="1"/>
  <c r="AB801" i="1"/>
  <c r="AE801" i="1"/>
  <c r="AF801" i="1" s="1"/>
  <c r="AB137" i="1"/>
  <c r="AE137" i="1"/>
  <c r="AF137" i="1" s="1"/>
  <c r="AB129" i="1"/>
  <c r="AE129" i="1"/>
  <c r="AF129" i="1" s="1"/>
  <c r="AB161" i="1"/>
  <c r="AE161" i="1"/>
  <c r="AF161" i="1" s="1"/>
  <c r="AB266" i="1"/>
  <c r="AE266" i="1"/>
  <c r="AF266" i="1" s="1"/>
  <c r="AB282" i="1"/>
  <c r="AE282" i="1"/>
  <c r="AF282" i="1" s="1"/>
  <c r="AB299" i="1"/>
  <c r="AE299" i="1"/>
  <c r="AF299" i="1" s="1"/>
  <c r="AB362" i="1"/>
  <c r="AE362" i="1"/>
  <c r="AF362" i="1" s="1"/>
  <c r="AB396" i="1"/>
  <c r="AE396" i="1"/>
  <c r="AF396" i="1" s="1"/>
  <c r="AB514" i="1"/>
  <c r="AE514" i="1"/>
  <c r="AF514" i="1" s="1"/>
  <c r="AB554" i="1"/>
  <c r="AE554" i="1"/>
  <c r="AF554" i="1" s="1"/>
  <c r="AB631" i="1"/>
  <c r="AE631" i="1"/>
  <c r="AF631" i="1" s="1"/>
  <c r="AB715" i="1"/>
  <c r="AE715" i="1"/>
  <c r="AF715" i="1" s="1"/>
  <c r="Y727" i="1"/>
  <c r="AB781" i="1"/>
  <c r="AE781" i="1"/>
  <c r="AF781" i="1" s="1"/>
  <c r="Y865" i="1"/>
  <c r="AB175" i="1"/>
  <c r="AE175" i="1"/>
  <c r="AF175" i="1" s="1"/>
  <c r="AB487" i="1"/>
  <c r="AE487" i="1"/>
  <c r="AF487" i="1" s="1"/>
  <c r="AB534" i="1"/>
  <c r="AE534" i="1"/>
  <c r="AF534" i="1" s="1"/>
  <c r="AB433" i="1"/>
  <c r="AE433" i="1"/>
  <c r="AF433" i="1" s="1"/>
  <c r="AB400" i="1"/>
  <c r="AE400" i="1"/>
  <c r="AF400" i="1" s="1"/>
  <c r="AE472" i="1"/>
  <c r="AF472" i="1" s="1"/>
  <c r="AB472" i="1"/>
  <c r="AB625" i="1"/>
  <c r="AE625" i="1"/>
  <c r="AF625" i="1" s="1"/>
  <c r="AB274" i="1"/>
  <c r="AE274" i="1"/>
  <c r="AF274" i="1" s="1"/>
  <c r="AB466" i="1"/>
  <c r="AE466" i="1"/>
  <c r="AF466" i="1" s="1"/>
  <c r="AB455" i="1"/>
  <c r="AE455" i="1"/>
  <c r="AF455" i="1" s="1"/>
  <c r="AB389" i="1"/>
  <c r="AE389" i="1"/>
  <c r="AF389" i="1" s="1"/>
  <c r="AB464" i="1"/>
  <c r="AE464" i="1"/>
  <c r="AF464" i="1" s="1"/>
  <c r="U827" i="1"/>
  <c r="AA826" i="1"/>
  <c r="Y826" i="1"/>
  <c r="W8" i="1"/>
  <c r="T9" i="1"/>
  <c r="AB154" i="1"/>
  <c r="AE154" i="1"/>
  <c r="AF154" i="1" s="1"/>
  <c r="AB155" i="1"/>
  <c r="AE155" i="1"/>
  <c r="AF155" i="1" s="1"/>
  <c r="AB798" i="1"/>
  <c r="AE798" i="1"/>
  <c r="AF798" i="1" s="1"/>
  <c r="AB880" i="1"/>
  <c r="AE880" i="1"/>
  <c r="AF880" i="1" s="1"/>
  <c r="AB182" i="1"/>
  <c r="AE182" i="1"/>
  <c r="AF182" i="1" s="1"/>
  <c r="AB41" i="1"/>
  <c r="AE41" i="1"/>
  <c r="AF41" i="1" s="1"/>
  <c r="AB148" i="1"/>
  <c r="AE148" i="1"/>
  <c r="AF148" i="1" s="1"/>
  <c r="AB165" i="1"/>
  <c r="AE165" i="1"/>
  <c r="AF165" i="1" s="1"/>
  <c r="AB719" i="1"/>
  <c r="AE719" i="1"/>
  <c r="AF719" i="1" s="1"/>
  <c r="AB834" i="1"/>
  <c r="AE834" i="1"/>
  <c r="AF834" i="1" s="1"/>
  <c r="AB893" i="1"/>
  <c r="AE893" i="1"/>
  <c r="AF893" i="1" s="1"/>
  <c r="AB151" i="1"/>
  <c r="AE151" i="1"/>
  <c r="AF151" i="1" s="1"/>
  <c r="AB31" i="1"/>
  <c r="AE31" i="1"/>
  <c r="AF31" i="1" s="1"/>
  <c r="AB179" i="1"/>
  <c r="AE179" i="1"/>
  <c r="AF179" i="1" s="1"/>
  <c r="AB380" i="1"/>
  <c r="AE380" i="1"/>
  <c r="AF380" i="1" s="1"/>
  <c r="AB370" i="1"/>
  <c r="AE370" i="1"/>
  <c r="AF370" i="1" s="1"/>
  <c r="AB331" i="1"/>
  <c r="AE331" i="1"/>
  <c r="AF331" i="1" s="1"/>
  <c r="AB392" i="1"/>
  <c r="AE392" i="1"/>
  <c r="AF392" i="1" s="1"/>
  <c r="AB692" i="1"/>
  <c r="AE692" i="1"/>
  <c r="AF692" i="1" s="1"/>
  <c r="Y758" i="1"/>
  <c r="AB741" i="1"/>
  <c r="AE741" i="1"/>
  <c r="AF741" i="1" s="1"/>
  <c r="AA822" i="1"/>
  <c r="AB145" i="1"/>
  <c r="AE145" i="1"/>
  <c r="AF145" i="1" s="1"/>
  <c r="AB296" i="1"/>
  <c r="AE296" i="1"/>
  <c r="AF296" i="1" s="1"/>
  <c r="AB346" i="1"/>
  <c r="AE346" i="1"/>
  <c r="AF346" i="1" s="1"/>
  <c r="AB360" i="1"/>
  <c r="AE360" i="1"/>
  <c r="AF360" i="1" s="1"/>
  <c r="AB393" i="1"/>
  <c r="AE393" i="1"/>
  <c r="AF393" i="1" s="1"/>
  <c r="AB510" i="1"/>
  <c r="AE510" i="1"/>
  <c r="AF510" i="1" s="1"/>
  <c r="AB519" i="1"/>
  <c r="AE519" i="1"/>
  <c r="AF519" i="1" s="1"/>
  <c r="AB789" i="1"/>
  <c r="AE789" i="1"/>
  <c r="AF789" i="1" s="1"/>
  <c r="AB341" i="1"/>
  <c r="AE341" i="1"/>
  <c r="AF341" i="1" s="1"/>
  <c r="AB47" i="1"/>
  <c r="AE47" i="1"/>
  <c r="AF47" i="1" s="1"/>
  <c r="AB293" i="1"/>
  <c r="AE293" i="1"/>
  <c r="AF293" i="1" s="1"/>
  <c r="AB369" i="1"/>
  <c r="AE369" i="1"/>
  <c r="AF369" i="1" s="1"/>
  <c r="AB386" i="1"/>
  <c r="AE386" i="1"/>
  <c r="AF386" i="1" s="1"/>
  <c r="AB401" i="1"/>
  <c r="AE401" i="1"/>
  <c r="AF401" i="1" s="1"/>
  <c r="AB504" i="1"/>
  <c r="AE504" i="1"/>
  <c r="AF504" i="1" s="1"/>
  <c r="AB463" i="1"/>
  <c r="AE463" i="1"/>
  <c r="AF463" i="1" s="1"/>
  <c r="AA824" i="1"/>
  <c r="Y825" i="1"/>
  <c r="AA842" i="1"/>
  <c r="AB297" i="1"/>
  <c r="AE297" i="1"/>
  <c r="AF297" i="1" s="1"/>
  <c r="AB377" i="1"/>
  <c r="AE377" i="1"/>
  <c r="AF377" i="1" s="1"/>
  <c r="AB406" i="1"/>
  <c r="AE406" i="1"/>
  <c r="AF406" i="1" s="1"/>
  <c r="AB835" i="1"/>
  <c r="AE835" i="1"/>
  <c r="AF835" i="1" s="1"/>
  <c r="AB815" i="1"/>
  <c r="AE815" i="1"/>
  <c r="AF815" i="1" s="1"/>
  <c r="AB253" i="1"/>
  <c r="AE253" i="1"/>
  <c r="AF253" i="1" s="1"/>
  <c r="AB229" i="1"/>
  <c r="AE229" i="1"/>
  <c r="AF229" i="1" s="1"/>
  <c r="AE130" i="1"/>
  <c r="AF130" i="1" s="1"/>
  <c r="AB130" i="1"/>
  <c r="AB896" i="1"/>
  <c r="AE896" i="1"/>
  <c r="AF896" i="1" s="1"/>
  <c r="AB39" i="1"/>
  <c r="AE39" i="1"/>
  <c r="AF39" i="1" s="1"/>
  <c r="AB388" i="1"/>
  <c r="AE388" i="1"/>
  <c r="AF388" i="1" s="1"/>
  <c r="AB98" i="1"/>
  <c r="AE98" i="1"/>
  <c r="AF98" i="1" s="1"/>
  <c r="AB156" i="1"/>
  <c r="AE156" i="1"/>
  <c r="AF156" i="1" s="1"/>
  <c r="AB243" i="1"/>
  <c r="AE243" i="1"/>
  <c r="AF243" i="1" s="1"/>
  <c r="U761" i="1"/>
  <c r="AA760" i="1"/>
  <c r="Y760" i="1"/>
  <c r="Y821" i="1"/>
  <c r="AB256" i="1"/>
  <c r="AE256" i="1"/>
  <c r="AF256" i="1" s="1"/>
  <c r="AB272" i="1"/>
  <c r="AE272" i="1"/>
  <c r="AF272" i="1" s="1"/>
  <c r="AB508" i="1"/>
  <c r="AE508" i="1"/>
  <c r="AF508" i="1" s="1"/>
  <c r="AB461" i="1"/>
  <c r="AE461" i="1"/>
  <c r="AF461" i="1" s="1"/>
  <c r="AB925" i="1"/>
  <c r="AE925" i="1"/>
  <c r="AF925" i="1" s="1"/>
  <c r="AB252" i="1"/>
  <c r="AE252" i="1"/>
  <c r="AF252" i="1" s="1"/>
  <c r="AB356" i="1"/>
  <c r="AE356" i="1"/>
  <c r="AF356" i="1" s="1"/>
  <c r="AB443" i="1"/>
  <c r="AE443" i="1"/>
  <c r="AF443" i="1" s="1"/>
  <c r="AB5" i="1"/>
  <c r="AE5" i="1"/>
  <c r="AF5" i="1" s="1"/>
  <c r="AB334" i="1"/>
  <c r="AE334" i="1"/>
  <c r="AF334" i="1" s="1"/>
  <c r="AB352" i="1"/>
  <c r="AE352" i="1"/>
  <c r="AF352" i="1" s="1"/>
  <c r="AB428" i="1"/>
  <c r="AE428" i="1"/>
  <c r="AF428" i="1" s="1"/>
  <c r="AB553" i="1"/>
  <c r="AE553" i="1"/>
  <c r="AF553" i="1" s="1"/>
  <c r="AB518" i="1"/>
  <c r="AE518" i="1"/>
  <c r="AF518" i="1" s="1"/>
  <c r="AB633" i="1"/>
  <c r="AE633" i="1"/>
  <c r="AF633" i="1" s="1"/>
  <c r="AB704" i="1"/>
  <c r="AE704" i="1"/>
  <c r="AF704" i="1" s="1"/>
  <c r="AB348" i="1"/>
  <c r="AE348" i="1"/>
  <c r="AF348" i="1" s="1"/>
  <c r="AB521" i="1"/>
  <c r="AE521" i="1"/>
  <c r="AF521" i="1" s="1"/>
  <c r="AB773" i="1"/>
  <c r="AE773" i="1"/>
  <c r="AF773" i="1" s="1"/>
  <c r="AB160" i="1"/>
  <c r="AE160" i="1"/>
  <c r="AF160" i="1" s="1"/>
  <c r="AB177" i="1"/>
  <c r="AE177" i="1"/>
  <c r="AF177" i="1" s="1"/>
  <c r="AB262" i="1"/>
  <c r="AE262" i="1"/>
  <c r="AF262" i="1" s="1"/>
  <c r="AB278" i="1"/>
  <c r="AE278" i="1"/>
  <c r="AF278" i="1" s="1"/>
  <c r="AB245" i="1"/>
  <c r="AE245" i="1"/>
  <c r="AF245" i="1" s="1"/>
  <c r="AB499" i="1"/>
  <c r="AE499" i="1"/>
  <c r="AF499" i="1" s="1"/>
  <c r="AB525" i="1"/>
  <c r="AE525" i="1"/>
  <c r="AF525" i="1" s="1"/>
  <c r="AB507" i="1"/>
  <c r="AE507" i="1"/>
  <c r="AF507" i="1" s="1"/>
  <c r="AB543" i="1"/>
  <c r="AE543" i="1"/>
  <c r="AF543" i="1" s="1"/>
  <c r="Y940" i="1"/>
  <c r="U941" i="1"/>
  <c r="AA940" i="1"/>
  <c r="AB387" i="1"/>
  <c r="AE387" i="1"/>
  <c r="AF387" i="1" s="1"/>
  <c r="Y897" i="1"/>
  <c r="AB339" i="1"/>
  <c r="AE339" i="1"/>
  <c r="AF339" i="1" s="1"/>
  <c r="AB323" i="1"/>
  <c r="AE323" i="1"/>
  <c r="AF323" i="1" s="1"/>
  <c r="AB489" i="1"/>
  <c r="AE489" i="1"/>
  <c r="AF489" i="1" s="1"/>
  <c r="AE552" i="1"/>
  <c r="AF552" i="1" s="1"/>
  <c r="AB552" i="1"/>
  <c r="AB840" i="1"/>
  <c r="AE840" i="1"/>
  <c r="AF840" i="1" s="1"/>
  <c r="AB357" i="1"/>
  <c r="AE357" i="1"/>
  <c r="AF357" i="1" s="1"/>
  <c r="AB452" i="1"/>
  <c r="AE452" i="1"/>
  <c r="AF452" i="1" s="1"/>
  <c r="AB536" i="1"/>
  <c r="AE536" i="1"/>
  <c r="AF536" i="1" s="1"/>
  <c r="AB551" i="1"/>
  <c r="AE551" i="1"/>
  <c r="AF551" i="1" s="1"/>
  <c r="AB718" i="1"/>
  <c r="AE718" i="1"/>
  <c r="AF718" i="1" s="1"/>
  <c r="AB707" i="1"/>
  <c r="AE707" i="1"/>
  <c r="AF707" i="1" s="1"/>
  <c r="AB698" i="1"/>
  <c r="AE698" i="1"/>
  <c r="AF698" i="1" s="1"/>
  <c r="AA727" i="1"/>
  <c r="AB913" i="1"/>
  <c r="AE913" i="1"/>
  <c r="AF913" i="1" s="1"/>
  <c r="AB787" i="1"/>
  <c r="AE787" i="1"/>
  <c r="AF787" i="1" s="1"/>
  <c r="AA865" i="1"/>
  <c r="AB183" i="1"/>
  <c r="AE183" i="1"/>
  <c r="AF183" i="1" s="1"/>
  <c r="AB842" i="1" l="1"/>
  <c r="AE842" i="1"/>
  <c r="AF842" i="1" s="1"/>
  <c r="AB826" i="1"/>
  <c r="AE826" i="1"/>
  <c r="AF826" i="1" s="1"/>
  <c r="U479" i="1"/>
  <c r="AA478" i="1"/>
  <c r="Y478" i="1"/>
  <c r="AB758" i="1"/>
  <c r="AE758" i="1"/>
  <c r="AF758" i="1" s="1"/>
  <c r="AB727" i="1"/>
  <c r="AE727" i="1"/>
  <c r="AF727" i="1" s="1"/>
  <c r="U828" i="1"/>
  <c r="Y827" i="1"/>
  <c r="AA827" i="1"/>
  <c r="U657" i="1"/>
  <c r="Y656" i="1"/>
  <c r="AA656" i="1"/>
  <c r="AB898" i="1"/>
  <c r="AE898" i="1"/>
  <c r="AF898" i="1" s="1"/>
  <c r="AE477" i="1"/>
  <c r="AF477" i="1" s="1"/>
  <c r="AB477" i="1"/>
  <c r="AB760" i="1"/>
  <c r="AE760" i="1"/>
  <c r="AF760" i="1" s="1"/>
  <c r="AB824" i="1"/>
  <c r="AE824" i="1"/>
  <c r="AF824" i="1" s="1"/>
  <c r="AE742" i="1"/>
  <c r="AF742" i="1" s="1"/>
  <c r="AB742" i="1"/>
  <c r="AE652" i="1"/>
  <c r="AF652" i="1" s="1"/>
  <c r="AB652" i="1"/>
  <c r="U900" i="1"/>
  <c r="Y899" i="1"/>
  <c r="AA899" i="1"/>
  <c r="AB654" i="1"/>
  <c r="AE654" i="1"/>
  <c r="AF654" i="1" s="1"/>
  <c r="U762" i="1"/>
  <c r="Y761" i="1"/>
  <c r="AA761" i="1"/>
  <c r="AB822" i="1"/>
  <c r="AE822" i="1"/>
  <c r="AF822" i="1" s="1"/>
  <c r="AB7" i="1"/>
  <c r="AE7" i="1"/>
  <c r="AF7" i="1" s="1"/>
  <c r="U744" i="1"/>
  <c r="Y743" i="1"/>
  <c r="AA743" i="1"/>
  <c r="Y729" i="1"/>
  <c r="U730" i="1"/>
  <c r="AA729" i="1"/>
  <c r="AB759" i="1"/>
  <c r="AE759" i="1"/>
  <c r="AF759" i="1" s="1"/>
  <c r="AB865" i="1"/>
  <c r="AE865" i="1"/>
  <c r="AF865" i="1" s="1"/>
  <c r="AB823" i="1"/>
  <c r="AE823" i="1"/>
  <c r="AF823" i="1" s="1"/>
  <c r="AB825" i="1"/>
  <c r="AE825" i="1"/>
  <c r="AF825" i="1" s="1"/>
  <c r="AB555" i="1"/>
  <c r="AE555" i="1"/>
  <c r="AF555" i="1" s="1"/>
  <c r="Q62" i="1"/>
  <c r="P61" i="1"/>
  <c r="AE940" i="1"/>
  <c r="AF940" i="1" s="1"/>
  <c r="AB940" i="1"/>
  <c r="T10" i="1"/>
  <c r="W9" i="1"/>
  <c r="AB843" i="1"/>
  <c r="AE843" i="1"/>
  <c r="AF843" i="1" s="1"/>
  <c r="AB821" i="1"/>
  <c r="AE821" i="1"/>
  <c r="AF821" i="1" s="1"/>
  <c r="AB844" i="1"/>
  <c r="AE844" i="1"/>
  <c r="AF844" i="1" s="1"/>
  <c r="AB473" i="1"/>
  <c r="AE473" i="1"/>
  <c r="AF473" i="1" s="1"/>
  <c r="AE728" i="1"/>
  <c r="AF728" i="1" s="1"/>
  <c r="AB728" i="1"/>
  <c r="AC93" i="1"/>
  <c r="AD93" i="1" s="1"/>
  <c r="Z93" i="1"/>
  <c r="U557" i="1"/>
  <c r="Y556" i="1"/>
  <c r="AA556" i="1"/>
  <c r="AB867" i="1"/>
  <c r="AE867" i="1"/>
  <c r="AF867" i="1" s="1"/>
  <c r="AB897" i="1"/>
  <c r="AE897" i="1"/>
  <c r="AF897" i="1" s="1"/>
  <c r="U942" i="1"/>
  <c r="AA941" i="1"/>
  <c r="Y941" i="1"/>
  <c r="AC8" i="1"/>
  <c r="AD8" i="1" s="1"/>
  <c r="AA8" i="1"/>
  <c r="Z8" i="1"/>
  <c r="Y8" i="1"/>
  <c r="U846" i="1"/>
  <c r="Y845" i="1"/>
  <c r="AA845" i="1"/>
  <c r="AB653" i="1"/>
  <c r="AE653" i="1"/>
  <c r="AF653" i="1" s="1"/>
  <c r="X94" i="1"/>
  <c r="S95" i="1"/>
  <c r="P94" i="1"/>
  <c r="Q95" i="1"/>
  <c r="AE655" i="1"/>
  <c r="AF655" i="1" s="1"/>
  <c r="AB655" i="1"/>
  <c r="U731" i="1" l="1"/>
  <c r="AA730" i="1"/>
  <c r="Y730" i="1"/>
  <c r="U901" i="1"/>
  <c r="AA900" i="1"/>
  <c r="Y900" i="1"/>
  <c r="AB827" i="1"/>
  <c r="AE827" i="1"/>
  <c r="AF827" i="1" s="1"/>
  <c r="AB761" i="1"/>
  <c r="AE761" i="1"/>
  <c r="AF761" i="1" s="1"/>
  <c r="AE941" i="1"/>
  <c r="AF941" i="1" s="1"/>
  <c r="AB941" i="1"/>
  <c r="U558" i="1"/>
  <c r="AA557" i="1"/>
  <c r="Y557" i="1"/>
  <c r="AB743" i="1"/>
  <c r="AE743" i="1"/>
  <c r="AF743" i="1" s="1"/>
  <c r="AA762" i="1"/>
  <c r="U763" i="1"/>
  <c r="Y762" i="1"/>
  <c r="P62" i="1"/>
  <c r="Q63" i="1"/>
  <c r="P63" i="1" s="1"/>
  <c r="U745" i="1"/>
  <c r="Y744" i="1"/>
  <c r="AA744" i="1"/>
  <c r="S96" i="1"/>
  <c r="X95" i="1"/>
  <c r="AB899" i="1"/>
  <c r="AE899" i="1"/>
  <c r="AF899" i="1" s="1"/>
  <c r="AB556" i="1"/>
  <c r="AE556" i="1"/>
  <c r="AF556" i="1" s="1"/>
  <c r="T11" i="1"/>
  <c r="W10" i="1"/>
  <c r="U480" i="1"/>
  <c r="AA479" i="1"/>
  <c r="Y479" i="1"/>
  <c r="AE845" i="1"/>
  <c r="AF845" i="1" s="1"/>
  <c r="AB845" i="1"/>
  <c r="AA828" i="1"/>
  <c r="U829" i="1"/>
  <c r="Y828" i="1"/>
  <c r="Y942" i="1"/>
  <c r="U943" i="1"/>
  <c r="AA942" i="1"/>
  <c r="P95" i="1"/>
  <c r="Q96" i="1"/>
  <c r="U847" i="1"/>
  <c r="AA846" i="1"/>
  <c r="Y846" i="1"/>
  <c r="AB656" i="1"/>
  <c r="AE656" i="1"/>
  <c r="AF656" i="1" s="1"/>
  <c r="AC94" i="1"/>
  <c r="AD94" i="1" s="1"/>
  <c r="Z94" i="1"/>
  <c r="AB8" i="1"/>
  <c r="AE8" i="1"/>
  <c r="AF8" i="1" s="1"/>
  <c r="AC9" i="1"/>
  <c r="AD9" i="1" s="1"/>
  <c r="AA9" i="1"/>
  <c r="Z9" i="1"/>
  <c r="Y9" i="1"/>
  <c r="AE729" i="1"/>
  <c r="AF729" i="1" s="1"/>
  <c r="AB729" i="1"/>
  <c r="U658" i="1"/>
  <c r="Y657" i="1"/>
  <c r="AA657" i="1"/>
  <c r="AB478" i="1"/>
  <c r="AE478" i="1"/>
  <c r="AF478" i="1" s="1"/>
  <c r="U659" i="1" l="1"/>
  <c r="Y658" i="1"/>
  <c r="AA658" i="1"/>
  <c r="Q97" i="1"/>
  <c r="P96" i="1"/>
  <c r="U559" i="1"/>
  <c r="Y558" i="1"/>
  <c r="AA558" i="1"/>
  <c r="U902" i="1"/>
  <c r="AA901" i="1"/>
  <c r="Y901" i="1"/>
  <c r="U481" i="1"/>
  <c r="Y480" i="1"/>
  <c r="AA480" i="1"/>
  <c r="AA10" i="1"/>
  <c r="Z10" i="1"/>
  <c r="Y10" i="1"/>
  <c r="AC10" i="1"/>
  <c r="AD10" i="1" s="1"/>
  <c r="AB744" i="1"/>
  <c r="AE744" i="1"/>
  <c r="AF744" i="1" s="1"/>
  <c r="U732" i="1"/>
  <c r="AA731" i="1"/>
  <c r="Y731" i="1"/>
  <c r="AB657" i="1"/>
  <c r="AE657" i="1"/>
  <c r="AF657" i="1" s="1"/>
  <c r="AE846" i="1"/>
  <c r="AF846" i="1" s="1"/>
  <c r="AB846" i="1"/>
  <c r="U830" i="1"/>
  <c r="Y829" i="1"/>
  <c r="AA829" i="1"/>
  <c r="W11" i="1"/>
  <c r="T12" i="1"/>
  <c r="AB900" i="1"/>
  <c r="AE900" i="1"/>
  <c r="AF900" i="1" s="1"/>
  <c r="AE942" i="1"/>
  <c r="AF942" i="1" s="1"/>
  <c r="AB942" i="1"/>
  <c r="U944" i="1"/>
  <c r="AA943" i="1"/>
  <c r="Y943" i="1"/>
  <c r="AB479" i="1"/>
  <c r="AE479" i="1"/>
  <c r="AF479" i="1" s="1"/>
  <c r="AC95" i="1"/>
  <c r="AD95" i="1" s="1"/>
  <c r="Z95" i="1"/>
  <c r="U764" i="1"/>
  <c r="Y763" i="1"/>
  <c r="AA763" i="1"/>
  <c r="S97" i="1"/>
  <c r="X96" i="1"/>
  <c r="AE762" i="1"/>
  <c r="AF762" i="1" s="1"/>
  <c r="AB762" i="1"/>
  <c r="AB730" i="1"/>
  <c r="AE730" i="1"/>
  <c r="AF730" i="1" s="1"/>
  <c r="AB9" i="1"/>
  <c r="AE9" i="1"/>
  <c r="AF9" i="1" s="1"/>
  <c r="U848" i="1"/>
  <c r="AA847" i="1"/>
  <c r="Y847" i="1"/>
  <c r="AE828" i="1"/>
  <c r="AF828" i="1" s="1"/>
  <c r="AB828" i="1"/>
  <c r="U746" i="1"/>
  <c r="Y745" i="1"/>
  <c r="AA745" i="1"/>
  <c r="AE557" i="1"/>
  <c r="AF557" i="1" s="1"/>
  <c r="AB557" i="1"/>
  <c r="AE763" i="1" l="1"/>
  <c r="AF763" i="1" s="1"/>
  <c r="AB763" i="1"/>
  <c r="AB731" i="1"/>
  <c r="AE731" i="1"/>
  <c r="AF731" i="1" s="1"/>
  <c r="U560" i="1"/>
  <c r="Y559" i="1"/>
  <c r="AA559" i="1"/>
  <c r="U945" i="1"/>
  <c r="Y944" i="1"/>
  <c r="AA944" i="1"/>
  <c r="AA746" i="1"/>
  <c r="U747" i="1"/>
  <c r="Y746" i="1"/>
  <c r="Q98" i="1"/>
  <c r="P97" i="1"/>
  <c r="AB901" i="1"/>
  <c r="AE901" i="1"/>
  <c r="AF901" i="1" s="1"/>
  <c r="U660" i="1"/>
  <c r="AA659" i="1"/>
  <c r="Y659" i="1"/>
  <c r="AB847" i="1"/>
  <c r="AE847" i="1"/>
  <c r="AF847" i="1" s="1"/>
  <c r="Z96" i="1"/>
  <c r="AC96" i="1"/>
  <c r="AD96" i="1" s="1"/>
  <c r="T13" i="1"/>
  <c r="W12" i="1"/>
  <c r="AB558" i="1"/>
  <c r="AE558" i="1"/>
  <c r="AF558" i="1" s="1"/>
  <c r="AB745" i="1"/>
  <c r="AE745" i="1"/>
  <c r="AF745" i="1" s="1"/>
  <c r="Y830" i="1"/>
  <c r="AA830" i="1"/>
  <c r="U482" i="1"/>
  <c r="Y481" i="1"/>
  <c r="AA481" i="1"/>
  <c r="AB658" i="1"/>
  <c r="AE658" i="1"/>
  <c r="AF658" i="1" s="1"/>
  <c r="U903" i="1"/>
  <c r="AA902" i="1"/>
  <c r="Y902" i="1"/>
  <c r="U849" i="1"/>
  <c r="Y848" i="1"/>
  <c r="AA848" i="1"/>
  <c r="S98" i="1"/>
  <c r="X97" i="1"/>
  <c r="AC11" i="1"/>
  <c r="AD11" i="1" s="1"/>
  <c r="AA11" i="1"/>
  <c r="Z11" i="1"/>
  <c r="Y11" i="1"/>
  <c r="AB10" i="1"/>
  <c r="AE10" i="1"/>
  <c r="AF10" i="1" s="1"/>
  <c r="AB829" i="1"/>
  <c r="AE829" i="1"/>
  <c r="AF829" i="1" s="1"/>
  <c r="AA732" i="1"/>
  <c r="Y732" i="1"/>
  <c r="U733" i="1"/>
  <c r="AE943" i="1"/>
  <c r="AF943" i="1" s="1"/>
  <c r="AB943" i="1"/>
  <c r="AB480" i="1"/>
  <c r="AE480" i="1"/>
  <c r="AF480" i="1" s="1"/>
  <c r="U765" i="1"/>
  <c r="Y764" i="1"/>
  <c r="AA764" i="1"/>
  <c r="AE732" i="1" l="1"/>
  <c r="AF732" i="1" s="1"/>
  <c r="AB732" i="1"/>
  <c r="P98" i="1"/>
  <c r="Q99" i="1"/>
  <c r="S99" i="1"/>
  <c r="X98" i="1"/>
  <c r="AB848" i="1"/>
  <c r="AE848" i="1"/>
  <c r="AF848" i="1" s="1"/>
  <c r="AE481" i="1"/>
  <c r="AF481" i="1" s="1"/>
  <c r="AB481" i="1"/>
  <c r="AE659" i="1"/>
  <c r="AF659" i="1" s="1"/>
  <c r="AB659" i="1"/>
  <c r="AB746" i="1"/>
  <c r="AE746" i="1"/>
  <c r="AF746" i="1" s="1"/>
  <c r="Z12" i="1"/>
  <c r="Y12" i="1"/>
  <c r="AC12" i="1"/>
  <c r="AD12" i="1" s="1"/>
  <c r="AA12" i="1"/>
  <c r="U850" i="1"/>
  <c r="AA849" i="1"/>
  <c r="Y849" i="1"/>
  <c r="U483" i="1"/>
  <c r="Y482" i="1"/>
  <c r="AA482" i="1"/>
  <c r="T14" i="1"/>
  <c r="W13" i="1"/>
  <c r="U946" i="1"/>
  <c r="Y945" i="1"/>
  <c r="AA945" i="1"/>
  <c r="U766" i="1"/>
  <c r="AA765" i="1"/>
  <c r="Y765" i="1"/>
  <c r="AA747" i="1"/>
  <c r="Y747" i="1"/>
  <c r="U661" i="1"/>
  <c r="AA660" i="1"/>
  <c r="Y660" i="1"/>
  <c r="AB944" i="1"/>
  <c r="AE944" i="1"/>
  <c r="AF944" i="1" s="1"/>
  <c r="Y733" i="1"/>
  <c r="U734" i="1"/>
  <c r="AA733" i="1"/>
  <c r="AB830" i="1"/>
  <c r="AE830" i="1"/>
  <c r="AF830" i="1" s="1"/>
  <c r="AB764" i="1"/>
  <c r="AE764" i="1"/>
  <c r="AF764" i="1" s="1"/>
  <c r="AB11" i="1"/>
  <c r="AE11" i="1"/>
  <c r="AF11" i="1" s="1"/>
  <c r="AB902" i="1"/>
  <c r="AE902" i="1"/>
  <c r="AF902" i="1" s="1"/>
  <c r="AB559" i="1"/>
  <c r="AE559" i="1"/>
  <c r="AF559" i="1" s="1"/>
  <c r="U904" i="1"/>
  <c r="AA903" i="1"/>
  <c r="Y903" i="1"/>
  <c r="AC97" i="1"/>
  <c r="AD97" i="1" s="1"/>
  <c r="Z97" i="1"/>
  <c r="U561" i="1"/>
  <c r="AA560" i="1"/>
  <c r="Y560" i="1"/>
  <c r="AB903" i="1" l="1"/>
  <c r="AE903" i="1"/>
  <c r="AF903" i="1" s="1"/>
  <c r="AE560" i="1"/>
  <c r="AF560" i="1" s="1"/>
  <c r="AB560" i="1"/>
  <c r="U662" i="1"/>
  <c r="AA661" i="1"/>
  <c r="Y661" i="1"/>
  <c r="U851" i="1"/>
  <c r="AA850" i="1"/>
  <c r="Y850" i="1"/>
  <c r="U562" i="1"/>
  <c r="AA561" i="1"/>
  <c r="Y561" i="1"/>
  <c r="AE733" i="1"/>
  <c r="AF733" i="1" s="1"/>
  <c r="AB733" i="1"/>
  <c r="AB12" i="1"/>
  <c r="AE12" i="1"/>
  <c r="AF12" i="1" s="1"/>
  <c r="U735" i="1"/>
  <c r="AA734" i="1"/>
  <c r="Y734" i="1"/>
  <c r="AE747" i="1"/>
  <c r="AF747" i="1" s="1"/>
  <c r="AB747" i="1"/>
  <c r="T15" i="1"/>
  <c r="W14" i="1"/>
  <c r="AB482" i="1"/>
  <c r="AE482" i="1"/>
  <c r="AF482" i="1" s="1"/>
  <c r="U484" i="1"/>
  <c r="AA483" i="1"/>
  <c r="Y483" i="1"/>
  <c r="AB660" i="1"/>
  <c r="AE660" i="1"/>
  <c r="AF660" i="1" s="1"/>
  <c r="P99" i="1"/>
  <c r="Q100" i="1"/>
  <c r="Y946" i="1"/>
  <c r="AA946" i="1"/>
  <c r="AC13" i="1"/>
  <c r="AD13" i="1" s="1"/>
  <c r="Z13" i="1"/>
  <c r="AA13" i="1"/>
  <c r="Y13" i="1"/>
  <c r="AE765" i="1"/>
  <c r="AF765" i="1" s="1"/>
  <c r="AB765" i="1"/>
  <c r="Y766" i="1"/>
  <c r="AA766" i="1"/>
  <c r="Z98" i="1"/>
  <c r="AC98" i="1"/>
  <c r="AD98" i="1" s="1"/>
  <c r="U905" i="1"/>
  <c r="AA904" i="1"/>
  <c r="Y904" i="1"/>
  <c r="AE945" i="1"/>
  <c r="AF945" i="1" s="1"/>
  <c r="AB945" i="1"/>
  <c r="S100" i="1"/>
  <c r="X99" i="1"/>
  <c r="AE849" i="1"/>
  <c r="AF849" i="1" s="1"/>
  <c r="AB849" i="1"/>
  <c r="Q101" i="1" l="1"/>
  <c r="P100" i="1"/>
  <c r="Z14" i="1"/>
  <c r="Y14" i="1"/>
  <c r="AC14" i="1"/>
  <c r="AD14" i="1" s="1"/>
  <c r="AA14" i="1"/>
  <c r="U852" i="1"/>
  <c r="AA851" i="1"/>
  <c r="Y851" i="1"/>
  <c r="AB850" i="1"/>
  <c r="AE850" i="1"/>
  <c r="AF850" i="1" s="1"/>
  <c r="AB904" i="1"/>
  <c r="AE904" i="1"/>
  <c r="AF904" i="1" s="1"/>
  <c r="W15" i="1"/>
  <c r="T16" i="1"/>
  <c r="U906" i="1"/>
  <c r="AA905" i="1"/>
  <c r="Y905" i="1"/>
  <c r="AB13" i="1"/>
  <c r="AE13" i="1"/>
  <c r="AF13" i="1" s="1"/>
  <c r="AB661" i="1"/>
  <c r="AE661" i="1"/>
  <c r="AF661" i="1" s="1"/>
  <c r="U663" i="1"/>
  <c r="Y662" i="1"/>
  <c r="AA662" i="1"/>
  <c r="AC99" i="1"/>
  <c r="AD99" i="1" s="1"/>
  <c r="Z99" i="1"/>
  <c r="AE483" i="1"/>
  <c r="AF483" i="1" s="1"/>
  <c r="AB483" i="1"/>
  <c r="AB561" i="1"/>
  <c r="AE561" i="1"/>
  <c r="AF561" i="1" s="1"/>
  <c r="S101" i="1"/>
  <c r="X100" i="1"/>
  <c r="AB766" i="1"/>
  <c r="AE766" i="1"/>
  <c r="AF766" i="1" s="1"/>
  <c r="AE946" i="1"/>
  <c r="AF946" i="1" s="1"/>
  <c r="AB946" i="1"/>
  <c r="U485" i="1"/>
  <c r="AA484" i="1"/>
  <c r="Y484" i="1"/>
  <c r="AB734" i="1"/>
  <c r="AE734" i="1"/>
  <c r="AF734" i="1" s="1"/>
  <c r="U563" i="1"/>
  <c r="AA562" i="1"/>
  <c r="Y562" i="1"/>
  <c r="AA735" i="1"/>
  <c r="Y735" i="1"/>
  <c r="S102" i="1" l="1"/>
  <c r="X101" i="1"/>
  <c r="AA906" i="1"/>
  <c r="Y906" i="1"/>
  <c r="AB851" i="1"/>
  <c r="AE851" i="1"/>
  <c r="AF851" i="1" s="1"/>
  <c r="U564" i="1"/>
  <c r="AA563" i="1"/>
  <c r="Y563" i="1"/>
  <c r="AB484" i="1"/>
  <c r="AE484" i="1"/>
  <c r="AF484" i="1" s="1"/>
  <c r="U664" i="1"/>
  <c r="AA663" i="1"/>
  <c r="Y663" i="1"/>
  <c r="T17" i="1"/>
  <c r="W16" i="1"/>
  <c r="U853" i="1"/>
  <c r="AA852" i="1"/>
  <c r="Y852" i="1"/>
  <c r="AB735" i="1"/>
  <c r="AE735" i="1"/>
  <c r="AF735" i="1" s="1"/>
  <c r="U486" i="1"/>
  <c r="AA485" i="1"/>
  <c r="Y485" i="1"/>
  <c r="AC15" i="1"/>
  <c r="AD15" i="1" s="1"/>
  <c r="AA15" i="1"/>
  <c r="Z15" i="1"/>
  <c r="Y15" i="1"/>
  <c r="AB14" i="1"/>
  <c r="AE14" i="1"/>
  <c r="AF14" i="1" s="1"/>
  <c r="AB562" i="1"/>
  <c r="AE562" i="1"/>
  <c r="AF562" i="1" s="1"/>
  <c r="Z100" i="1"/>
  <c r="AC100" i="1"/>
  <c r="AD100" i="1" s="1"/>
  <c r="AE662" i="1"/>
  <c r="AF662" i="1" s="1"/>
  <c r="AB662" i="1"/>
  <c r="AE905" i="1"/>
  <c r="AF905" i="1" s="1"/>
  <c r="AB905" i="1"/>
  <c r="Q102" i="1"/>
  <c r="P101" i="1"/>
  <c r="Y16" i="1" l="1"/>
  <c r="AC16" i="1"/>
  <c r="AD16" i="1" s="1"/>
  <c r="AA16" i="1"/>
  <c r="Z16" i="1"/>
  <c r="AB563" i="1"/>
  <c r="AE563" i="1"/>
  <c r="AF563" i="1" s="1"/>
  <c r="P102" i="1"/>
  <c r="Q103" i="1"/>
  <c r="AE485" i="1"/>
  <c r="AF485" i="1" s="1"/>
  <c r="AB485" i="1"/>
  <c r="T18" i="1"/>
  <c r="W17" i="1"/>
  <c r="U565" i="1"/>
  <c r="AA564" i="1"/>
  <c r="Y564" i="1"/>
  <c r="AA486" i="1"/>
  <c r="Y486" i="1"/>
  <c r="AE663" i="1"/>
  <c r="AF663" i="1" s="1"/>
  <c r="AB663" i="1"/>
  <c r="U665" i="1"/>
  <c r="AA664" i="1"/>
  <c r="Y664" i="1"/>
  <c r="AB906" i="1"/>
  <c r="AE906" i="1"/>
  <c r="AF906" i="1" s="1"/>
  <c r="AB15" i="1"/>
  <c r="AE15" i="1"/>
  <c r="AF15" i="1" s="1"/>
  <c r="AB852" i="1"/>
  <c r="AE852" i="1"/>
  <c r="AF852" i="1" s="1"/>
  <c r="AC101" i="1"/>
  <c r="AD101" i="1" s="1"/>
  <c r="Z101" i="1"/>
  <c r="U854" i="1"/>
  <c r="AA853" i="1"/>
  <c r="Y853" i="1"/>
  <c r="X102" i="1"/>
  <c r="S103" i="1"/>
  <c r="AB853" i="1" l="1"/>
  <c r="AE853" i="1"/>
  <c r="AF853" i="1" s="1"/>
  <c r="AE486" i="1"/>
  <c r="AF486" i="1" s="1"/>
  <c r="AB486" i="1"/>
  <c r="P103" i="1"/>
  <c r="Q104" i="1"/>
  <c r="U855" i="1"/>
  <c r="AA854" i="1"/>
  <c r="Y854" i="1"/>
  <c r="AB564" i="1"/>
  <c r="AE564" i="1"/>
  <c r="AF564" i="1" s="1"/>
  <c r="AB664" i="1"/>
  <c r="AE664" i="1"/>
  <c r="AF664" i="1" s="1"/>
  <c r="U566" i="1"/>
  <c r="AA565" i="1"/>
  <c r="Y565" i="1"/>
  <c r="U666" i="1"/>
  <c r="Y665" i="1"/>
  <c r="AA665" i="1"/>
  <c r="Y17" i="1"/>
  <c r="AC17" i="1"/>
  <c r="AD17" i="1" s="1"/>
  <c r="AA17" i="1"/>
  <c r="Z17" i="1"/>
  <c r="S104" i="1"/>
  <c r="X103" i="1"/>
  <c r="T19" i="1"/>
  <c r="W18" i="1"/>
  <c r="AB16" i="1"/>
  <c r="AE16" i="1"/>
  <c r="AF16" i="1" s="1"/>
  <c r="AC102" i="1"/>
  <c r="AD102" i="1" s="1"/>
  <c r="Z102" i="1"/>
  <c r="S105" i="1" l="1"/>
  <c r="X104" i="1"/>
  <c r="AB854" i="1"/>
  <c r="AE854" i="1"/>
  <c r="AF854" i="1" s="1"/>
  <c r="U667" i="1"/>
  <c r="Y666" i="1"/>
  <c r="AA666" i="1"/>
  <c r="AE565" i="1"/>
  <c r="AF565" i="1" s="1"/>
  <c r="AB565" i="1"/>
  <c r="U856" i="1"/>
  <c r="Y855" i="1"/>
  <c r="AA855" i="1"/>
  <c r="AC103" i="1"/>
  <c r="AD103" i="1" s="1"/>
  <c r="Z103" i="1"/>
  <c r="AB17" i="1"/>
  <c r="AE17" i="1"/>
  <c r="AF17" i="1" s="1"/>
  <c r="U567" i="1"/>
  <c r="Y566" i="1"/>
  <c r="AA566" i="1"/>
  <c r="Q105" i="1"/>
  <c r="P104" i="1"/>
  <c r="AC18" i="1"/>
  <c r="AD18" i="1" s="1"/>
  <c r="AA18" i="1"/>
  <c r="Z18" i="1"/>
  <c r="Y18" i="1"/>
  <c r="AB665" i="1"/>
  <c r="AE665" i="1"/>
  <c r="AF665" i="1" s="1"/>
  <c r="T20" i="1"/>
  <c r="W19" i="1"/>
  <c r="AA19" i="1" l="1"/>
  <c r="Z19" i="1"/>
  <c r="Y19" i="1"/>
  <c r="AC19" i="1"/>
  <c r="AD19" i="1" s="1"/>
  <c r="U668" i="1"/>
  <c r="AA667" i="1"/>
  <c r="Y667" i="1"/>
  <c r="Q106" i="1"/>
  <c r="P105" i="1"/>
  <c r="AB855" i="1"/>
  <c r="AE855" i="1"/>
  <c r="AF855" i="1" s="1"/>
  <c r="AC104" i="1"/>
  <c r="AD104" i="1" s="1"/>
  <c r="Z104" i="1"/>
  <c r="S106" i="1"/>
  <c r="X105" i="1"/>
  <c r="T21" i="1"/>
  <c r="W20" i="1"/>
  <c r="AB566" i="1"/>
  <c r="AE566" i="1"/>
  <c r="AF566" i="1" s="1"/>
  <c r="AA856" i="1"/>
  <c r="Y856" i="1"/>
  <c r="U568" i="1"/>
  <c r="Y567" i="1"/>
  <c r="AA567" i="1"/>
  <c r="AB18" i="1"/>
  <c r="AE18" i="1"/>
  <c r="AF18" i="1" s="1"/>
  <c r="AB666" i="1"/>
  <c r="AE666" i="1"/>
  <c r="AF666" i="1" s="1"/>
  <c r="U569" i="1" l="1"/>
  <c r="AA568" i="1"/>
  <c r="Y568" i="1"/>
  <c r="U669" i="1"/>
  <c r="Y668" i="1"/>
  <c r="AA668" i="1"/>
  <c r="AB856" i="1"/>
  <c r="AE856" i="1"/>
  <c r="AF856" i="1" s="1"/>
  <c r="AB19" i="1"/>
  <c r="AE19" i="1"/>
  <c r="AF19" i="1" s="1"/>
  <c r="AB567" i="1"/>
  <c r="AE567" i="1"/>
  <c r="AF567" i="1" s="1"/>
  <c r="T22" i="1"/>
  <c r="W21" i="1"/>
  <c r="P106" i="1"/>
  <c r="Q107" i="1"/>
  <c r="X106" i="1"/>
  <c r="S107" i="1"/>
  <c r="AB667" i="1"/>
  <c r="AE667" i="1"/>
  <c r="AF667" i="1" s="1"/>
  <c r="AA20" i="1"/>
  <c r="Z20" i="1"/>
  <c r="Y20" i="1"/>
  <c r="AC20" i="1"/>
  <c r="AD20" i="1" s="1"/>
  <c r="AC105" i="1"/>
  <c r="AD105" i="1" s="1"/>
  <c r="Z105" i="1"/>
  <c r="AB20" i="1" l="1"/>
  <c r="AE20" i="1"/>
  <c r="AF20" i="1" s="1"/>
  <c r="U670" i="1"/>
  <c r="Y669" i="1"/>
  <c r="AA669" i="1"/>
  <c r="S108" i="1"/>
  <c r="X107" i="1"/>
  <c r="AC106" i="1"/>
  <c r="AD106" i="1" s="1"/>
  <c r="Z106" i="1"/>
  <c r="U570" i="1"/>
  <c r="Y569" i="1"/>
  <c r="AA569" i="1"/>
  <c r="P107" i="1"/>
  <c r="Q108" i="1"/>
  <c r="AC21" i="1"/>
  <c r="AD21" i="1" s="1"/>
  <c r="AA21" i="1"/>
  <c r="Y21" i="1"/>
  <c r="Z21" i="1"/>
  <c r="AB668" i="1"/>
  <c r="AE668" i="1"/>
  <c r="AF668" i="1" s="1"/>
  <c r="T23" i="1"/>
  <c r="W22" i="1"/>
  <c r="AE568" i="1"/>
  <c r="AF568" i="1" s="1"/>
  <c r="AB568" i="1"/>
  <c r="W23" i="1" l="1"/>
  <c r="T24" i="1"/>
  <c r="AB21" i="1"/>
  <c r="AE21" i="1"/>
  <c r="AF21" i="1" s="1"/>
  <c r="Z22" i="1"/>
  <c r="AC22" i="1"/>
  <c r="AD22" i="1" s="1"/>
  <c r="AA22" i="1"/>
  <c r="Y22" i="1"/>
  <c r="Q109" i="1"/>
  <c r="P108" i="1"/>
  <c r="S109" i="1"/>
  <c r="X108" i="1"/>
  <c r="AB669" i="1"/>
  <c r="AE669" i="1"/>
  <c r="AF669" i="1" s="1"/>
  <c r="AB569" i="1"/>
  <c r="AE569" i="1"/>
  <c r="AF569" i="1" s="1"/>
  <c r="U671" i="1"/>
  <c r="AA670" i="1"/>
  <c r="Y670" i="1"/>
  <c r="U571" i="1"/>
  <c r="AA570" i="1"/>
  <c r="Y570" i="1"/>
  <c r="AC107" i="1"/>
  <c r="AD107" i="1" s="1"/>
  <c r="Z107" i="1"/>
  <c r="AB570" i="1" l="1"/>
  <c r="AE570" i="1"/>
  <c r="AF570" i="1" s="1"/>
  <c r="U572" i="1"/>
  <c r="AA571" i="1"/>
  <c r="Y571" i="1"/>
  <c r="AC108" i="1"/>
  <c r="AD108" i="1" s="1"/>
  <c r="Z108" i="1"/>
  <c r="AB670" i="1"/>
  <c r="AE670" i="1"/>
  <c r="AF670" i="1" s="1"/>
  <c r="T25" i="1"/>
  <c r="W24" i="1"/>
  <c r="U672" i="1"/>
  <c r="Y671" i="1"/>
  <c r="AA671" i="1"/>
  <c r="Q110" i="1"/>
  <c r="P109" i="1"/>
  <c r="AC23" i="1"/>
  <c r="AD23" i="1" s="1"/>
  <c r="AA23" i="1"/>
  <c r="Z23" i="1"/>
  <c r="Y23" i="1"/>
  <c r="S110" i="1"/>
  <c r="X109" i="1"/>
  <c r="AE22" i="1"/>
  <c r="AF22" i="1" s="1"/>
  <c r="AB22" i="1"/>
  <c r="U673" i="1" l="1"/>
  <c r="AA672" i="1"/>
  <c r="Y672" i="1"/>
  <c r="U573" i="1"/>
  <c r="AA572" i="1"/>
  <c r="Y572" i="1"/>
  <c r="AB23" i="1"/>
  <c r="AE23" i="1"/>
  <c r="AF23" i="1" s="1"/>
  <c r="T26" i="1"/>
  <c r="W25" i="1"/>
  <c r="AC109" i="1"/>
  <c r="AD109" i="1" s="1"/>
  <c r="Z109" i="1"/>
  <c r="AB671" i="1"/>
  <c r="AE671" i="1"/>
  <c r="AF671" i="1" s="1"/>
  <c r="X110" i="1"/>
  <c r="S111" i="1"/>
  <c r="AB571" i="1"/>
  <c r="AE571" i="1"/>
  <c r="AF571" i="1" s="1"/>
  <c r="AC24" i="1"/>
  <c r="AD24" i="1" s="1"/>
  <c r="AA24" i="1"/>
  <c r="Z24" i="1"/>
  <c r="Y24" i="1"/>
  <c r="P110" i="1"/>
  <c r="Q111" i="1"/>
  <c r="AB24" i="1" l="1"/>
  <c r="AE24" i="1"/>
  <c r="AF24" i="1" s="1"/>
  <c r="W26" i="1"/>
  <c r="T27" i="1"/>
  <c r="W27" i="1" s="1"/>
  <c r="U674" i="1"/>
  <c r="AA673" i="1"/>
  <c r="Y673" i="1"/>
  <c r="P111" i="1"/>
  <c r="Q112" i="1"/>
  <c r="S112" i="1"/>
  <c r="X111" i="1"/>
  <c r="AB572" i="1"/>
  <c r="AE572" i="1"/>
  <c r="AF572" i="1" s="1"/>
  <c r="U574" i="1"/>
  <c r="Y573" i="1"/>
  <c r="AA573" i="1"/>
  <c r="Y25" i="1"/>
  <c r="AC25" i="1"/>
  <c r="AD25" i="1" s="1"/>
  <c r="AA25" i="1"/>
  <c r="Z25" i="1"/>
  <c r="AB672" i="1"/>
  <c r="AE672" i="1"/>
  <c r="AF672" i="1" s="1"/>
  <c r="AC110" i="1"/>
  <c r="AD110" i="1" s="1"/>
  <c r="Z110" i="1"/>
  <c r="S113" i="1" l="1"/>
  <c r="X112" i="1"/>
  <c r="AB573" i="1"/>
  <c r="AE573" i="1"/>
  <c r="AF573" i="1" s="1"/>
  <c r="U575" i="1"/>
  <c r="AA574" i="1"/>
  <c r="Y574" i="1"/>
  <c r="AB673" i="1"/>
  <c r="AE673" i="1"/>
  <c r="AF673" i="1" s="1"/>
  <c r="U675" i="1"/>
  <c r="AA674" i="1"/>
  <c r="Y674" i="1"/>
  <c r="AA27" i="1"/>
  <c r="Z27" i="1"/>
  <c r="Y27" i="1"/>
  <c r="AC27" i="1"/>
  <c r="AD27" i="1" s="1"/>
  <c r="AB25" i="1"/>
  <c r="AE25" i="1"/>
  <c r="AF25" i="1" s="1"/>
  <c r="AC111" i="1"/>
  <c r="AD111" i="1" s="1"/>
  <c r="Z111" i="1"/>
  <c r="AA26" i="1"/>
  <c r="Z26" i="1"/>
  <c r="Y26" i="1"/>
  <c r="AC26" i="1"/>
  <c r="AD26" i="1" s="1"/>
  <c r="Q113" i="1"/>
  <c r="P112" i="1"/>
  <c r="Q114" i="1" l="1"/>
  <c r="P113" i="1"/>
  <c r="AB574" i="1"/>
  <c r="AE574" i="1"/>
  <c r="AF574" i="1" s="1"/>
  <c r="AB26" i="1"/>
  <c r="AE26" i="1"/>
  <c r="AF26" i="1" s="1"/>
  <c r="AB27" i="1"/>
  <c r="AE27" i="1"/>
  <c r="AF27" i="1" s="1"/>
  <c r="U576" i="1"/>
  <c r="Y575" i="1"/>
  <c r="AA575" i="1"/>
  <c r="AB674" i="1"/>
  <c r="AE674" i="1"/>
  <c r="AF674" i="1" s="1"/>
  <c r="U676" i="1"/>
  <c r="Y675" i="1"/>
  <c r="AA675" i="1"/>
  <c r="AC112" i="1"/>
  <c r="AD112" i="1" s="1"/>
  <c r="Z112" i="1"/>
  <c r="S114" i="1"/>
  <c r="X113" i="1"/>
  <c r="U577" i="1" l="1"/>
  <c r="AA576" i="1"/>
  <c r="Y576" i="1"/>
  <c r="AB675" i="1"/>
  <c r="AE675" i="1"/>
  <c r="AF675" i="1" s="1"/>
  <c r="AC113" i="1"/>
  <c r="AD113" i="1" s="1"/>
  <c r="Z113" i="1"/>
  <c r="P114" i="1"/>
  <c r="Q115" i="1"/>
  <c r="AA676" i="1"/>
  <c r="U677" i="1"/>
  <c r="Y676" i="1"/>
  <c r="AE575" i="1"/>
  <c r="AF575" i="1" s="1"/>
  <c r="AB575" i="1"/>
  <c r="S115" i="1"/>
  <c r="X114" i="1"/>
  <c r="U578" i="1" l="1"/>
  <c r="Y577" i="1"/>
  <c r="AA577" i="1"/>
  <c r="P115" i="1"/>
  <c r="Q116" i="1"/>
  <c r="AC114" i="1"/>
  <c r="AD114" i="1" s="1"/>
  <c r="Z114" i="1"/>
  <c r="S116" i="1"/>
  <c r="X115" i="1"/>
  <c r="AA677" i="1"/>
  <c r="U678" i="1"/>
  <c r="Y677" i="1"/>
  <c r="AB676" i="1"/>
  <c r="AE676" i="1"/>
  <c r="AF676" i="1" s="1"/>
  <c r="AE576" i="1"/>
  <c r="AF576" i="1" s="1"/>
  <c r="AB576" i="1"/>
  <c r="S117" i="1" l="1"/>
  <c r="X116" i="1"/>
  <c r="Q117" i="1"/>
  <c r="P116" i="1"/>
  <c r="U679" i="1"/>
  <c r="Y678" i="1"/>
  <c r="AA678" i="1"/>
  <c r="AB677" i="1"/>
  <c r="AE677" i="1"/>
  <c r="AF677" i="1" s="1"/>
  <c r="AB577" i="1"/>
  <c r="AE577" i="1"/>
  <c r="AF577" i="1" s="1"/>
  <c r="AC115" i="1"/>
  <c r="AD115" i="1" s="1"/>
  <c r="Z115" i="1"/>
  <c r="U579" i="1"/>
  <c r="AA578" i="1"/>
  <c r="Y578" i="1"/>
  <c r="U580" i="1" l="1"/>
  <c r="AA579" i="1"/>
  <c r="Y579" i="1"/>
  <c r="AB678" i="1"/>
  <c r="AE678" i="1"/>
  <c r="AF678" i="1" s="1"/>
  <c r="U680" i="1"/>
  <c r="AA679" i="1"/>
  <c r="Y679" i="1"/>
  <c r="Q118" i="1"/>
  <c r="P117" i="1"/>
  <c r="AC116" i="1"/>
  <c r="AD116" i="1" s="1"/>
  <c r="Z116" i="1"/>
  <c r="AB578" i="1"/>
  <c r="AE578" i="1"/>
  <c r="AF578" i="1" s="1"/>
  <c r="S118" i="1"/>
  <c r="X117" i="1"/>
  <c r="AC117" i="1" l="1"/>
  <c r="AD117" i="1" s="1"/>
  <c r="Z117" i="1"/>
  <c r="S119" i="1"/>
  <c r="X118" i="1"/>
  <c r="AE679" i="1"/>
  <c r="AF679" i="1" s="1"/>
  <c r="AB679" i="1"/>
  <c r="U681" i="1"/>
  <c r="AA680" i="1"/>
  <c r="Y680" i="1"/>
  <c r="AB579" i="1"/>
  <c r="AE579" i="1"/>
  <c r="AF579" i="1" s="1"/>
  <c r="P118" i="1"/>
  <c r="Q119" i="1"/>
  <c r="U581" i="1"/>
  <c r="Y580" i="1"/>
  <c r="AA580" i="1"/>
  <c r="AB580" i="1" l="1"/>
  <c r="AE580" i="1"/>
  <c r="AF580" i="1" s="1"/>
  <c r="AC118" i="1"/>
  <c r="AD118" i="1" s="1"/>
  <c r="Z118" i="1"/>
  <c r="AE680" i="1"/>
  <c r="AF680" i="1" s="1"/>
  <c r="AB680" i="1"/>
  <c r="U682" i="1"/>
  <c r="Y681" i="1"/>
  <c r="AA681" i="1"/>
  <c r="U582" i="1"/>
  <c r="Y581" i="1"/>
  <c r="AA581" i="1"/>
  <c r="P119" i="1"/>
  <c r="Q120" i="1"/>
  <c r="S120" i="1"/>
  <c r="X119" i="1"/>
  <c r="AC119" i="1" l="1"/>
  <c r="AD119" i="1" s="1"/>
  <c r="Z119" i="1"/>
  <c r="S121" i="1"/>
  <c r="X120" i="1"/>
  <c r="U683" i="1"/>
  <c r="AA682" i="1"/>
  <c r="Y682" i="1"/>
  <c r="Q121" i="1"/>
  <c r="P120" i="1"/>
  <c r="AB581" i="1"/>
  <c r="AE581" i="1"/>
  <c r="AF581" i="1" s="1"/>
  <c r="U583" i="1"/>
  <c r="AA582" i="1"/>
  <c r="Y582" i="1"/>
  <c r="AB681" i="1"/>
  <c r="AE681" i="1"/>
  <c r="AF681" i="1" s="1"/>
  <c r="Q122" i="1" l="1"/>
  <c r="P121" i="1"/>
  <c r="AB582" i="1"/>
  <c r="AE582" i="1"/>
  <c r="AF582" i="1" s="1"/>
  <c r="U684" i="1"/>
  <c r="Y683" i="1"/>
  <c r="AA683" i="1"/>
  <c r="U584" i="1"/>
  <c r="Y583" i="1"/>
  <c r="AA583" i="1"/>
  <c r="AC120" i="1"/>
  <c r="AD120" i="1" s="1"/>
  <c r="Z120" i="1"/>
  <c r="AB682" i="1"/>
  <c r="AE682" i="1"/>
  <c r="AF682" i="1" s="1"/>
  <c r="S122" i="1"/>
  <c r="X121" i="1"/>
  <c r="AC121" i="1" l="1"/>
  <c r="AD121" i="1" s="1"/>
  <c r="Z121" i="1"/>
  <c r="AB683" i="1"/>
  <c r="AE683" i="1"/>
  <c r="AF683" i="1" s="1"/>
  <c r="S123" i="1"/>
  <c r="X123" i="1" s="1"/>
  <c r="X122" i="1"/>
  <c r="U685" i="1"/>
  <c r="Y684" i="1"/>
  <c r="AA684" i="1"/>
  <c r="U585" i="1"/>
  <c r="AA584" i="1"/>
  <c r="Y584" i="1"/>
  <c r="AB583" i="1"/>
  <c r="AE583" i="1"/>
  <c r="AF583" i="1" s="1"/>
  <c r="P122" i="1"/>
  <c r="Q123" i="1"/>
  <c r="P123" i="1" l="1"/>
  <c r="Q124" i="1"/>
  <c r="AC122" i="1"/>
  <c r="AD122" i="1" s="1"/>
  <c r="Z122" i="1"/>
  <c r="U686" i="1"/>
  <c r="AA685" i="1"/>
  <c r="Y685" i="1"/>
  <c r="AC123" i="1"/>
  <c r="AD123" i="1" s="1"/>
  <c r="Z123" i="1"/>
  <c r="AE584" i="1"/>
  <c r="AF584" i="1" s="1"/>
  <c r="AB584" i="1"/>
  <c r="AA585" i="1"/>
  <c r="Y585" i="1"/>
  <c r="AB684" i="1"/>
  <c r="AE684" i="1"/>
  <c r="AF684" i="1" s="1"/>
  <c r="U687" i="1" l="1"/>
  <c r="AA686" i="1"/>
  <c r="Y686" i="1"/>
  <c r="AB685" i="1"/>
  <c r="AE685" i="1"/>
  <c r="AF685" i="1" s="1"/>
  <c r="AB585" i="1"/>
  <c r="AE585" i="1"/>
  <c r="AF585" i="1" s="1"/>
  <c r="Q125" i="1"/>
  <c r="P124" i="1"/>
  <c r="P125" i="1" l="1"/>
  <c r="Q126" i="1"/>
  <c r="P126" i="1" s="1"/>
  <c r="AE686" i="1"/>
  <c r="AF686" i="1" s="1"/>
  <c r="AB686" i="1"/>
  <c r="U688" i="1"/>
  <c r="Y687" i="1"/>
  <c r="AA687" i="1"/>
  <c r="AE687" i="1" l="1"/>
  <c r="AF687" i="1" s="1"/>
  <c r="AB687" i="1"/>
  <c r="U689" i="1"/>
  <c r="AA688" i="1"/>
  <c r="Y688" i="1"/>
  <c r="AB688" i="1" l="1"/>
  <c r="AE688" i="1"/>
  <c r="AF688" i="1" s="1"/>
  <c r="U690" i="1"/>
  <c r="Y689" i="1"/>
  <c r="AA689" i="1"/>
  <c r="AE689" i="1" l="1"/>
  <c r="AF689" i="1" s="1"/>
  <c r="AB689" i="1"/>
  <c r="AA690" i="1"/>
  <c r="Y690" i="1"/>
  <c r="AE690" i="1" l="1"/>
  <c r="AF690" i="1" s="1"/>
  <c r="AB69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tc={DC0D952C-64CA-4164-A62B-5D660380E63D}</author>
    <author>tc={FCB5255E-69C6-4A98-90DF-309068A977BA}</author>
    <author>tc={89CE3E95-7A2E-4AF9-BD11-5F582574689D}</author>
    <author>tc={362142F0-2924-4F6B-87CE-394CBEC52E56}</author>
    <author>tc={6565801F-A5F5-4E06-82EC-BA5510AF86FC}</author>
    <author>tc={8F1F4218-28DC-4C16-9E86-E264010DCB55}</author>
    <author>tc={42FD57F9-DE88-4188-AB8B-E85D78D7535A}</author>
    <author>tc={90A84295-0064-441A-BEEB-5BE5A32FDD54}</author>
    <author>Alberto Ramirez Nuñez</author>
  </authors>
  <commentList>
    <comment ref="L1" authorId="0" shapeId="0" xr:uid="{DC0D952C-64CA-4164-A62B-5D660380E63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presupuesto del proyecto es la estimación total de recursos financieros necesarios para ejecutar todas las actividades del proyecto y cumplir con su alcance, cronograma y objetivos establecidos 
Respuesta:
    ✅ Para calcular Valor Ganado, el presupuesto debe ser el Total Costos del Proyecto (BAC) </t>
      </text>
    </comment>
    <comment ref="Q1" authorId="1" shapeId="0" xr:uid="{FCB5255E-69C6-4A98-90DF-309068A977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tiempo de ejecución es el período comprendido entre el inicio formal de las actividades del proyecto y su finalización real, es decir, el lapso durante el cual se llevan a cabo los entregables, tareas y actividades planificadas para cumplir con el alcance del proyecto. </t>
      </text>
    </comment>
    <comment ref="W1" authorId="2" shapeId="0" xr:uid="{89CE3E95-7A2E-4AF9-BD11-5F582574689D}">
      <text>
        <t>[Comentario encadenado]
Su versión de Excel le permite leer este comentario encadenado; sin embargo, las ediciones que se apliquen se quitarán si el archivo se abre en una versión más reciente de Excel. Más información: https://go.microsoft.com/fwlink/?linkid=870924
Comentario:
    Representa el valor del trabajo realmente completado a una fecha determinada, expresado en unidades monetarias (según el presupuesto aprobado).</t>
      </text>
    </comment>
    <comment ref="X1" authorId="3" shapeId="0" xr:uid="{362142F0-2924-4F6B-87CE-394CBEC52E5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Representa el valor del trabajo que se debía haber completado a una fecha determinada según la línea base del cronograma. </t>
      </text>
    </comment>
    <comment ref="Y1" authorId="4" shapeId="0" xr:uid="{6565801F-A5F5-4E06-82EC-BA5510AF86FC}">
      <text>
        <t>[Comentario encadenado]
Su versión de Excel le permite leer este comentario encadenado; sin embargo, las ediciones que se apliquen se quitarán si el archivo se abre en una versión más reciente de Excel. Más información: https://go.microsoft.com/fwlink/?linkid=870924
Comentario:
    Mide la diferencia entre el valor del trabajo completado (EV) y el costo real incurrido (AC). Indica si hay ahorro o sobrecosto.</t>
      </text>
    </comment>
    <comment ref="Z1" authorId="5" shapeId="0" xr:uid="{8F1F4218-28DC-4C16-9E86-E264010DCB55}">
      <text>
        <t>[Comentario encadenado]
Su versión de Excel le permite leer este comentario encadenado; sin embargo, las ediciones que se apliquen se quitarán si el archivo se abre en una versión más reciente de Excel. Más información: https://go.microsoft.com/fwlink/?linkid=870924
Comentario:
    Mide la diferencia entre el valor del trabajo ejecutado (EV) y el que se debía haber ejecutado según el plan (PV). Indica adelanto o retraso.</t>
      </text>
    </comment>
    <comment ref="AA1" authorId="6" shapeId="0" xr:uid="{42FD57F9-DE88-4188-AB8B-E85D78D7535A}">
      <text>
        <t>[Comentario encadenado]
Su versión de Excel le permite leer este comentario encadenado; sin embargo, las ediciones que se apliquen se quitarán si el archivo se abre en una versión más reciente de Excel. Más información: https://go.microsoft.com/fwlink/?linkid=870924
Comentario:
    Evalúa la eficiencia del uso del presupuesto. Indica cuánto valor se obtiene por cada unidad monetaria gastada.</t>
      </text>
    </comment>
    <comment ref="AC1" authorId="7" shapeId="0" xr:uid="{90A84295-0064-441A-BEEB-5BE5A32FDD54}">
      <text>
        <t>[Comentario encadenado]
Su versión de Excel le permite leer este comentario encadenado; sin embargo, las ediciones que se apliquen se quitarán si el archivo se abre en una versión más reciente de Excel. Más información: https://go.microsoft.com/fwlink/?linkid=870924
Comentario:
    Evalúa la eficiencia del cronograma. Muestra qué tan bien se avanza respecto al plan.</t>
      </text>
    </comment>
    <comment ref="AE1" authorId="8" shapeId="0" xr:uid="{FBB30EBE-954E-439C-B27F-7F85890C0C92}">
      <text>
        <r>
          <rPr>
            <b/>
            <sz val="9"/>
            <color indexed="81"/>
            <rFont val="Tahoma"/>
            <family val="2"/>
          </rPr>
          <t>Alberto Ramirez Nuñez:</t>
        </r>
        <r>
          <rPr>
            <sz val="9"/>
            <color indexed="81"/>
            <rFont val="Tahoma"/>
            <family val="2"/>
          </rPr>
          <t xml:space="preserve">
Alberto Ramirez Nuñez:
Es la proyección del costo total estimado del proyecto al final, con base en el desempeño actual. Hay varias formas de calcularlo.</t>
        </r>
      </text>
    </comment>
    <comment ref="AF1" authorId="8" shapeId="0" xr:uid="{812864DE-B1E1-40B8-84FE-12241019F658}">
      <text>
        <r>
          <rPr>
            <b/>
            <sz val="9"/>
            <color indexed="81"/>
            <rFont val="Tahoma"/>
            <family val="2"/>
          </rPr>
          <t>Alberto Ramirez Nuñez:</t>
        </r>
        <r>
          <rPr>
            <sz val="9"/>
            <color indexed="81"/>
            <rFont val="Tahoma"/>
            <family val="2"/>
          </rPr>
          <t xml:space="preserve">
La VAC indica cuánto más o menos costará el proyecto en comparación con el presupuesto aprobado (BAC o PBO), basándose en la proyección actual (EAC)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tc={AB30DD74-9CCD-49B9-B9A9-96B7F534A8E1}</author>
    <author>tc={5188EC74-05C5-4DF2-B35B-299E2817C80E}</author>
    <author>tc={D005D23A-823D-481A-A306-F5DB654ED5C1}</author>
    <author>tc={3F8634E5-664A-4581-8D2B-97EEEDF3A208}</author>
    <author>tc={24F759BA-4E1F-4BBF-9ADA-94998A20D7C7}</author>
    <author>tc={533D86CD-557F-43F9-A9E1-C083BC36C57F}</author>
    <author>tc={6F708FAC-1B55-451B-B0B3-94678D9A9AB5}</author>
    <author>Alberto Ramirez Nuñez</author>
  </authors>
  <commentList>
    <comment ref="D1" authorId="0" shapeId="0" xr:uid="{AB30DD74-9CCD-49B9-B9A9-96B7F534A8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presupuesto del proyecto es la estimación total de recursos financieros necesarios para ejecutar todas las actividades del proyecto y cumplir con su alcance, cronograma y objetivos establecidos 
Respuesta:
    ✅ Para calcular Valor Ganado, el presupuesto debe ser el Total Costos del Proyecto (BAC) </t>
      </text>
    </comment>
    <comment ref="K1" authorId="1" shapeId="0" xr:uid="{5188EC74-05C5-4DF2-B35B-299E2817C80E}">
      <text>
        <t>[Comentario encadenado]
Su versión de Excel le permite leer este comentario encadenado; sin embargo, las ediciones que se apliquen se quitarán si el archivo se abre en una versión más reciente de Excel. Más información: https://go.microsoft.com/fwlink/?linkid=870924
Comentario:
    Representa el valor del trabajo realmente completado a una fecha determinada, expresado en unidades monetarias (según el presupuesto aprobado).</t>
      </text>
    </comment>
    <comment ref="L1" authorId="2" shapeId="0" xr:uid="{D005D23A-823D-481A-A306-F5DB654ED5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Representa el valor del trabajo que se debía haber completado a una fecha determinada según la línea base del cronograma. </t>
      </text>
    </comment>
    <comment ref="M1" authorId="3" shapeId="0" xr:uid="{3F8634E5-664A-4581-8D2B-97EEEDF3A208}">
      <text>
        <t>[Comentario encadenado]
Su versión de Excel le permite leer este comentario encadenado; sin embargo, las ediciones que se apliquen se quitarán si el archivo se abre en una versión más reciente de Excel. Más información: https://go.microsoft.com/fwlink/?linkid=870924
Comentario:
    Mide la diferencia entre el valor del trabajo completado (EV) y el costo real incurrido (AC). Indica si hay ahorro o sobrecosto.</t>
      </text>
    </comment>
    <comment ref="N1" authorId="4" shapeId="0" xr:uid="{24F759BA-4E1F-4BBF-9ADA-94998A20D7C7}">
      <text>
        <t>[Comentario encadenado]
Su versión de Excel le permite leer este comentario encadenado; sin embargo, las ediciones que se apliquen se quitarán si el archivo se abre en una versión más reciente de Excel. Más información: https://go.microsoft.com/fwlink/?linkid=870924
Comentario:
    Mide la diferencia entre el valor del trabajo ejecutado (EV) y el que se debía haber ejecutado según el plan (PV). Indica adelanto o retraso.</t>
      </text>
    </comment>
    <comment ref="O1" authorId="5" shapeId="0" xr:uid="{533D86CD-557F-43F9-A9E1-C083BC36C57F}">
      <text>
        <t>[Comentario encadenado]
Su versión de Excel le permite leer este comentario encadenado; sin embargo, las ediciones que se apliquen se quitarán si el archivo se abre en una versión más reciente de Excel. Más información: https://go.microsoft.com/fwlink/?linkid=870924
Comentario:
    Evalúa la eficiencia del uso del presupuesto. Indica cuánto valor se obtiene por cada unidad monetaria gastada.</t>
      </text>
    </comment>
    <comment ref="Q1" authorId="6" shapeId="0" xr:uid="{6F708FAC-1B55-451B-B0B3-94678D9A9AB5}">
      <text>
        <t>[Comentario encadenado]
Su versión de Excel le permite leer este comentario encadenado; sin embargo, las ediciones que se apliquen se quitarán si el archivo se abre en una versión más reciente de Excel. Más información: https://go.microsoft.com/fwlink/?linkid=870924
Comentario:
    Evalúa la eficiencia del cronograma. Muestra qué tan bien se avanza respecto al plan.</t>
      </text>
    </comment>
    <comment ref="S1" authorId="7" shapeId="0" xr:uid="{D7E3A580-BEB8-48A2-B735-F2040252CED4}">
      <text>
        <r>
          <rPr>
            <b/>
            <sz val="9"/>
            <color indexed="81"/>
            <rFont val="Tahoma"/>
            <family val="2"/>
          </rPr>
          <t>Alberto Ramirez Nuñez:</t>
        </r>
        <r>
          <rPr>
            <sz val="9"/>
            <color indexed="81"/>
            <rFont val="Tahoma"/>
            <family val="2"/>
          </rPr>
          <t xml:space="preserve">
Alberto Ramirez Nuñez:
Es la proyección del costo total estimado del proyecto al final, con base en el desempeño actual. Hay varias formas de calcularlo.</t>
        </r>
      </text>
    </comment>
    <comment ref="T1" authorId="7" shapeId="0" xr:uid="{78C737A1-3BE3-4B5A-B2EF-40D61BCC34B8}">
      <text>
        <r>
          <rPr>
            <b/>
            <sz val="9"/>
            <color indexed="81"/>
            <rFont val="Tahoma"/>
            <family val="2"/>
          </rPr>
          <t>Alberto Ramirez Nuñez:</t>
        </r>
        <r>
          <rPr>
            <sz val="9"/>
            <color indexed="81"/>
            <rFont val="Tahoma"/>
            <family val="2"/>
          </rPr>
          <t xml:space="preserve">
La VAC indica cuánto más o menos costará el proyecto en comparación con el presupuesto aprobado (BAC o PBO), basándose en la proyección actual (EAC)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tc={15B9EBA7-F672-4ADA-A78F-F71149149F9A}</author>
    <author>tc={B74D59A4-B655-4FDF-BEDF-2986AAE972C9}</author>
    <author>tc={21DEE55C-E7E4-483A-8A11-6CFAA65BF7D8}</author>
    <author>tc={B0642353-57EC-49B9-A0B5-19DDB989DED2}</author>
    <author>tc={AA2D481E-D565-4E42-BB6C-EED8DB168025}</author>
    <author>tc={0FD31E0C-7D18-42B2-AEAB-07EA4C141558}</author>
    <author>tc={271ABFFB-13DD-4F81-A810-ADC93201C2E0}</author>
    <author>Alberto Ramirez Nuñez</author>
  </authors>
  <commentList>
    <comment ref="D1" authorId="0" shapeId="0" xr:uid="{15B9EBA7-F672-4ADA-A78F-F71149149F9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presupuesto del proyecto es la estimación total de recursos financieros necesarios para ejecutar todas las actividades del proyecto y cumplir con su alcance, cronograma y objetivos establecidos 
Respuesta:
    ✅ Para calcular Valor Ganado, el presupuesto debe ser el Total Costos del Proyecto (BAC) </t>
      </text>
    </comment>
    <comment ref="K1" authorId="1" shapeId="0" xr:uid="{B74D59A4-B655-4FDF-BEDF-2986AAE972C9}">
      <text>
        <t>[Comentario encadenado]
Su versión de Excel le permite leer este comentario encadenado; sin embargo, las ediciones que se apliquen se quitarán si el archivo se abre en una versión más reciente de Excel. Más información: https://go.microsoft.com/fwlink/?linkid=870924
Comentario:
    Representa el valor del trabajo realmente completado a una fecha determinada, expresado en unidades monetarias (según el presupuesto aprobado).</t>
      </text>
    </comment>
    <comment ref="L1" authorId="2" shapeId="0" xr:uid="{21DEE55C-E7E4-483A-8A11-6CFAA65BF7D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Representa el valor del trabajo que se debía haber completado a una fecha determinada según la línea base del cronograma. </t>
      </text>
    </comment>
    <comment ref="M1" authorId="3" shapeId="0" xr:uid="{B0642353-57EC-49B9-A0B5-19DDB989DED2}">
      <text>
        <t>[Comentario encadenado]
Su versión de Excel le permite leer este comentario encadenado; sin embargo, las ediciones que se apliquen se quitarán si el archivo se abre en una versión más reciente de Excel. Más información: https://go.microsoft.com/fwlink/?linkid=870924
Comentario:
    Mide la diferencia entre el valor del trabajo completado (EV) y el costo real incurrido (AC). Indica si hay ahorro o sobrecosto.</t>
      </text>
    </comment>
    <comment ref="N1" authorId="4" shapeId="0" xr:uid="{AA2D481E-D565-4E42-BB6C-EED8DB168025}">
      <text>
        <t>[Comentario encadenado]
Su versión de Excel le permite leer este comentario encadenado; sin embargo, las ediciones que se apliquen se quitarán si el archivo se abre en una versión más reciente de Excel. Más información: https://go.microsoft.com/fwlink/?linkid=870924
Comentario:
    Mide la diferencia entre el valor del trabajo ejecutado (EV) y el que se debía haber ejecutado según el plan (PV). Indica adelanto o retraso.</t>
      </text>
    </comment>
    <comment ref="O1" authorId="5" shapeId="0" xr:uid="{0FD31E0C-7D18-42B2-AEAB-07EA4C141558}">
      <text>
        <t>[Comentario encadenado]
Su versión de Excel le permite leer este comentario encadenado; sin embargo, las ediciones que se apliquen se quitarán si el archivo se abre en una versión más reciente de Excel. Más información: https://go.microsoft.com/fwlink/?linkid=870924
Comentario:
    Evalúa la eficiencia del uso del presupuesto. Indica cuánto valor se obtiene por cada unidad monetaria gastada.</t>
      </text>
    </comment>
    <comment ref="Q1" authorId="6" shapeId="0" xr:uid="{271ABFFB-13DD-4F81-A810-ADC93201C2E0}">
      <text>
        <t>[Comentario encadenado]
Su versión de Excel le permite leer este comentario encadenado; sin embargo, las ediciones que se apliquen se quitarán si el archivo se abre en una versión más reciente de Excel. Más información: https://go.microsoft.com/fwlink/?linkid=870924
Comentario:
    Evalúa la eficiencia del cronograma. Muestra qué tan bien se avanza respecto al plan.</t>
      </text>
    </comment>
    <comment ref="S1" authorId="7" shapeId="0" xr:uid="{57597930-08F8-4C65-81D9-BB2BE9015E89}">
      <text>
        <r>
          <rPr>
            <b/>
            <sz val="9"/>
            <color indexed="81"/>
            <rFont val="Tahoma"/>
            <family val="2"/>
          </rPr>
          <t>Alberto Ramirez Nuñez:</t>
        </r>
        <r>
          <rPr>
            <sz val="9"/>
            <color indexed="81"/>
            <rFont val="Tahoma"/>
            <family val="2"/>
          </rPr>
          <t xml:space="preserve">
Alberto Ramirez Nuñez:
Es la proyección del costo total estimado del proyecto al final, con base en el desempeño actual. Hay varias formas de calcularlo.</t>
        </r>
      </text>
    </comment>
    <comment ref="T1" authorId="7" shapeId="0" xr:uid="{2EB4A8FF-1B55-49FB-A39A-A06BCD3F56C2}">
      <text>
        <r>
          <rPr>
            <b/>
            <sz val="9"/>
            <color indexed="81"/>
            <rFont val="Tahoma"/>
            <family val="2"/>
          </rPr>
          <t>Alberto Ramirez Nuñez:</t>
        </r>
        <r>
          <rPr>
            <sz val="9"/>
            <color indexed="81"/>
            <rFont val="Tahoma"/>
            <family val="2"/>
          </rPr>
          <t xml:space="preserve">
La VAC indica cuánto más o menos costará el proyecto en comparación con el presupuesto aprobado (BAC o PBO), basándose en la proyección actual (EAC)</t>
        </r>
      </text>
    </comment>
  </commentList>
</comments>
</file>

<file path=xl/sharedStrings.xml><?xml version="1.0" encoding="utf-8"?>
<sst xmlns="http://schemas.openxmlformats.org/spreadsheetml/2006/main" count="9707" uniqueCount="755">
  <si>
    <t>Año</t>
  </si>
  <si>
    <t>Mes</t>
  </si>
  <si>
    <t>ProjectId</t>
  </si>
  <si>
    <t>ProjectCreatedDate</t>
  </si>
  <si>
    <t>ProjectName</t>
  </si>
  <si>
    <t>ProjectOwnerName</t>
  </si>
  <si>
    <t>ProjectWorkspaceInternalUrl</t>
  </si>
  <si>
    <t>Objetocontractual</t>
  </si>
  <si>
    <t>Portafolio</t>
  </si>
  <si>
    <t>CentrodeCostosProyecto</t>
  </si>
  <si>
    <t>Estado</t>
  </si>
  <si>
    <t>Presupuesto</t>
  </si>
  <si>
    <t>Inicio</t>
  </si>
  <si>
    <t>Fin</t>
  </si>
  <si>
    <t>Meses</t>
  </si>
  <si>
    <t>Tiempo Diferencia</t>
  </si>
  <si>
    <t>Tiempo Ejecución</t>
  </si>
  <si>
    <t>Tiempo Proyectado</t>
  </si>
  <si>
    <t>% Planeado</t>
  </si>
  <si>
    <t>Completado Real</t>
  </si>
  <si>
    <t>AC (Actual Cost)</t>
  </si>
  <si>
    <t>Costo Mensual</t>
  </si>
  <si>
    <t>EV (Earned Value)</t>
  </si>
  <si>
    <t>PV (Planned Value)</t>
  </si>
  <si>
    <t>CV (Cost Variance)</t>
  </si>
  <si>
    <t>SV (Schedule Variance)</t>
  </si>
  <si>
    <t>CPI (Cost Performance Index)</t>
  </si>
  <si>
    <t>Detalle de CPI</t>
  </si>
  <si>
    <t>SPI (Schedule Performance Index)</t>
  </si>
  <si>
    <t>Detalle SPI</t>
  </si>
  <si>
    <t>EAC (Estimación al finalizar)</t>
  </si>
  <si>
    <t>VAC (Exceso de presupuesto proyectado)</t>
  </si>
  <si>
    <t>Ruta</t>
  </si>
  <si>
    <t>Meta SPI</t>
  </si>
  <si>
    <t>Meta CPI</t>
  </si>
  <si>
    <t>Estado CMMI</t>
  </si>
  <si>
    <t>Columna1</t>
  </si>
  <si>
    <t>Enero</t>
  </si>
  <si>
    <t>227b8bc1-c7ab-ee11-ba7f-00155d104f2c</t>
  </si>
  <si>
    <t>CCD - DPC - IMPLEMENTACIÓN ERP</t>
  </si>
  <si>
    <t>Johan Sebastian Rodriguez Niño</t>
  </si>
  <si>
    <t>https://growdatasas.sharepoint.com/sites/pwa/CCD - DPC - IMPLEMENTACIÓN ERP</t>
  </si>
  <si>
    <t xml:space="preserve">Suministro e implementación del sistema de información         ADMINISTRATIVO ERP NOVASOFT – versión ENTERPRISE WEB y el GESTOR DE RIESGOS para la entidad Defensoría del Pueblo.Incluye: 14 módulos específicos + 5 módulos financieros con licencia para 5000 usuarios finales, Licenciamiento de la Base de Datos SQL Server (Estándar para 8 Cores), Consultoría estándar de implementación de cada uno de los sistemas ofrecidos, soporte y actualización por 2 años y una bolsa de horas (según acuerdo por 2 años)   </t>
  </si>
  <si>
    <t>DATOS Y SISTEMAS DE INFORMACIÓN</t>
  </si>
  <si>
    <t>0318</t>
  </si>
  <si>
    <t>Activo.En Ejecución</t>
  </si>
  <si>
    <t>ok</t>
  </si>
  <si>
    <t>Febrero</t>
  </si>
  <si>
    <t>Marzo</t>
  </si>
  <si>
    <t>Abril</t>
  </si>
  <si>
    <t>Mayo</t>
  </si>
  <si>
    <t>Junio</t>
  </si>
  <si>
    <t>Julio</t>
  </si>
  <si>
    <t>Agosto</t>
  </si>
  <si>
    <t>Septiembre</t>
  </si>
  <si>
    <t>Octubre</t>
  </si>
  <si>
    <t>Noviembre</t>
  </si>
  <si>
    <t>Diciembre</t>
  </si>
  <si>
    <t>becfcaa1-85b4-ee11-871a-00155d105d1e</t>
  </si>
  <si>
    <t>TELEFONICA – DPC  SALA DE ANALITICA</t>
  </si>
  <si>
    <t>Guiovanni Andres Serrano Serna</t>
  </si>
  <si>
    <t>https://growdatasas.sharepoint.com/sites/pwa/TELEFONICA – DPC  SALA DE ANALITICA</t>
  </si>
  <si>
    <t xml:space="preserve"> ​Adecuación de la sala de analítica en dos fases, fase 1 obra civil y remodelación.  </t>
  </si>
  <si>
    <t>TI</t>
  </si>
  <si>
    <t>0314</t>
  </si>
  <si>
    <t>Postventa</t>
  </si>
  <si>
    <t>Revisar este se ejecuto 2024</t>
  </si>
  <si>
    <t>93afa0f2-87b4-ee11-b12b-00155d10d37b</t>
  </si>
  <si>
    <t>INFOTIC-DPC-SOC</t>
  </si>
  <si>
    <t>Janeth Annelise Araujo Ramos</t>
  </si>
  <si>
    <t>https://growdatasas.sharepoint.com/sites/pwa/INFOTIC-DPC-SOC</t>
  </si>
  <si>
    <t xml:space="preserve"> ​Implementación y puesta en operación del Centro de Operaciones de Seguridad (SOC).  </t>
  </si>
  <si>
    <t>0320</t>
  </si>
  <si>
    <t>Cerrado</t>
  </si>
  <si>
    <t>b3dee2f4-49c1-ee11-add8-00155d10211a</t>
  </si>
  <si>
    <t>CORP COLOMBIA DIGITAL-FNA-AE</t>
  </si>
  <si>
    <t>https://growdatasas.sharepoint.com/sites/pwa/CORP COLOMBIA DIGITAL-FNA-AE</t>
  </si>
  <si>
    <t xml:space="preserve">Consultoría para el diseño de la Transformación Digital de la entidad que designe la Corporación Colombia Digital, basado en desarrollar la arquitectura empresarial - AR, la definición e implementación del Gobierno y la gestión de datos, la definición de la hoja de ruta de la AR para el plan estratégico de TI PETI, la formación de personal y la planeación del proyecto de la entidad designada.    </t>
  </si>
  <si>
    <t>CONSULTORÍA</t>
  </si>
  <si>
    <t>0315</t>
  </si>
  <si>
    <t>Activo.En Cierre</t>
  </si>
  <si>
    <t>a514ea09-ced4-ee11-bd00-00155d682338</t>
  </si>
  <si>
    <t>TELEFONICA - SENA MDA</t>
  </si>
  <si>
    <t>Carlos Fernando Gomez Rodriguez</t>
  </si>
  <si>
    <t>https://growdatasas.sharepoint.com/sites/pwa/TELEFONICA - SENA MDA</t>
  </si>
  <si>
    <t xml:space="preserve"> ​Mesa de servicio para el SENA </t>
  </si>
  <si>
    <t>0319</t>
  </si>
  <si>
    <t>3f6c4573-29db-ee11-8860-00155d681010</t>
  </si>
  <si>
    <t>ERT- MT– DISPOSITIVOS IOT Y ANALÍTICA</t>
  </si>
  <si>
    <t>Mario Andres Pirachican Gil</t>
  </si>
  <si>
    <t>https://growdatasas.sharepoint.com/sites/pwa/ERT- MT– DISPOSITIVOS IOT Y ANALÍTICA</t>
  </si>
  <si>
    <t xml:space="preserve"> ​Se propone prestar el servicio de asistencia técnica mediante la recolección, procesamiento y correlación de datos con capacidad de análisis, a través de una plataforma de soluciones basadas en IoT (internet de las cosas), que permita la visualización de indicadores específicos con el objetivo de mejorar la seguridad vial y trazabilidad de recorrido a través de la integración de dispositivos de georreferenciación en vehículos de transporte de carga. </t>
  </si>
  <si>
    <t>0322</t>
  </si>
  <si>
    <t>b325f473-91e8-ee11-b9dc-00155d68784b</t>
  </si>
  <si>
    <t>RUNT – DISEÑO,IMPLEMENTACION MDM</t>
  </si>
  <si>
    <t>Leidy Susana Ramirez Herrera</t>
  </si>
  <si>
    <t>https://growdatasas.sharepoint.com/sites/pwa/RUNT – DISEÑO,IMPLEMENTACION MDM</t>
  </si>
  <si>
    <t xml:space="preserve"> ​Implementar el modelo de gestión de datos maestros y de referencia a partir del diseño y definición de la estrategia de las capacidades para que permita a la entidad estandarizar y tener una única visión de los datos transversales que se manejan en los diferentes procesos del RUNT. Con el objetivo de asegurar una correcta implementación de la solución de IBM Cloud Pak for Data proponemos la incorporación de una capa de servicios profesionales especializados en la plataforma. Con un alcance de tres registros maestros a saber: Registro Nacional Automotor RNA y el Registro de Personas Jurídicas RNPJ, Registro Nacional de Conductores. </t>
  </si>
  <si>
    <t>0324</t>
  </si>
  <si>
    <t>7bad0cc0-6d01-ef11-b0c0-00155d68bf05</t>
  </si>
  <si>
    <t>ALDESARROLLO - ICFES - SOSTENIBILIDAD</t>
  </si>
  <si>
    <t>Laura Johanna Jaramillo Soto</t>
  </si>
  <si>
    <t>https://growdatasas.sharepoint.com/sites/pwa/ALDESARROLLO - ICFES - SOSTENIBILIDAD</t>
  </si>
  <si>
    <t xml:space="preserve">CONTRATAR LA REALIZACIÓN DEL DISEÑO DE ESTRATEGIA Y POLÍTICADE SOSTENIBILIDAD-RESPONSABILIDAD SOCIAL E INFORME DE SOSTENIBILIDAD 2023 CON EL ESTÁNDAR GRI, CON MIRAS AL FORTALECIMIENTO INSTITUCIONAL, SU PROYECCIÓN A GRUPOS DE INTERÉS Y LA DISPOSICIÓN A LOS RETOS DE INTERNACIONALIZACIÓN, COMPROMISO SOCIAL Y AMBIENTAL DE LA ENTIDAD. SE REALIZA UN OTRO SI ACLARATORIO DONDE SE AJUSTE LA NOMENCLATURA ASIGNADA AL CONTRATO DE CP-PR-2024-161 A CP-PR-2024-161A </t>
  </si>
  <si>
    <t>0327</t>
  </si>
  <si>
    <t>378e9b3a-aa01-ef11-88ac-00155d682343</t>
  </si>
  <si>
    <t>EMTEL - ICFES - FABRICA</t>
  </si>
  <si>
    <t>https://growdatasas.sharepoint.com/sites/pwa/EMTEL - ICFES - FABRICA</t>
  </si>
  <si>
    <t xml:space="preserve">Prestación de servicios de Fábrica de Software para los proyectos de transformación digital del ICFES.Prestación de servicios de pruebas funcionales, no funcionales por demanda y aseguramiento de calidad asociado a las soluciones tecnológicas definidas para el Instituto Colombiano para la Evaluación de la Educación – ICFES. </t>
  </si>
  <si>
    <t>0326</t>
  </si>
  <si>
    <t>2f048f31-0b0f-ef11-9ac8-00155d68220c</t>
  </si>
  <si>
    <t>INFOTIC - ICFES - PRUEBAS CSJ</t>
  </si>
  <si>
    <t>https://growdatasas.sharepoint.com/sites/pwa/INFOTIC - ICFES - PRUEBAS CSJ</t>
  </si>
  <si>
    <t xml:space="preserve"> APLICACIÓN ELECTRÓNICA DEL EXAMEN PARA EJERCER LA PROFESIÓN DE ABOGADO A REALIZARSE EN LA VIGENCIA 2024SUMINISTRO DE MESA DE SERVICIO CON COBERTURA NACIONAL   </t>
  </si>
  <si>
    <t>0328</t>
  </si>
  <si>
    <t>4387201d-861f-ef11-963a-00155d690311</t>
  </si>
  <si>
    <t>UT - ENTERRITORIO 2027</t>
  </si>
  <si>
    <t>https://growdatasas.sharepoint.com/sites/pwa/UT - ENTERRITORIO 2027</t>
  </si>
  <si>
    <t xml:space="preserve"> ​PRESTACIÓN DE SERVICIOS INTEGRALES EN TECNOLOGÍAS DE INFORMACIÓN Y COMUNICACIONES -TIC, PARA LLEVAR A CABO LA ADMINISTRACIÓN, OPERACIÓN, MANTENIMIENTO Y LA GESTIÓN DE LA PLATAFORMA TECNOLÓGICA DE ENTERRITORIO. </t>
  </si>
  <si>
    <t>10025</t>
  </si>
  <si>
    <t>9814f6b7-7622-ef11-9641-00155d68271a</t>
  </si>
  <si>
    <t>472 - ARQUITECTURA EMPRESARIAL</t>
  </si>
  <si>
    <t>Natalia Maritza Guaje Berdugo</t>
  </si>
  <si>
    <t>https://growdatasas.sharepoint.com/sites/pwa/472 - Iteración de Arquitectura Empresarial</t>
  </si>
  <si>
    <t xml:space="preserve"> ​GENERACIÓN DE HOJA DE RUTA, BASADO EN UNA ITERACIÓN DE ARQUITECTURA EMPRESARIAL QUE INCLUYA LA EVALUACIÓN DE LAS CAPACIDADES DE GOBIERNO Y GESTIÓN DE LA ARQUITECTURA EMPRESARIAL PARA SOPORTAR LA DIVERSIFICACIÓN DEL PORTAFOLIO DE SERVICIOS INCLUYENDO COMPONENTES TECNOLÓGICOS Y DIGITALES.  FINANCIADO POR GROW </t>
  </si>
  <si>
    <t>0330</t>
  </si>
  <si>
    <t>Activo.En Liquidación</t>
  </si>
  <si>
    <t>94d43fe7-932e-ef11-9646-00155d688417</t>
  </si>
  <si>
    <t>FONDO ACCION - MEJORAS APLICATIVO ASEC</t>
  </si>
  <si>
    <t>https://growdatasas.sharepoint.com/sites/pwa/FONDO ACCION - MEJORAS APLICATIVO ASEC</t>
  </si>
  <si>
    <t xml:space="preserve"> ​Se propone prestar los servicios de ajustes y mejoras al aplicativo ASEC, para la depuración de secuenciales, en el marco del Componente 5 del proyecto por medio del cual se financia parcialmente el Programa para la Adopción e Implementación de un Catastro Multipropósito Rural – Urbano. </t>
  </si>
  <si>
    <t>0329</t>
  </si>
  <si>
    <t>2c770481-3c3d-ef11-9649-00155d688a06</t>
  </si>
  <si>
    <t>RUNT – ANALITICA BI-BA</t>
  </si>
  <si>
    <t>Liliana Isabel Paba Alvear</t>
  </si>
  <si>
    <t>https://growdatasas.sharepoint.com/sites/pwa/RUNT – ANALITICA BI-BA</t>
  </si>
  <si>
    <t xml:space="preserve"> ​Se propone prestar los servicios de configuración y parametrización de los componentes en Microsoft Fabric para despliegue de 5 reportes BI, y 1 caso de uso en BA, utilizando e implementando el modelo de capas Medallion.  </t>
  </si>
  <si>
    <t>0332</t>
  </si>
  <si>
    <t>883d5780-4a3d-ef11-adcc-00155d685926</t>
  </si>
  <si>
    <t>RUNT - MEGA</t>
  </si>
  <si>
    <t>Rodrigo Alexander Ramirez Ospina</t>
  </si>
  <si>
    <t>https://growdatasas.sharepoint.com/sites/pwa/RUNT - MEGA</t>
  </si>
  <si>
    <t xml:space="preserve">GESTIÓN DE REQUERIMIENTOS Y SOPORTE SOBRE HOPEXOBJETO:	PRESTACION DEL SERVICIO PARA LA GESTION DE REQUERIMIENTOS Y SOPORTE SOBRE LA HERRAMIENTA DE ARQUITECTURA EMPRESARIAL HOPEX UTILIZADA POR LA CONCESION RUNT  2.0 S.A.S </t>
  </si>
  <si>
    <t>0333</t>
  </si>
  <si>
    <t>fb6b6bf8-513d-ef11-964f-00155d687105</t>
  </si>
  <si>
    <t>ALDESARROLLO - INM - DATOS Y PROCESOS</t>
  </si>
  <si>
    <t>https://growdatasas.sharepoint.com/sites/pwa/INM-ALDESARROLLO-DATOS Y PROCESOS</t>
  </si>
  <si>
    <t xml:space="preserve"> ​CONTRATAR LOS SERVICIOS PARA CONTINUAR IMPLEMENTANDO LA POLÍTICA DE GOBIERNO DIGITAL A TRAVÉS DEL DESARROLLO DE EJERCICIOS DE ARQUITECTURA EMPRESARIAL EN LOS DOMINIOS INSTITUCIONAL, DE INFORMACIÓN Y DE TECNOLOGÍA.  </t>
  </si>
  <si>
    <t>0331</t>
  </si>
  <si>
    <t>ed6f263f-f345-ef11-adcb-00155d68d723</t>
  </si>
  <si>
    <t>UT SERT PASTO - VENTA DE EQUIPOS</t>
  </si>
  <si>
    <t>Carlos Alberto Osorio Ortiz</t>
  </si>
  <si>
    <t>https://growdatasas.sharepoint.com/sites/pwa/UT SERT PASTO - VENTA DE EQUIPOS</t>
  </si>
  <si>
    <t xml:space="preserve"> ​Realizar la entrega, suministro e instalación de  dos servidores Hewlett Packard host DL360 GEN10 PLUS , un HPE StoreEasy 1660 MS WS IoT19 40 TB SAS y Servicios Profesionales </t>
  </si>
  <si>
    <t>0334</t>
  </si>
  <si>
    <t>dca5645a-745a-ef11-90d5-00155d681f04</t>
  </si>
  <si>
    <t>SNR- MIGRACION FOLIO A SIR</t>
  </si>
  <si>
    <t>https://growdatasas.sharepoint.com/sites/pwa/SNR- MIGRACION FOLIO A SIR</t>
  </si>
  <si>
    <t xml:space="preserve"> ​Se propone prestar el servicios de migración de la información contenida en el sistema misional FOLIO a SIR de la SNR de conformidad con las características y condiciones establecidas para este proceso.  Contrato Adición 3 oficinas (Guateque, Tuquerres, Ipiales) $375.620.940 </t>
  </si>
  <si>
    <t>0335</t>
  </si>
  <si>
    <t>5aa69b5c-cc5f-ef11-90cb-00155d68d002</t>
  </si>
  <si>
    <t>TELEFONICA - CORMAGDALENA- SALA ANALITICA</t>
  </si>
  <si>
    <t>Luis Gabriel Rojas Angarita</t>
  </si>
  <si>
    <t>https://growdatasas.sharepoint.com/sites/pwa/TELEFONICA - CORMAGDALENA- SALA ANALITICA</t>
  </si>
  <si>
    <t xml:space="preserve"> ​Prestar el suministro, instalación y adecuación de puestos de trabajo, videowall, estación de monitoreo de nivel de agua IoT con cámara, conectividad de red eléctrica regulada, normal, datos, video en las sedes de Barranquilla y Barrancabermeja con implementación y puesta en funcionamiento de dos tableros de control BI que serán visualizados en el video wall y desde el portal de la entidad </t>
  </si>
  <si>
    <t>0338</t>
  </si>
  <si>
    <t>68e40705-cb64-ef11-90d3-00155d68a702</t>
  </si>
  <si>
    <t>ANT-RESO</t>
  </si>
  <si>
    <t>https://growdatasas.sharepoint.com/sites/pwa/ANT-RESO</t>
  </si>
  <si>
    <t xml:space="preserve"> ​Un centro de contacto en Villavicencio y un servicio de unidades móviles para agilizar la caracterización de las solicitudes recibidas en el marco del proceso de Registro de Sujetos de Ordenamiento (RESO) de la Agencia Nacional de Tierras, así como el desarrollo de una herramienta para el registro </t>
  </si>
  <si>
    <t>0337</t>
  </si>
  <si>
    <t>7cec2a49-4869-ef11-9771-00155d684b0c</t>
  </si>
  <si>
    <t>ELECTROHUILA- FORTINET</t>
  </si>
  <si>
    <t>https://growdatasas.sharepoint.com/sites/pwa/ELECTROHUILA- FORTINET</t>
  </si>
  <si>
    <t xml:space="preserve"> ​Compra, Instalación, configuración y puesta en marcha de un sistema de seguridad perimetral con equipos y licenciamiento FORTINET </t>
  </si>
  <si>
    <t>0340</t>
  </si>
  <si>
    <t>170c879a-c379-ef11-9770-00155d687501</t>
  </si>
  <si>
    <t>BISA - RUNT - CSE</t>
  </si>
  <si>
    <t>Diego Armando Giraldo Pachecho</t>
  </si>
  <si>
    <t>https://growdatasas.sharepoint.com/sites/pwa/BISA - RUNT - CSE</t>
  </si>
  <si>
    <t xml:space="preserve"> ​Contratar fábrica de software para el desarrollo de contenedores estratégicos RUNT, a partir de los casos de uso suministrados por el cliente, desarrollo de servicios web. </t>
  </si>
  <si>
    <t>0342</t>
  </si>
  <si>
    <t>bf1f2588-497b-ef11-9776-00155d68b20b</t>
  </si>
  <si>
    <t>UT CIBERSEGURIDAD MT</t>
  </si>
  <si>
    <t>Alberto Ramirez Nuñez</t>
  </si>
  <si>
    <t>https://growdatasas.sharepoint.com/sites/pwa/UT CIBERSEGURIDAD MT</t>
  </si>
  <si>
    <t xml:space="preserve"> ​Contratar servicios e infraestructura de seguridad digital y ciberseguridad a través de una solución tecnológica en caminada al fortalecimiento del cumplimiento de los estándares nacionales e internacionales por parte del ministerio de transporte. </t>
  </si>
  <si>
    <t>10026</t>
  </si>
  <si>
    <t>7834372e-5782-ef11-ba47-00155d684d05</t>
  </si>
  <si>
    <t>EXPERTIX - DEFENSORIA – RENOVACIÓN MEGA</t>
  </si>
  <si>
    <t>https://growdatasas.sharepoint.com/sites/pwa/EXPERTIX - DEFENSORIA – RENOVACIÓN MEGA</t>
  </si>
  <si>
    <t xml:space="preserve"> ​RENOVACION LICENCIAMIENTO MEGA EN LA DEFENSORIA DEL PUEBLO. </t>
  </si>
  <si>
    <t>0339</t>
  </si>
  <si>
    <t>750d983e-5f82-ef11-977e-00155d688508</t>
  </si>
  <si>
    <t>ADRES-MEGA HOPEX</t>
  </si>
  <si>
    <t>https://growdatasas.sharepoint.com/sites/pwa/ADRES-MEGA HOPEX</t>
  </si>
  <si>
    <t xml:space="preserve"> ​CONTRATAR LOS SERVICIOS DE RENOVACIÓN, SOPORTE, ACTUALIZACIÓN Y MIGRACIÓN DE LA HERRAMIENTA DE ARQUITECTURA EMPRESARIAL MEGA HOPEX DE LA ADRES. </t>
  </si>
  <si>
    <t>0343</t>
  </si>
  <si>
    <t>27b762b8-6282-ef11-9782-00155d688501</t>
  </si>
  <si>
    <t>CCD- ANT- ARQUITECTURA Y DESARROLLOS</t>
  </si>
  <si>
    <t>https://growdatasas.sharepoint.com/sites/pwa/CCD- ANT- ARQUITECTURA Y DESARROLLOS</t>
  </si>
  <si>
    <t xml:space="preserve"> ​Se propone prestar los servicios para la definición, diseño e implementación de arquitectura empresarial integral y de segmento para fortalecer las capacidades de análisis y estructuración de los sistemas de información de la Agencia Nacional de Tierras, de acuerdo con las especificaciones técnicas definidas por la Entidad. </t>
  </si>
  <si>
    <t>0344</t>
  </si>
  <si>
    <t>72cbf93a-8da6-ef11-bd95-00155d10dc02</t>
  </si>
  <si>
    <t>ERT-URT-HIPERCORVENGENCIA</t>
  </si>
  <si>
    <t>https://growdatasas.sharepoint.com/sites/pwa/ERT-URT-HIPERCORVENGENCIA</t>
  </si>
  <si>
    <t xml:space="preserve"> ​Suministro de una solución de Hiperconvergencia para la unidad de restitución de tierras </t>
  </si>
  <si>
    <t>0349</t>
  </si>
  <si>
    <t>fe16bf69-5ba7-ef11-bd93-00155d10f806</t>
  </si>
  <si>
    <t>SNR-MIGRACION FOLIO A SIR-BID</t>
  </si>
  <si>
    <t>https://growdatasas.sharepoint.com/sites/pwa/SNR-MIGRACION FOLIO A SIR-BID</t>
  </si>
  <si>
    <t xml:space="preserve"> ​EL PROVEEDOR o Prestador el Servicio se obliga con el Contratante a la prestación de servicios de no consultoría  para realizar la migración de la información de los sistemas misionales de la SNR contenida en las bases de datos del sistema Folio Magnético (local) para las Oficinas de Registro de Instrumentos Públicos de Tuquerres, Ipiales y Guateque al Sistema de Información Registral SIR (sistema centralizado). </t>
  </si>
  <si>
    <t>0350</t>
  </si>
  <si>
    <t>105f4a72-7aa7-ef11-bd97-00155d107901</t>
  </si>
  <si>
    <t>FNA - LICENCIAMIENTO MEGA HOPEX</t>
  </si>
  <si>
    <t>https://growdatasas.sharepoint.com/sites/pwa/FNA - LICENCIAMIENTO MEGA HOPEX</t>
  </si>
  <si>
    <t xml:space="preserve"> ​CONTRATAR LA HERRAMIENTA DE ARQUITECTURA EMPRESARIAL MEGA HOPEX EN LA MODALIDAD SAAS – SOFTWARE COMO SERVICIO, EN SU ÚLTIMA VERSIÓN PARA EL MODELAMIENTO DE LAS ARQUITECTURAS DE NEGOCIO Y DE TI DEL FONDO NACIONAL DEL AHORRO S.A. </t>
  </si>
  <si>
    <t>0351</t>
  </si>
  <si>
    <t>f25ed764-c9b0-ef11-bd94-00155d10b206</t>
  </si>
  <si>
    <t>RUNT-MIGRACIÓN MEGA</t>
  </si>
  <si>
    <t>https://growdatasas.sharepoint.com/sites/pwa/RUNT-MIGRACIÓN MEGA</t>
  </si>
  <si>
    <t xml:space="preserve"> ​ACTUALIZACION DE LA VERSION DE LA PLATAFORMA MEGA HOPEX EN LA EJECUCION DEL PROCESO DE MIGRACION RUNT. </t>
  </si>
  <si>
    <t>0348</t>
  </si>
  <si>
    <t>521f5ded-34b7-ef11-bbda-00155d105606</t>
  </si>
  <si>
    <t>DNP- LICENCIAMIENTO MEGAHOPEX</t>
  </si>
  <si>
    <t>https://growdatasas.sharepoint.com/sites/pwa/DNP- LICENCIAMIENTO MEGAHOPEX</t>
  </si>
  <si>
    <t xml:space="preserve"> ​ADQUIRIR, INSTALAR, CONFIGURAR Y PONER EN FUNCIONAMIENTO UN SISTEMA DE GESTIÓN DE LA ARQUITECTURA EMPRESARIAL, DE CONFORMIDAD CON LAS CONDICIONES TÉCNICAS EXIGIDAS POR EL DEPARTAMENTO NACIONAL DE PLANEACIÓN (DNP). </t>
  </si>
  <si>
    <t>0353</t>
  </si>
  <si>
    <t>1b5f767b-beb8-ef11-bbdf-00155d10cc0b</t>
  </si>
  <si>
    <t>UNIEMPRESARIAL-INFRAESTRUC ALIBABA</t>
  </si>
  <si>
    <t>https://growdatasas.sharepoint.com/sites/pwa/UNIEMPRESARIAL-INFRAESTRUC ALIBABA</t>
  </si>
  <si>
    <t xml:space="preserve"> ​Implementación, configuración y puesta en marcha del servicio de Nube Pública, ambiente de producción y de pruebas. </t>
  </si>
  <si>
    <t>0352</t>
  </si>
  <si>
    <t>b0b294ab-85bd-ef11-bbdd-00155d109601</t>
  </si>
  <si>
    <t>IDU-LICENCIAMIENTO MEGAHOPEX</t>
  </si>
  <si>
    <t>https://growdatasas.sharepoint.com/sites/pwa/IDU-LICENCIAMIENTO MEGAHOPEX</t>
  </si>
  <si>
    <t xml:space="preserve"> ​PRESTAR LOS SERVICIOS DE SOPORTE Y ACTUALIZACIÓN DEL SOFTWARE MEGA-HOPEX DE REPOSITORIO PARA LA ARQUITECTURA EMPRESARIAL DEL IDU. </t>
  </si>
  <si>
    <t>0354</t>
  </si>
  <si>
    <t>f9db1218-bbc6-ef11-bbdd-00155d688504</t>
  </si>
  <si>
    <t>UT CENTRO DE SERVICIOS DNP 2025</t>
  </si>
  <si>
    <t>Jose Alfonso Espinosa Rodriguez</t>
  </si>
  <si>
    <t>https://growdatasas.sharepoint.com/sites/pwa/UT CENTRO DE SERVICIOS DNP 2025</t>
  </si>
  <si>
    <t xml:space="preserve"> ​Servicios de Soporte, que permita la gestión, mantenimiento, administración, soporte técnico, monitoreo y disponibilidad de la infraestructura tecnológica que provee servicios de las (TIC), asegurando la continuidad en la operación e implementando el servicio de (SOC). </t>
  </si>
  <si>
    <t>10029</t>
  </si>
  <si>
    <t>0fba7e6f-4ac9-ef11-bbda-00155d688502</t>
  </si>
  <si>
    <t>UT TRANSITO PASTO - FIREWALL SEMAFOROS</t>
  </si>
  <si>
    <t>https://growdatasas.sharepoint.com/sites/pwa/UT TRANSITO PASTO - FRIREWALL SEMAFOROS</t>
  </si>
  <si>
    <t xml:space="preserve"> ​​​Renovación tecnológica Firewall 240D </t>
  </si>
  <si>
    <t>0356</t>
  </si>
  <si>
    <t>f7e43a42-42e2-ef11-8f0a-00155d10c30c</t>
  </si>
  <si>
    <t>COMREDES - URT - SOLUCIÓN HCI FASE II</t>
  </si>
  <si>
    <t>https://growdatasas.sharepoint.com/sites/pwa/COMREDES - UNIDAD RESTITUCION DE TIERRAS - HCI - Fase II</t>
  </si>
  <si>
    <t xml:space="preserve"> ​Venta solución HCI. </t>
  </si>
  <si>
    <t>0359</t>
  </si>
  <si>
    <t>1d360cd6-69e2-ef11-8f0b-00155d101608</t>
  </si>
  <si>
    <t>UT GROW OMEGA - CORTOLIMA</t>
  </si>
  <si>
    <t>https://growdatasas.sharepoint.com/sites/pwa/CORTOLIMA - RÍO OPIA Y SABANDIJA</t>
  </si>
  <si>
    <t xml:space="preserve"> ​FORMULACIÓN DE
INSTRUMENTOS PARA LA PLANIFICACIÓN Y ADMINISTRACIÓN DEL RECURSO HÍDRICO EN LA
SUBZONA HIDROGRÁFICA DEL RÍO OPIA Y SABANDIJA </t>
  </si>
  <si>
    <t>10030</t>
  </si>
  <si>
    <t>b33075ff-84e9-ef11-8f0e-00155d10160b</t>
  </si>
  <si>
    <t>PHARMBILLS - SEGURIDAD Y UPS</t>
  </si>
  <si>
    <t>https://growdatasas.sharepoint.com/sites/pwa/PHARMBILLS - SEGURIDAD Y UPS</t>
  </si>
  <si>
    <t xml:space="preserve"> Suministro de equipos Fortinet y Ups con instalación en la sede del cliente.​  </t>
  </si>
  <si>
    <t>0361</t>
  </si>
  <si>
    <t>2c75a646-56ed-ef11-8f0c-00155d10e412</t>
  </si>
  <si>
    <t>RUNT- PLANILLA DE DESPACHO</t>
  </si>
  <si>
    <t>https://growdatasas.sharepoint.com/sites/pwa/RUNT- PLANILLA DE DESPACHO</t>
  </si>
  <si>
    <t xml:space="preserve"> ​Desarrollo de casos uso para planilla de viajes, distribuidos en 107 casos de uso </t>
  </si>
  <si>
    <t>0360</t>
  </si>
  <si>
    <t>f3e379db-aefd-ef11-9121-00155d68400c</t>
  </si>
  <si>
    <t>CCD- PGN - PGN MDA INTEGRAL</t>
  </si>
  <si>
    <t>Francy Viviana Gonzalez Barriga</t>
  </si>
  <si>
    <t>https://growdatasas.sharepoint.com/sites/pwa/CCD- PGN - PGN MDA INTEGRAL</t>
  </si>
  <si>
    <t xml:space="preserve"> ​Prestar un servicio de mesa integral, con soporte en sitio en Bogotá y a nivel nacional, servicio de colocación, outsorcing de impresión, Servicio de UPS, Suministro de Portátiles, bolsa para cableado estructurado.		 </t>
  </si>
  <si>
    <t>0362</t>
  </si>
  <si>
    <t>2469b30a-cd0d-f011-9298-00155d102412</t>
  </si>
  <si>
    <t>EMTEL - ANT - INFRAESTRUCTURA 2025</t>
  </si>
  <si>
    <t>Marlon Fabian Moreno Buitrago</t>
  </si>
  <si>
    <t>https://growdatasas.sharepoint.com/sites/pwa/EMTEL - ANT - INFRAESTRUCTURA 2025</t>
  </si>
  <si>
    <t xml:space="preserve"> Brindar una solución integral para diferentes líneas de servicios y componentes tecnológicos que permitan garantizar la continuidad y adecuada operación de los Sistemas de Información de Tierras de la ANT y servicios conexos.    </t>
  </si>
  <si>
    <t>0363</t>
  </si>
  <si>
    <t>a30c7fbe-c51e-f011-92a8-00155d103b0a</t>
  </si>
  <si>
    <t>CONSYCOM- CAMARA FOTODETECCION</t>
  </si>
  <si>
    <t>https://growdatasas.sharepoint.com/sites/pwa/CONSYCOM- CAMARA FOTODETECCION</t>
  </si>
  <si>
    <t xml:space="preserve"> ​Suministro de Camara de Foto deteccion financiada a 60 meses 
    </t>
  </si>
  <si>
    <t>0364</t>
  </si>
  <si>
    <t>abb9e9f1-943c-f011-b02d-00155d101c0c</t>
  </si>
  <si>
    <t>UNIÓN TEMPORAL BIG DATA</t>
  </si>
  <si>
    <t>https://growdatasas.sharepoint.com/sites/pwa/UNIÓN TEMPORAL BIG DATA</t>
  </si>
  <si>
    <t xml:space="preserve"> ​REALIZAR LA EVALUACIÓN Y PROPUESTA DE ACTUALIZACIÓN DEL SISTEMA DE INFORMACIÓN DEL OBSERVATORIO NACIONAL DE SEGURIDAD VIAL CON BASE EN ARQUITECTURAS DE REFERENCIA PARA BIG DATA </t>
  </si>
  <si>
    <t>0371</t>
  </si>
  <si>
    <t>Activo.Iniciado</t>
  </si>
  <si>
    <t>836922e6-3a5b-f011-aa66-00155d103d05</t>
  </si>
  <si>
    <t>ERT-CNE-TI FASE 5</t>
  </si>
  <si>
    <t>Juan Carlos Muñoz Gomez</t>
  </si>
  <si>
    <t>https://growdatasas.sharepoint.com/sites/pwa/ERT-CNE-TI FASE 5</t>
  </si>
  <si>
    <t xml:space="preserve"> Contratar los servicios de una solución integral para mantener, asegurar y optimizar la plataforma tecnológica del CNE.   </t>
  </si>
  <si>
    <t>0369</t>
  </si>
  <si>
    <t>6705f71d-405b-f011-aa72-00155d101412</t>
  </si>
  <si>
    <t>ADRES-MEGA HOPEX 2025</t>
  </si>
  <si>
    <t>https://growdatasas.sharepoint.com/sites/pwa/ADRES-MEGA HOPEX 2025</t>
  </si>
  <si>
    <t xml:space="preserve"> ​Contratar la renovación del licenciamiento, actualizaciones y soporte técnico del software de arquitectura empresarial hopex de mega de la ADRES </t>
  </si>
  <si>
    <t>0370</t>
  </si>
  <si>
    <t>b351b482-1d7a-f011-b525-00155d685e04</t>
  </si>
  <si>
    <t>EMTEL-ANT-ARQ-SOFT-2025</t>
  </si>
  <si>
    <t>https://growdatasas.sharepoint.com/sites/pwa/EMTEL-ANT-ARQ-SOFT-2025</t>
  </si>
  <si>
    <t xml:space="preserve"> ​Fortalecimiento, integración y mejoras del sistema integral de tierras (SIT), Diseño e Implementación de la Arquitectura Empresarial (AE) y Gestión Estratégica de TI e Inteligencia Artificial para Ubicación Predial </t>
  </si>
  <si>
    <t>0372</t>
  </si>
  <si>
    <t>53987d4b-0a7e-f011-b522-00155d103c1f</t>
  </si>
  <si>
    <t>TELEFONICA - RNEC-ELECCIONES 2026</t>
  </si>
  <si>
    <t>Jose Leonardo Gutierrez Cumbe</t>
  </si>
  <si>
    <t>https://growdatasas.sharepoint.com/sites/pwa/TELEFONICA - RNEC-ELECCIONES 2026</t>
  </si>
  <si>
    <t xml:space="preserve"> Grow Data S.A.S. presenta una solución integral que cubre los tres componentes establecidos por TELEFÓNICA en el Capítulo XIII: Plan de Comunicaciones (acompañamiento regional y monitoreo Starlink), Mesa de ayuda nivel 1 y Plataforma Tecnológica de Comunicaciones (Infocandidatos).  </t>
  </si>
  <si>
    <t>0373</t>
  </si>
  <si>
    <t>949f22f0-0d7e-f011-b522-00155d109605</t>
  </si>
  <si>
    <t>FNA -DATAFABRIC</t>
  </si>
  <si>
    <t>https://growdatasas.sharepoint.com/sites/pwa/FNA-FNA -DATAFABRIC</t>
  </si>
  <si>
    <t xml:space="preserve">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t>
  </si>
  <si>
    <t>0374</t>
  </si>
  <si>
    <t>OK</t>
  </si>
  <si>
    <t>a9cd0d86-7287-f011-b73a-00155d102b0e</t>
  </si>
  <si>
    <t>SNR- MIGRACION FOLIO A SIR - 2025</t>
  </si>
  <si>
    <t>https://growdatasas.sharepoint.com/sites/pwa/SNR- MIGRACION FOLIO A SIR - 2025</t>
  </si>
  <si>
    <t xml:space="preserve"> ​CONTRATAR CON ENFOQUE DE CATASTRO MULTIPROPÓSITO LOS SERVICIOS DE NO CONSULTORÍA DE MIGRACIÓN DE LA INFORMACIÓN DE SISTEMAS MISIONALES DE LA SNR DE CONFORMIDAD CON LAS CARACTERÍSTICAS Y CONDICIONES ESTABLECIDAS EN LAS ESPECIFICACIONES TÉCNICAS DE LOS SERVICIOS </t>
  </si>
  <si>
    <t>0375</t>
  </si>
  <si>
    <t>bafcc872-0f88-f011-b73c-00155d107618</t>
  </si>
  <si>
    <t>CCD-INM-AE-2025</t>
  </si>
  <si>
    <t>https://growdatasas.sharepoint.com/sites/pwa/CCD-INM-AE-2025</t>
  </si>
  <si>
    <t xml:space="preserve"> ​CONTRATAR LOS SERVICIOS PARA IMPLEMENTAR LA HOJA DE RUTA DE ARQUITECTURA EMPRESARIAL, MODELO DE GESTIÓN POR PROCESOS Y MODELO DE GOBIERNO DE DATOS PARA EL INM </t>
  </si>
  <si>
    <t>0376</t>
  </si>
  <si>
    <t>005160ba-1588-f011-b73c-00155d109318</t>
  </si>
  <si>
    <t>FCM- HERRAMIENTA CALIDAD</t>
  </si>
  <si>
    <t>https://growdatasas.sharepoint.com/sites/pwa/FCM- HERRAMIENTA CALIDAD</t>
  </si>
  <si>
    <t xml:space="preserve"> ​Concurso
  de méritos  CM-02-FCM-2025.  
    Contrato de consultoría para el desarrollo de una herramienta para la
  calidad del dato en la interoperabilidad de los sistemas de recaudo de la
  Federación Colombiana de Municipios en cumplimiento de la función pública
  asignada - Simit   </t>
  </si>
  <si>
    <t>10032</t>
  </si>
  <si>
    <t>11742009-4d92-f011-b748-00155d10e50b</t>
  </si>
  <si>
    <t>UT PORTAL TRANSACCIONAL ALCALDIA BOG</t>
  </si>
  <si>
    <t>Gerardo Andres Segura Rincon</t>
  </si>
  <si>
    <t>https://growdatasas.sharepoint.com/sites/pwa/UT PORTAL TRANSACCIONAL ALCALDIA BOG</t>
  </si>
  <si>
    <t xml:space="preserve">UT PORTAL TRANSACCIONAL ALCALDIA BOG </t>
  </si>
  <si>
    <t>10031</t>
  </si>
  <si>
    <t>b2c2cee9-ca9f-f011-ad66-00155d10cc0e</t>
  </si>
  <si>
    <t>CODALTEC – MINISTERIO DEL INTERIOR</t>
  </si>
  <si>
    <t>https://growdatasas.sharepoint.com/sites/pwa/CODALTEC – MINISTERIO DEL INTERIOR</t>
  </si>
  <si>
    <t xml:space="preserve"> ​OBJETO:  	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t>
  </si>
  <si>
    <t>0005</t>
  </si>
  <si>
    <t>d79ac27b-ce9f-f011-ad66-00155d10d01e</t>
  </si>
  <si>
    <t>CONSYCOM - CAMARA DE FOTODECCION 2</t>
  </si>
  <si>
    <t>https://growdatasas.sharepoint.com/sites/pwa/CONSYCOM - CAMARA DE FOTODECCION 2</t>
  </si>
  <si>
    <t xml:space="preserve"> ​Realizar una venta financiada de una cámara de foto  iDS-TCE907-BR(F)/150m/1140(AF) Cámara para tres carriles a 5 años </t>
  </si>
  <si>
    <t>0378</t>
  </si>
  <si>
    <t>da7743bf-fe9f-f011-ad65-00155d10510e</t>
  </si>
  <si>
    <t>UT GROW OMEGA - CORTOLIMA - ERA</t>
  </si>
  <si>
    <t>https://growdatasas.sharepoint.com/sites/pwa/UT GROW OMEGA - CORTOLIMA - ERA</t>
  </si>
  <si>
    <t xml:space="preserve"> ​REALIZAR
LA EVALUACIÓN REGIONAL DEL AGUA EN EL DEPARTAMENTO DEL TOLIMA </t>
  </si>
  <si>
    <t>10033</t>
  </si>
  <si>
    <t>1b43123c-dca2-f011-ad61-00155d10ce02</t>
  </si>
  <si>
    <t>UT DATOS INTEGRALES CGR 2025</t>
  </si>
  <si>
    <t>https://growdatasas.sharepoint.com/sites/pwa/CONTRALORIA GENERAL DE LA REPUBLICA</t>
  </si>
  <si>
    <t xml:space="preserve">Diseñar e implementar un sistema metabuscador integral para los modelos de analítica e información generada por los procesos automatizados en la cgr, aprovechando las capacidades de data lake y haciendo uso de un modelo semántico de documentos, expediente electrónico y datos </t>
  </si>
  <si>
    <t>10034</t>
  </si>
  <si>
    <t>Activo</t>
  </si>
  <si>
    <t>814cb47a-69be-f011-a2d0-00155d102a0d</t>
  </si>
  <si>
    <t>CCD - CANCILLERIA-INFRAESTRUCTURA</t>
  </si>
  <si>
    <t>Yhon Jairo Martinez Gaviria</t>
  </si>
  <si>
    <t>https://growdatasas.sharepoint.com/sites/pwa/CCD - CANCILLERIA-INFRAESTRUCTURA</t>
  </si>
  <si>
    <t xml:space="preserve"> ​CCD - CANCILLERIA-INFRAESTRUCTURA   </t>
  </si>
  <si>
    <t>0379</t>
  </si>
  <si>
    <t>d48feed8-6abe-f011-a2cc-00155d11080d</t>
  </si>
  <si>
    <t>CCD-CANCILLERIA-VENTA DE EQUIPOS LAN Y SEG</t>
  </si>
  <si>
    <t>https://growdatasas.sharepoint.com/sites/pwa/CCD-CANCILLERIA-VENTA DE EQUIPOS LAN Y SEG</t>
  </si>
  <si>
    <t xml:space="preserve"> ​CCD-CANCILLERIA-VENTA DE EQUIPOS LAN Y SEG  </t>
  </si>
  <si>
    <t>0380</t>
  </si>
  <si>
    <t>3e0420fc-6cbe-f011-a2c4-00155d10161a</t>
  </si>
  <si>
    <t>UNAD- IMPLEMENTACION TI Y LABORATORIOS</t>
  </si>
  <si>
    <t>https://growdatasas.sharepoint.com/sites/pwa/UT - UNAD - CLARO</t>
  </si>
  <si>
    <t xml:space="preserve"> ​UT - UNAD - CLARO </t>
  </si>
  <si>
    <t>10038</t>
  </si>
  <si>
    <t>c5a4c8cd-7abe-f011-a2cf-00155d10ce0f</t>
  </si>
  <si>
    <t>FGN - INTRAESTRUCTURA DE RED</t>
  </si>
  <si>
    <t>https://growdatasas.sharepoint.com/sites/pwa/FGN - INTRAESTRUCTURA DE RED</t>
  </si>
  <si>
    <t xml:space="preserve">  "Suiministro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   </t>
  </si>
  <si>
    <t>0383</t>
  </si>
  <si>
    <t>7a907e06-82be-f011-a2c8-00155d104505</t>
  </si>
  <si>
    <t>DIAN-BORRADO SEGURO BLANCCO</t>
  </si>
  <si>
    <t>Lida Milena Rodriguez</t>
  </si>
  <si>
    <t>https://growdatasas.sharepoint.com/sites/pwa/DIAN-BORRADO SEGURO BLANCCO</t>
  </si>
  <si>
    <t xml:space="preserve"> ​EVENTO
PRESENTADO POR COLOMBIA COMPRA EFICIENTE </t>
  </si>
  <si>
    <t>0382</t>
  </si>
  <si>
    <t>de44d35f-a3c4-f011-a2d3-00155d10a20e</t>
  </si>
  <si>
    <t>CLARO -FGN - GOBIERNO DE DATOS</t>
  </si>
  <si>
    <t>John Fredy Farias Peña</t>
  </si>
  <si>
    <t>https://growdatasas.sharepoint.com/sites/pwa/CLARO -FGN - GOBIERNO DE DATOS</t>
  </si>
  <si>
    <t>Implementar un modelo integral de Gobierno de Datos en la FGN que permita fortalecer la coordinación, control y aprovechamiento estratégico de la información institucional</t>
  </si>
  <si>
    <t>0387</t>
  </si>
  <si>
    <t>cda84f1e-b9c4-f011-a2c3-00155d102501</t>
  </si>
  <si>
    <t>UT SOLUCIONES SOFTWARE 2025</t>
  </si>
  <si>
    <t>Mario Briceño Torres</t>
  </si>
  <si>
    <t>https://growdatasas.sharepoint.com/sites/pwa/UT SOLUCIONES SOFTWARE 2025</t>
  </si>
  <si>
    <t xml:space="preserve">  PRESTAR EL SERVICIO DE DESARROLLO, IMPLEMENTACION, SOPORTE Y MANTENIMIENTO ADAPTATIVO Y EVOLUTIVO PARA LA MEJORA CONTINUA DE SOLUCIONES DE SOFTWARE PARA LA FISCALÍA GENERAL DE LA NACION, MEDIANTE EL MODELO DE FABRICA DE SOFTWARE. </t>
  </si>
  <si>
    <t>10039</t>
  </si>
  <si>
    <t>d8464488-bcc4-f011-a2d2-00155d110115</t>
  </si>
  <si>
    <t>EMTEL-CNE-INFRAEST Y APLICACIONES 2025</t>
  </si>
  <si>
    <t>https://growdatasas.sharepoint.com/sites/pwa/EMTEL-CNE-INFRAEST Y APLICACIONES 2025</t>
  </si>
  <si>
    <t xml:space="preserve">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t>
  </si>
  <si>
    <t>0388</t>
  </si>
  <si>
    <t>cf6abfed-bec4-f011-a2d5-00155d10610d</t>
  </si>
  <si>
    <t>UT ANH FISCALIZACIÓN</t>
  </si>
  <si>
    <t>Jairo Alfredo Cuellar Ortiz</t>
  </si>
  <si>
    <t>https://growdatasas.sharepoint.com/sites/pwa/UT ANH FISCALIZACIÓN</t>
  </si>
  <si>
    <t xml:space="preserve">Desarrollar una solución tecnológica que integre los datos desde diversas fuentes hacia los sistemas de información que realizan el cálculo del Informe Diario de Producción (IDP) de la ANH y que permita la generación y visualización de la información de producción de hidrocarburos para la correcta fiscalización   </t>
  </si>
  <si>
    <t>10040</t>
  </si>
  <si>
    <t>a571ec8c-1aca-f011-86be-00155d10d427</t>
  </si>
  <si>
    <t>INTERNEXA-MT-ANALITICA IOT</t>
  </si>
  <si>
    <t>https://growdatasas.sharepoint.com/sites/pwa/INTERNEXA-MT-ANALITICA IOT</t>
  </si>
  <si>
    <t xml:space="preserve"> ​Renovación plataforma, conectividad y soporte técnico para el MINISTERIO DE TRANSPORTE continuidad del servicio </t>
  </si>
  <si>
    <t>0389</t>
  </si>
  <si>
    <t>e85d2141-26ca-f011-86be-00155d109619</t>
  </si>
  <si>
    <t>AEROCIVIL - ARQUITECTURA 2025</t>
  </si>
  <si>
    <t>https://growdatasas.sharepoint.com/sites/pwa/AEROCIVIL - ARQUITECTURA 2025</t>
  </si>
  <si>
    <t xml:space="preserve"> ​Prestar servicios para actualizar el modelo de la arquitectura   empresarial de gestión de TI y determinar el estado funcional y   técnico del proceso y sistema de información de mantenimiento   operacional aeronáutico -SIMOA. </t>
  </si>
  <si>
    <t>0385</t>
  </si>
  <si>
    <t>db1b0b93-c7ca-f011-86bf-00155d10c402</t>
  </si>
  <si>
    <t>COLPENSIONES-GOBDATOS</t>
  </si>
  <si>
    <t>Fernando Linares Castro</t>
  </si>
  <si>
    <t>https://growdatasas.sharepoint.com/sites/pwa/COLPENSIONES-GOBDATOS</t>
  </si>
  <si>
    <t xml:space="preserve"> ​PRESTACION DE SERVICIOS TECNICOS ESPECIALIZADOS PARA EL ANALISIS, DISEÑO, LEVANTAMIENTO TECNICO E IMPLEMENTACION DEL GOBIERNO DE DATOS PARA COLPENSIONES </t>
  </si>
  <si>
    <t>0381</t>
  </si>
  <si>
    <t>053eec63-eeca-f011-86c1-00155d106a17</t>
  </si>
  <si>
    <t>RUNT-DESARROLLO CALES</t>
  </si>
  <si>
    <t>https://growdatasas.sharepoint.com/sites/pwa/RUNT-DESARROLLO CALES</t>
  </si>
  <si>
    <t xml:space="preserve"> ​DESARROLLO DE SOFTWARE PARA IMPLEMENTACIÓN CALE Implementar las funcionalidades de Consulta, Registro y Validación del Examen Teórico de Conducción en RUNT para los Centros de Apoyo Logístico de Evaluación (CALE) según la Resolución 20253040037125 del 10/09/2025. </t>
  </si>
  <si>
    <t>0390</t>
  </si>
  <si>
    <t>a46c1f5d-1bd1-f011-86c0-00155d104312</t>
  </si>
  <si>
    <t>UT OUTSOURCING TECNOLOGICO 2025 MINVIVIENDA</t>
  </si>
  <si>
    <t>Blanca Johanna Rangel Martinez</t>
  </si>
  <si>
    <t>https://growdatasas.sharepoint.com/sites/pwa/UT OUTSOURCING TECNOLOGICO 2025 MINVIVIENDA</t>
  </si>
  <si>
    <t xml:space="preserve"> ​  UT OUTSOURCING TECNOLOGICO 2025 MINVIVIENDA   </t>
  </si>
  <si>
    <t>00001</t>
  </si>
  <si>
    <t>da353807-f0d1-f011-86be-00155d10d315</t>
  </si>
  <si>
    <t>SUPERSUBSIDIO-MEGA</t>
  </si>
  <si>
    <t>https://growdatasas.sharepoint.com/sites/pwa/SUPERSUBSIDIO-MEGA</t>
  </si>
  <si>
    <t xml:space="preserve"> ​LICENCIA MEGA </t>
  </si>
  <si>
    <t>0391</t>
  </si>
  <si>
    <t>ec074182-14e0-f011-9aac-00155d10d91f</t>
  </si>
  <si>
    <t>DNP-MEGAHOPEX</t>
  </si>
  <si>
    <t>https://growdatasas.sharepoint.com/sites/pwa/DNP-MEGAHOPEX</t>
  </si>
  <si>
    <t xml:space="preserve"> ​Contratar el soporte y mantenimiento del Sistema de Gestión de Arquitectura Empresarial MEGA HOPEX para el Departamento Nacional de Planeación, según lo especificado en el anexo técnico. </t>
  </si>
  <si>
    <t>2a4aeec0-1ee0-f011-9aac-00155d11040d</t>
  </si>
  <si>
    <t>CCD-DEPTO ADMON FUNCION PUBLICA-WAF</t>
  </si>
  <si>
    <t>https://growdatasas.sharepoint.com/sites/pwa/CCD-DEPTO ADMON FUNCION PUBLICA-WAF</t>
  </si>
  <si>
    <t xml:space="preserve"> ​Adquisición, instalación y configuración de un WEB Application Firewall para los servicios tecnológicos para el Departamento Administrativo de la Función Pública </t>
  </si>
  <si>
    <t>170cbfc7-d6e4-f011-9aac-00155d103e1e</t>
  </si>
  <si>
    <t>RAMA JUDICIAL - RENOVACION</t>
  </si>
  <si>
    <t>https://growdatasas.sharepoint.com/sites/pwa/RAMA JUDICIAL - RENOVACION</t>
  </si>
  <si>
    <t xml:space="preserve"> ​Adquirir el licenciamiento de la herramienta tecnológica Mega HOPEX Cloud, junto con la prestación de los servicios asociados de mantenimiento, soporte especializado y servicios sobre la solución, para soportar los procesos de arquitectura empresarial en la Rama Judicial. </t>
  </si>
  <si>
    <t>0384</t>
  </si>
  <si>
    <t>c611b5bc-bbe5-f011-9aac-00155d10300c</t>
  </si>
  <si>
    <t>UT ARQUITECTURA HACIENDA 2025</t>
  </si>
  <si>
    <t>https://growdatasas.sharepoint.com/sites/pwa/Secretaría Distrital de Hacienda - SDH</t>
  </si>
  <si>
    <t xml:space="preserve">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t>
  </si>
  <si>
    <t>26796451-d9f4-f011-8782-00155d10b911</t>
  </si>
  <si>
    <t>DATASEC-RENATA MININTERIOR-CIBERSEG</t>
  </si>
  <si>
    <t>https://growdatasas.sharepoint.com/sites/pwa/DATASEC-RENATA MININTERIOR-CIBERSEG</t>
  </si>
  <si>
    <t xml:space="preserve"> ​ Red Nacional de Investigación y Educación de Colombia - RENATA 		   </t>
  </si>
  <si>
    <t>0396</t>
  </si>
  <si>
    <t>44516f2a-f1fa-f011-b5f8-00155d10100b</t>
  </si>
  <si>
    <t>UT AMESC - ARN - ALQUILER EQUIPOS 2026</t>
  </si>
  <si>
    <t>https://growdatasas.sharepoint.com/sites/pwa/UT AMESC - ARN - ALQUILER EQUIPOS 2026</t>
  </si>
  <si>
    <t xml:space="preserve"> ​servicio de seguridad electronica		   </t>
  </si>
  <si>
    <t>0393</t>
  </si>
  <si>
    <t>466e3d54-fffa-f011-b5f8-00155d10e10d</t>
  </si>
  <si>
    <t>CCD - CONSEJO NACIONAL CNE - LICENCIAMIENTO</t>
  </si>
  <si>
    <t>https://growdatasas.sharepoint.com/sites/pwa/CCD - CONSEJO NACIONAL CNE - LICENCIAMIENTO</t>
  </si>
  <si>
    <t xml:space="preserve">  Suministro de licencias de uso de software comercial especializado como solución tecnológica Integral para el fortalecimiento tecnológicos de los procesos operativos y misionales de las diferentes áreas del consejo nacional electoral.  </t>
  </si>
  <si>
    <t>0398</t>
  </si>
  <si>
    <t>enero</t>
  </si>
  <si>
    <t>ADRES-MEGA HOPEX 2026</t>
  </si>
  <si>
    <t>https://growdatasas.sharepoint.com/sites/pwa/ADRES-MEGA HOPEX 2026</t>
  </si>
  <si>
    <t>Bolsa de Horas</t>
  </si>
  <si>
    <t>marzo</t>
  </si>
  <si>
    <t>abril</t>
  </si>
  <si>
    <t>mayo</t>
  </si>
  <si>
    <t>junio</t>
  </si>
  <si>
    <t>julio</t>
  </si>
  <si>
    <t>agosto</t>
  </si>
  <si>
    <t>septiembre</t>
  </si>
  <si>
    <t>octubre</t>
  </si>
  <si>
    <t>noviembre</t>
  </si>
  <si>
    <t>diciembre</t>
  </si>
  <si>
    <t>c56b3dfc-02fb-f011-b5fb-00155d10d10e</t>
  </si>
  <si>
    <t>INTERNEXA-SUPERINT SERV PUBLICOS-SOPORTE</t>
  </si>
  <si>
    <t>https://growdatasas.sharepoint.com/sites/pwa/INTERNEXA-SUPERINT SERV PUBLICOS-SOPORTE</t>
  </si>
  <si>
    <t xml:space="preserve"> ​Pestación de servicios de Mesa de Servicios, Soporte en sitio a nivel nacional, para la atención de incidentes y requerimientos en las diferentes verticales de Infraestructura, Networking, Seguridad y Software (Sistemas de información, Aplicaciones, herramientas).   </t>
  </si>
  <si>
    <t>0400</t>
  </si>
  <si>
    <t>8102396e-b6fc-f011-b5fb-00155d108229</t>
  </si>
  <si>
    <t>SPSM-DESARROLLO Y MIGRACION SPSM</t>
  </si>
  <si>
    <t>https://growdatasas.sharepoint.com/sites/pwa/SPSM-DESARROLLO Y MIGRACION SPSM</t>
  </si>
  <si>
    <t xml:space="preserve"> MIGRACIÓN Y ACTUALIZACIÓN DE LA PLATAFORMA ONLINE PUERTO VIRTUAL Y APP MÓVIL DEL PUERTO DE SANTA MARTA     </t>
  </si>
  <si>
    <t>15847220-bafc-f011-b5fb-00155d101522</t>
  </si>
  <si>
    <t>LA PREVISORA SEGUROS</t>
  </si>
  <si>
    <t>https://growdatasas.sharepoint.com/sites/pwa/LA PREVISORA SEGUROS</t>
  </si>
  <si>
    <t xml:space="preserve"> ​Servicio especializado que proporcione una solución Tecnológica de gestión de vulnerabilidades, orientada a la identificación, detección, prevención, análisis, monitoreo continuo y seguimiento en tiempo real 	de vulnerabilidades presentes en los activos tecnológicos de LA PREVISORA S.A   </t>
  </si>
  <si>
    <t>0402</t>
  </si>
  <si>
    <t>5ca1d5ae-31f5-f011-9aae-00155d10e102</t>
  </si>
  <si>
    <t>CLARO - CCB - SDWAN</t>
  </si>
  <si>
    <t>Jorge Andres Santana Bohorquez</t>
  </si>
  <si>
    <t>https://growdatasas.sharepoint.com/sites/pwa/CCB - CLARO - SDWAN</t>
  </si>
  <si>
    <t xml:space="preserve"> ​Solución SD-WAN  </t>
  </si>
  <si>
    <t>UT GROWDXT REDES LAN</t>
  </si>
  <si>
    <t>EON DIGITAL</t>
  </si>
  <si>
    <t>GROW DATA - ENTERRITORIO - ERP</t>
  </si>
  <si>
    <t>IMPLEMENTACIÓN PORTAL DE PROVEEDORES</t>
  </si>
  <si>
    <t>EMTEL-ANT-INFRAESTRUCTURA 2024</t>
  </si>
  <si>
    <t>UT PGD 2024_MIN TIC HABILITADORES</t>
  </si>
  <si>
    <t>TELEFONICA-RNEC-ELECCIONES 2024</t>
  </si>
  <si>
    <t>UT GOBIERNO DE DATOS CNE</t>
  </si>
  <si>
    <t>PGN ANALITICA DE DATOS</t>
  </si>
  <si>
    <t>ERT - CNE-TI FASE4</t>
  </si>
  <si>
    <t>ALDESARROLLO - DPC - CABLEADO ESTRUCTURADO</t>
  </si>
  <si>
    <t>ProjectActualCost</t>
  </si>
  <si>
    <t>ProjectActualDuration</t>
  </si>
  <si>
    <t>ProjectActualFinishDate</t>
  </si>
  <si>
    <t>ProjectActualStartDate</t>
  </si>
  <si>
    <t>ProjectActualWork</t>
  </si>
  <si>
    <t>ProjectACWP</t>
  </si>
  <si>
    <t>ProjectEarlyFinish</t>
  </si>
  <si>
    <t>ProjectEarlyStart</t>
  </si>
  <si>
    <t>ProjectEarnedValueIsStale</t>
  </si>
  <si>
    <t>ProjectEnterpriseFeatures</t>
  </si>
  <si>
    <t>ProjectFinishDate</t>
  </si>
  <si>
    <t>ProjectFinishVariance</t>
  </si>
  <si>
    <t>ProjectFixedCost</t>
  </si>
  <si>
    <t>ProjectIdentifier</t>
  </si>
  <si>
    <t>ProjectLateFinish</t>
  </si>
  <si>
    <t>ProjectLateStart</t>
  </si>
  <si>
    <t>ProjectLastPublishedDate</t>
  </si>
  <si>
    <t>ProjectModifiedDate</t>
  </si>
  <si>
    <t>ProjectPercentCompleted</t>
  </si>
  <si>
    <t>ProjectTitle</t>
  </si>
  <si>
    <t>EstadoIniciativa</t>
  </si>
  <si>
    <t>PorcentajeEsperadoN</t>
  </si>
  <si>
    <t>PorcentajeEsperado</t>
  </si>
  <si>
    <t>ClienteDirecto</t>
  </si>
  <si>
    <t>IDOportunidad</t>
  </si>
  <si>
    <t>EjecutivodeCuentas</t>
  </si>
  <si>
    <t>Preventa</t>
  </si>
  <si>
    <t>Tipodegestión</t>
  </si>
  <si>
    <t>ComentariosObservaciones</t>
  </si>
  <si>
    <t>Seguimiento</t>
  </si>
  <si>
    <t>Fecharealdefinalización</t>
  </si>
  <si>
    <t>Alerta</t>
  </si>
  <si>
    <t>Compromisos</t>
  </si>
  <si>
    <t>00000119</t>
  </si>
  <si>
    <t>100%</t>
  </si>
  <si>
    <t>0001</t>
  </si>
  <si>
    <t>CORPORACIÓN COLOMBIA DIGITAL</t>
  </si>
  <si>
    <t>NO APLICA</t>
  </si>
  <si>
    <t>Cliente Directo</t>
  </si>
  <si>
    <t>00000113</t>
  </si>
  <si>
    <t>1</t>
  </si>
  <si>
    <t>CODALTEC</t>
  </si>
  <si>
    <t>VARÓN RAMÍREZ CARLOS EDUARDO</t>
  </si>
  <si>
    <t xml:space="preserve"> ​</t>
  </si>
  <si>
    <t>00000105</t>
  </si>
  <si>
    <t>DIRECCIÓN DE IMPUESTOS Y ADUANAS NACIONALES - DIAN</t>
  </si>
  <si>
    <t>00000096</t>
  </si>
  <si>
    <t>https://growdatasas.sharepoint.com/sites/pwa/UT GROWDXT REDES LAN</t>
  </si>
  <si>
    <t>0.566176470588235</t>
  </si>
  <si>
    <t>10001</t>
  </si>
  <si>
    <t>GROW DATA SAS</t>
  </si>
  <si>
    <t>20250805</t>
  </si>
  <si>
    <t>FRANCO PINILLA DANIEL FRANCISCO</t>
  </si>
  <si>
    <t>URBANO BURITICA SARA NATHALY</t>
  </si>
  <si>
    <t>Cliente Indirecto</t>
  </si>
  <si>
    <t>SNR - MIGRACION FOLIO v1 linea base Agosto 14 de 2024 para SNR</t>
  </si>
  <si>
    <t>0.930131004366812</t>
  </si>
  <si>
    <t>SUPERINTENDENCIA DE NOTARIADO Y REGISTRO</t>
  </si>
  <si>
    <t>PARRA SEGURA JAIME OLBANY</t>
  </si>
  <si>
    <t>RODRIGUEZ PARRA MARIA ISABEL</t>
  </si>
  <si>
    <t>Mirecoles 11:00 a 11:30 am, Semanal</t>
  </si>
  <si>
    <t>20250702</t>
  </si>
  <si>
    <t>ADMINISTRADORA DE LOS RECURSOS DEL SISTEMA GENERAL DE SEGURIDAD SOCIAL EN SALUD - ADRES</t>
  </si>
  <si>
    <t>Entregables</t>
  </si>
  <si>
    <t>20250703</t>
  </si>
  <si>
    <t>https://growdatasas.sharepoint.com/sites/pwa/EON DIGITAL</t>
  </si>
  <si>
    <t>0.44473532008158</t>
  </si>
  <si>
    <t>20250304</t>
  </si>
  <si>
    <t>https://growdatasas.sharepoint.com/sites/pwa/GROW DATA - ENTERRITORIO - ERP</t>
  </si>
  <si>
    <t>BUITRÓN RUANO CARLOS HOLMES</t>
  </si>
  <si>
    <t>Alcance</t>
  </si>
  <si>
    <t>20250303</t>
  </si>
  <si>
    <t>https://growdatasas.sharepoint.com/sites/pwa/IMPLEMENTACIÓN PORTAL DE PROVEEDORES</t>
  </si>
  <si>
    <t>ALVAREZ NUÑEZ KIZZY DEYANIRA</t>
  </si>
  <si>
    <t>Alcance; Costos; Entregables; Jurídico; Tiempos</t>
  </si>
  <si>
    <t>20250201</t>
  </si>
  <si>
    <t>RUNT</t>
  </si>
  <si>
    <t>URBANO BURITICA DIANA CAROLINA</t>
  </si>
  <si>
    <t>OSPINA FUENTES DIANA CAROLINA</t>
  </si>
  <si>
    <t xml:space="preserve"> 21/05/2025 Se solicita el cambio del esquema de trabajo, reduciendo los sprints de 5 a 4.  En cuanto a la entrega 1, queda pendiente por parte del cliente la configuración de la herramienta para la gestión de bugs.  La entrega 2 se encuentra actualmente en fase de pruebas. Como parte de los cambios recientes, se han incorporado 21 nuevos casos de uso.  Adicionalmente, se han programado capacitaciones para los días 26, 28 y 30 del presente mes.   13/05/2025 Sprint1 finalizado y Sprint 2 en proceso , se pidieron cambio de prioridades en Sprint3, 4 y 5 puede que se realicen impactos en el cronograma. Próximo paso relevante paso a producción de MVP  </t>
  </si>
  <si>
    <t>Alcance; Tiempos</t>
  </si>
  <si>
    <t xml:space="preserve"> ​13/05/2025  </t>
  </si>
  <si>
    <t>20250104</t>
  </si>
  <si>
    <t>0.479702564808726</t>
  </si>
  <si>
    <t>PHARMBILLS</t>
  </si>
  <si>
    <t>OLIVOS NARANJO CAMILO ANDRÉS</t>
  </si>
  <si>
    <t xml:space="preserve"> ​13/05/2025. Se reactiva el proyecto de instalación a partir del día 20 de mayo.  </t>
  </si>
  <si>
    <t xml:space="preserve"> ​​13/05/2025: Seguimiento a instalación  </t>
  </si>
  <si>
    <t>20250103</t>
  </si>
  <si>
    <t>0.186320754716981</t>
  </si>
  <si>
    <t>COMREDES</t>
  </si>
  <si>
    <t>MUÑOZ MUÑOZ FELIPE</t>
  </si>
  <si>
    <t>RINCON ABRIL EDGAR FERNANDO</t>
  </si>
  <si>
    <t xml:space="preserve"> ​13/05/2025: Todo ok actividades cumplidas al 100%, facturado y pagado  </t>
  </si>
  <si>
    <t xml:space="preserve"> ​​13/05/2025: Programar sesión de cierre </t>
  </si>
  <si>
    <t>20241205</t>
  </si>
  <si>
    <t>MARIÑO CASTRO SANDRA MILENA</t>
  </si>
  <si>
    <t>EDWARD DAVID MONTAÑO GUTIERREZ</t>
  </si>
  <si>
    <t xml:space="preserve"> ​13/05/2025: Todas las actividades llevadas a cabo, facturado completamente  </t>
  </si>
  <si>
    <t xml:space="preserve"> ​13/05/2025: Programar sesión de cierre </t>
  </si>
  <si>
    <t>20241204</t>
  </si>
  <si>
    <t>DEPARTAMENTO NACIONAL DE PLANEACION - DNP</t>
  </si>
  <si>
    <t>UT Administrada</t>
  </si>
  <si>
    <t xml:space="preserve"> 15/05/2025 Se debe realizar seguimiento concluyendo con la necesidad de la contratación urgente del administrador de infraestructura debido al retiro presentado y, por otro lado, se debe definir internamente el alcance de la gestión de vulnerabilidades   13/05/2025 El equipo se encuentra completo y en operación. Se ha evidenciado un incremento en la demanda del recurso Luis Herrera. Aunque el cronograma ha tenido algunos ajustes, no se reportan desfases. Durante el mes de abril no se presentaron impactos en los ANS. Permanecen pendientes las facturas 4, 6 y 7. A nivel operativo, el comportamiento es adecuado, y en cuanto a mantenimiento, la gestión ha sido realizada conforme a lo planificado. Se alerta sobre una posible renuncia del Administrador de Infraestructura. </t>
  </si>
  <si>
    <t>Facturación; Costos</t>
  </si>
  <si>
    <t xml:space="preserve"> 15/05/2025 se debe confirmar junto a E&amp;C la posibilidad de dejar un recurso disponible   13/05/2025 Revisar fechas de los informes de E&amp;C en el informe de actividades  </t>
  </si>
  <si>
    <t>Cronograma para Migración de Versión en HOPEX - IDU_V1.0</t>
  </si>
  <si>
    <t>INSTITUTO DE DESARROLLO URBANO - IDU</t>
  </si>
  <si>
    <t>20241201</t>
  </si>
  <si>
    <t>20241104</t>
  </si>
  <si>
    <t>20241103</t>
  </si>
  <si>
    <t>67%</t>
  </si>
  <si>
    <t>FONDO NACIONAL DEL AHORRO - FNA</t>
  </si>
  <si>
    <t xml:space="preserve"> ​20/05/2025 Se factura de enero a marzo y se recibe nuevo cronograma para finalizar capacitaciones a Julio 13  </t>
  </si>
  <si>
    <t xml:space="preserve"> ​20/05/2025 Generar plan de consumo  </t>
  </si>
  <si>
    <t>20241102</t>
  </si>
  <si>
    <t xml:space="preserve">Migracion Folio 3 Oficinas </t>
  </si>
  <si>
    <t>Martes 9:00 a 10:00 am, Semanal</t>
  </si>
  <si>
    <t>20241101</t>
  </si>
  <si>
    <t>0.96551724137931</t>
  </si>
  <si>
    <t>EMPRESA DE RECURSOS TECNOLOGICOS ERT S.A.</t>
  </si>
  <si>
    <t>20241006</t>
  </si>
  <si>
    <t>Infra ANT</t>
  </si>
  <si>
    <t>https://growdatasas.sharepoint.com/sites/pwa/EMTEL-ANT-INFRAESTRUCTURA 2024</t>
  </si>
  <si>
    <t>0.973214285714286</t>
  </si>
  <si>
    <t>0347</t>
  </si>
  <si>
    <t>EMPRESA DE TELECOMUNICACIONES DE POPAYAN SA - EMTEL</t>
  </si>
  <si>
    <t>VARGAS MEJIA WILSON I</t>
  </si>
  <si>
    <t>20241005</t>
  </si>
  <si>
    <t>https://growdatasas.sharepoint.com/sites/pwa/UT PGD 2024_MIN TIC HABILITADORES</t>
  </si>
  <si>
    <t>10027</t>
  </si>
  <si>
    <t>MINISTERIO DE CIENCIA TECNOLOGÍA E INNOVACIÓN - MINCIENCIAS</t>
  </si>
  <si>
    <t>GONZALEZ RAMIREZ ALBERTO DE JESUS</t>
  </si>
  <si>
    <t xml:space="preserve"> ​20/05/2025 Pendiente cesión de derechos a la entidad. </t>
  </si>
  <si>
    <t xml:space="preserve"> ​​20/05/2025 Generar presentación de Retrospectiva </t>
  </si>
  <si>
    <t>20241004</t>
  </si>
  <si>
    <t>https://growdatasas.sharepoint.com/sites/pwa/TELEFONICA-RNEC-ELECCIONES 2024</t>
  </si>
  <si>
    <t>0345</t>
  </si>
  <si>
    <t>COLOMBIA TELECOMUNICACIONES SA ESP</t>
  </si>
  <si>
    <t>20241003</t>
  </si>
  <si>
    <t>https://growdatasas.sharepoint.com/sites/pwa/UT GROW BISA CNE</t>
  </si>
  <si>
    <t>10028</t>
  </si>
  <si>
    <t>CONSEJO NACIONAL ELECTORAL - CNE</t>
  </si>
  <si>
    <t>20241001</t>
  </si>
  <si>
    <t>20240803</t>
  </si>
  <si>
    <t>EXPERTIX SAS</t>
  </si>
  <si>
    <t>URBANO BURITICA CARLEY FERNANDO</t>
  </si>
  <si>
    <t>20240902</t>
  </si>
  <si>
    <t>MINISTERIO DE TRANSPORTE</t>
  </si>
  <si>
    <t>20240901</t>
  </si>
  <si>
    <t>BISA</t>
  </si>
  <si>
    <t xml:space="preserve"> 21/05/20251   1. Se inicia paso a producción posterior inicia soporte  2. Pendiente facturación de agosto que se da finalizando fase de pruebas   ​13/05/2025 Desarrollo ok, Garantía en proceso para la revisión y control de al menos 20% de cronograma. Casos de uso a nivel de cartera facturado, Pasos a seguir, fase de garantía y facturación de garantía  </t>
  </si>
  <si>
    <t>Semanalmente los Jueves 2pm</t>
  </si>
  <si>
    <t xml:space="preserve"> ​​13/05/2025 Seguimiento  </t>
  </si>
  <si>
    <t>20240804</t>
  </si>
  <si>
    <t>ELECTROHUILA S.A E.S.P</t>
  </si>
  <si>
    <t>HERRAN PARRA SERGIO</t>
  </si>
  <si>
    <t xml:space="preserve"> ​13/05/2025, Todo completado, se solicita programación de sesión de Cierre </t>
  </si>
  <si>
    <t>Martes de 9:30 a 10:00 AM</t>
  </si>
  <si>
    <t xml:space="preserve"> ​​13/05/2025, Se solicita programación de sesión de Cierre </t>
  </si>
  <si>
    <t>20240802</t>
  </si>
  <si>
    <t>0.937525520620662</t>
  </si>
  <si>
    <t>AGENCIA NACIONAL DE TIERRAS</t>
  </si>
  <si>
    <t xml:space="preserve"> 14/05/2025: Se realiza seguimiento al proyecto, presentando métricas actualizadas que evidencian el cumplimiento total de los ítems establecidos, especialmente en lo relacionado con la gestión de brigadas. El equipo de trabajo ha cumplido a cabalidad con los requisitos técnicos y operativos, manteniendo un desempeño constante y alineado con los objetivos del proyecto. No se reportan novedades en el equipo humano, destacando el compromiso y la estabilidad del personal asignado.   </t>
  </si>
  <si>
    <t>Martes 09:30 a 10:00am, Semanal</t>
  </si>
  <si>
    <t>Ninguna</t>
  </si>
  <si>
    <t xml:space="preserve"> ​14/05/2025: Generar presentación tipo brochure, según los requerimientos solicitados por el Ing. Carlos. </t>
  </si>
  <si>
    <t>20240801</t>
  </si>
  <si>
    <t xml:space="preserve"> ​26/05/2025 Se asigna estado de Postventa  </t>
  </si>
  <si>
    <t>Martes y Jueves 10:30 - 11:00 am, Semanal</t>
  </si>
  <si>
    <t>20240702</t>
  </si>
  <si>
    <t>GARNICA HERNANDEZ OLBER ALFREDO</t>
  </si>
  <si>
    <t>Miercoles 10:00 a 11:00 am, Semanal</t>
  </si>
  <si>
    <t>20240701</t>
  </si>
  <si>
    <t>20240604</t>
  </si>
  <si>
    <t>ALIANZA PUBLICA PARA EL DESARROLLO INTEGRAL - ALDESARROLLO</t>
  </si>
  <si>
    <t xml:space="preserve"> ​15/05/2025: El proceso de cierre se encuentra actualmente bloqueado. El Sr. Daniel realizará una avanzada comercial para dar continuidad al proceso.  En cuanto a la facturación, esta se encuentra en orden y sin novedades  </t>
  </si>
  <si>
    <t>Miercoles 10:00 a 10:30, Semanal</t>
  </si>
  <si>
    <t xml:space="preserve"> ​​15/05/2025: Seguimiento para cierre </t>
  </si>
  <si>
    <t>20240603</t>
  </si>
  <si>
    <t>Gestión de Requerimientos y Soporte en HOPEX</t>
  </si>
  <si>
    <t>0.787610619469027</t>
  </si>
  <si>
    <t>CONCESION RUNT 2.0</t>
  </si>
  <si>
    <t>P-180</t>
  </si>
  <si>
    <t>20240602</t>
  </si>
  <si>
    <t>0</t>
  </si>
  <si>
    <t>Miercoles 12:00 a 12:30 pm, Semanal</t>
  </si>
  <si>
    <t>20240601</t>
  </si>
  <si>
    <t>FONDO ACCIÓN</t>
  </si>
  <si>
    <t>Jueves 11:30 a 12:00m, Semanal</t>
  </si>
  <si>
    <t>20240504</t>
  </si>
  <si>
    <t>472 -SERVICIOS POSTALES NACIONALES SAS</t>
  </si>
  <si>
    <t>926</t>
  </si>
  <si>
    <t>20240502</t>
  </si>
  <si>
    <t>https://growdatasas.sharepoint.com/sites/pwa/PGN Analítica de datos</t>
  </si>
  <si>
    <t>20240501</t>
  </si>
  <si>
    <t>INFOTIC S.A.</t>
  </si>
  <si>
    <t>20240403</t>
  </si>
  <si>
    <t>CRONOGRAMA ERT CNE DATA CENTER V0.1</t>
  </si>
  <si>
    <t>https://growdatasas.sharepoint.com/sites/pwa/ERT - CNE-TI FASE4</t>
  </si>
  <si>
    <t>0367, 0358, 0325</t>
  </si>
  <si>
    <t xml:space="preserve"> 14/05/2025
Se realiza la presentación mensual, reportando un total de 350 servicios, lo que representa 50 menos que el mes anterior. En cuanto a los ANS, el cumplimiento se mantiene al 100% durante marzo. El cronograma de actividades presenta un avance del 92%. Aún no se ha definido si se realizará una renovación o adición de días. En caso de concretarse, preocupa la disponibilidad de recursos por día para cubrir la demanda. Respecto a cartera, se encuentra pendiente el cobro correspondiente al mes de febrero. Solo resta conciliar y presentar la factura de abril, ya que marzo está listo para facturación.  Se agrega el nuevo valor proyectado que es de 2539208946,46981 al costo que tenia inicial de 8273105934 para un total de 10812314880,4698</t>
  </si>
  <si>
    <t>Miercoles 8:30 a 9:00am, Semanal</t>
  </si>
  <si>
    <t xml:space="preserve"> ​14/05/2025 Se debe realizar seguimiento continuo con apoyo comercial para la renovación </t>
  </si>
  <si>
    <t>20240402</t>
  </si>
  <si>
    <t>Miercoles y Viernes 11:30 a 12:00 am, Semanal</t>
  </si>
  <si>
    <t>Alcance; Costos; Entregables; Facturación</t>
  </si>
  <si>
    <t>20240401</t>
  </si>
  <si>
    <t>DISEÑO DE ESTRATEGIA Y POLÍTICA DE SOSTENIBILIDAD-RESPONSABILIDAD SOCIAL E INFORME DE SOSTENIBILIDAD 2023</t>
  </si>
  <si>
    <t>903</t>
  </si>
  <si>
    <t>Miercoles y Viernes 9:30 a 10:00 am, Semanal</t>
  </si>
  <si>
    <t>Alcance; Entregables</t>
  </si>
  <si>
    <t>20240203</t>
  </si>
  <si>
    <t>ERT MIT IOT version para subir abril 29 de 2024</t>
  </si>
  <si>
    <t>Jueves 04:00 a 05:00pm, Semanal</t>
  </si>
  <si>
    <t>Alcance; Costos; Entregables; Facturación; Jurídico; Tiempos</t>
  </si>
  <si>
    <t>20240202</t>
  </si>
  <si>
    <t>MEDINA DURÁN VELKY LILIANA</t>
  </si>
  <si>
    <t>Martes 2:30 a 3:00pm, Semanal</t>
  </si>
  <si>
    <t>20240108</t>
  </si>
  <si>
    <t>706</t>
  </si>
  <si>
    <t>Se genera un otro sí al contrato en fecha 26/11/24</t>
  </si>
  <si>
    <t>Martes y Jueves  8:00 a 8:30 am, Semanal</t>
  </si>
  <si>
    <t>20240106</t>
  </si>
  <si>
    <t>FORTALECIMIENTO CABLEADO DEFENSORÍA</t>
  </si>
  <si>
    <t>https://growdatasas.sharepoint.com/sites/pwa/ALDESARROLLO - DPC - CABLEADO ESTRUCTURADO</t>
  </si>
  <si>
    <t>0.999305555555556</t>
  </si>
  <si>
    <t>0321, 0341, 0336</t>
  </si>
  <si>
    <t>20240105</t>
  </si>
  <si>
    <t>Miercoles 11:00 a 11:30am, Semanal</t>
  </si>
  <si>
    <t>20240104</t>
  </si>
  <si>
    <t>Miercoles y Viernes 9:00 a 9:15 am, Semanal</t>
  </si>
  <si>
    <t>Facturación</t>
  </si>
  <si>
    <t xml:space="preserve"> </t>
  </si>
  <si>
    <t xml:space="preserve">Centro de Costos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</si>
</sst>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 #,##0;[Red]\-&quot;$&quot;\ #,##0"/>
    <numFmt numFmtId="44" formatCode="_-&quot;$&quot;\ * #,##0.00_-;\-&quot;$&quot;\ * #,##0.00_-;_-&quot;$&quot;\ * &quot;-&quot;??_-;_-@_-"/>
    <numFmt numFmtId="164" formatCode="_-&quot;$&quot;\ * #,##0.0000_-;\-&quot;$&quot;\ * #,##0.0000_-;_-&quot;$&quot;\ * &quot;-&quot;??_-;_-@_-"/>
    <numFmt numFmtId="165" formatCode="0.0%"/>
  </numFmts>
  <fonts count="13"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b/>
      <sz val="11"/>
      <color theme="0"/>
      <name val="Century Gothic"/>
      <family val="2"/>
    </font>
    <font>
      <sz val="11"/>
      <color theme="1"/>
      <name val="Century Gothic"/>
      <family val="2"/>
    </font>
    <font>
      <sz val="11"/>
      <color rgb="FFFF0000"/>
      <name val="Century Gothic"/>
      <family val="2"/>
    </font>
    <font>
      <sz val="11"/>
      <name val="Calibri"/>
      <family val="2"/>
      <scheme val="minor"/>
    </font>
    <font>
      <u/>
      <sz val="11"/>
      <color theme="10"/>
      <name val="Calibri"/>
      <family val="2"/>
      <scheme val="minor"/>
    </font>
    <font>
      <b/>
      <sz val="9"/>
      <color indexed="81"/>
      <name val="Tahoma"/>
      <family val="2"/>
    </font>
    <font>
      <sz val="9"/>
      <color indexed="81"/>
      <name val="Tahoma"/>
      <family val="2"/>
    </font>
    <font>
      <sz val="11"/>
      <name val="Century Gothic"/>
      <family val="2"/>
    </font>
  </fonts>
  <fills count="9">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theme="9" tint="0.79998168889431442"/>
        <bgColor indexed="6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rgb="FFFFC000"/>
        <bgColor indexed="64"/>
      </patternFill>
    </fill>
  </fills>
  <borders count="16">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theme="8"/>
      </bottom>
      <diagonal/>
    </border>
    <border>
      <left/>
      <right/>
      <top style="thin">
        <color theme="4" tint="0.39997558519241921"/>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9" fillId="0" borderId="0" applyNumberFormat="0" applyFill="0" applyBorder="0" applyAlignment="0" applyProtection="0"/>
  </cellStyleXfs>
  <cellXfs count="159">
    <xf numFmtId="0" fontId="0" fillId="0" borderId="0" xfId="0"/>
    <xf numFmtId="0" fontId="2" fillId="0" borderId="1" xfId="0" applyFont="1" applyBorder="1" applyAlignment="1">
      <alignment horizontal="center" vertical="center"/>
    </xf>
    <xf numFmtId="14" fontId="2" fillId="0" borderId="2" xfId="0" applyNumberFormat="1" applyFont="1" applyBorder="1" applyAlignment="1">
      <alignment horizontal="center" vertical="center"/>
    </xf>
    <xf numFmtId="0" fontId="2" fillId="0" borderId="2" xfId="0" applyFont="1" applyBorder="1" applyAlignment="1">
      <alignment horizontal="center" vertical="center"/>
    </xf>
    <xf numFmtId="0" fontId="5" fillId="0" borderId="2" xfId="0" applyFont="1" applyBorder="1" applyAlignment="1">
      <alignment horizontal="center" vertical="center" wrapText="1"/>
    </xf>
    <xf numFmtId="44" fontId="5" fillId="0" borderId="2" xfId="1" applyFont="1" applyFill="1" applyBorder="1" applyAlignment="1">
      <alignment horizontal="center" vertical="center" wrapText="1"/>
    </xf>
    <xf numFmtId="1" fontId="5" fillId="0" borderId="2" xfId="0" applyNumberFormat="1" applyFont="1" applyBorder="1" applyAlignment="1">
      <alignment horizontal="center" vertical="center" wrapText="1"/>
    </xf>
    <xf numFmtId="9" fontId="5" fillId="0" borderId="2" xfId="2" applyFont="1" applyFill="1" applyBorder="1" applyAlignment="1">
      <alignment horizontal="center" vertical="center" wrapText="1"/>
    </xf>
    <xf numFmtId="0" fontId="5" fillId="0" borderId="3" xfId="0" applyFont="1" applyBorder="1" applyAlignment="1">
      <alignment horizontal="center" vertical="center" wrapText="1"/>
    </xf>
    <xf numFmtId="44" fontId="5" fillId="0" borderId="3" xfId="1" applyFont="1" applyFill="1" applyBorder="1" applyAlignment="1">
      <alignment horizontal="center" vertical="center" wrapText="1"/>
    </xf>
    <xf numFmtId="0" fontId="0" fillId="0" borderId="0" xfId="0" applyAlignment="1">
      <alignment horizontal="center"/>
    </xf>
    <xf numFmtId="0" fontId="0" fillId="0" borderId="1" xfId="0" applyBorder="1" applyAlignment="1">
      <alignment horizontal="center" vertical="center"/>
    </xf>
    <xf numFmtId="14" fontId="0" fillId="0" borderId="2" xfId="0" applyNumberFormat="1" applyBorder="1" applyAlignment="1">
      <alignment horizontal="center" vertical="center"/>
    </xf>
    <xf numFmtId="0" fontId="0" fillId="0" borderId="2" xfId="0" applyBorder="1" applyAlignment="1">
      <alignment horizontal="center"/>
    </xf>
    <xf numFmtId="22" fontId="0" fillId="0" borderId="2" xfId="0" applyNumberFormat="1" applyBorder="1" applyAlignment="1">
      <alignment horizontal="center"/>
    </xf>
    <xf numFmtId="0" fontId="0" fillId="0" borderId="2" xfId="0" applyBorder="1" applyAlignment="1">
      <alignment horizontal="center" vertical="center"/>
    </xf>
    <xf numFmtId="0" fontId="0" fillId="2" borderId="2" xfId="0" applyFill="1" applyBorder="1" applyAlignment="1">
      <alignment horizontal="center"/>
    </xf>
    <xf numFmtId="44" fontId="0" fillId="0" borderId="2" xfId="1" applyFont="1" applyFill="1" applyBorder="1" applyAlignment="1">
      <alignment horizontal="center" vertical="center"/>
    </xf>
    <xf numFmtId="14" fontId="0" fillId="0" borderId="2" xfId="1" applyNumberFormat="1" applyFont="1" applyFill="1" applyBorder="1" applyAlignment="1">
      <alignment horizontal="center" vertical="center"/>
    </xf>
    <xf numFmtId="14" fontId="6" fillId="0" borderId="2" xfId="1" applyNumberFormat="1" applyFont="1" applyFill="1" applyBorder="1" applyAlignment="1">
      <alignment horizontal="center" vertical="center"/>
    </xf>
    <xf numFmtId="1" fontId="6" fillId="0" borderId="2" xfId="0" applyNumberFormat="1" applyFont="1" applyBorder="1" applyAlignment="1">
      <alignment horizontal="center" vertical="center"/>
    </xf>
    <xf numFmtId="9" fontId="0" fillId="0" borderId="2" xfId="2" applyFont="1" applyFill="1" applyBorder="1" applyAlignment="1">
      <alignment horizontal="center" vertical="center"/>
    </xf>
    <xf numFmtId="44" fontId="6" fillId="0" borderId="2" xfId="0" applyNumberFormat="1" applyFont="1" applyBorder="1" applyAlignment="1">
      <alignment horizontal="center" vertical="center"/>
    </xf>
    <xf numFmtId="44" fontId="0" fillId="0" borderId="2" xfId="0" applyNumberFormat="1" applyBorder="1"/>
    <xf numFmtId="6" fontId="6" fillId="0" borderId="2" xfId="0" applyNumberFormat="1" applyFont="1" applyBorder="1" applyAlignment="1">
      <alignment horizontal="center" vertical="center"/>
    </xf>
    <xf numFmtId="2" fontId="0" fillId="0" borderId="2" xfId="0" applyNumberFormat="1" applyBorder="1" applyAlignment="1">
      <alignment horizontal="center" vertical="center"/>
    </xf>
    <xf numFmtId="2" fontId="6" fillId="0" borderId="2" xfId="0" applyNumberFormat="1" applyFont="1" applyBorder="1" applyAlignment="1">
      <alignment horizontal="center" vertical="center"/>
    </xf>
    <xf numFmtId="44" fontId="6" fillId="0" borderId="2" xfId="1" applyFont="1" applyFill="1" applyBorder="1" applyAlignment="1">
      <alignment horizontal="center" vertical="center"/>
    </xf>
    <xf numFmtId="0" fontId="0" fillId="0" borderId="0" xfId="0" applyAlignment="1">
      <alignment horizontal="center" vertical="center"/>
    </xf>
    <xf numFmtId="22" fontId="0" fillId="0" borderId="0" xfId="0" applyNumberFormat="1" applyAlignment="1">
      <alignment horizontal="center"/>
    </xf>
    <xf numFmtId="0" fontId="0" fillId="2" borderId="0" xfId="0" applyFill="1" applyAlignment="1">
      <alignment horizontal="center"/>
    </xf>
    <xf numFmtId="6" fontId="6" fillId="0" borderId="0" xfId="0" applyNumberFormat="1" applyFont="1" applyAlignment="1">
      <alignment horizontal="center" vertical="center"/>
    </xf>
    <xf numFmtId="0" fontId="0" fillId="0" borderId="4" xfId="0" applyBorder="1" applyAlignment="1">
      <alignment horizontal="center" vertical="center"/>
    </xf>
    <xf numFmtId="44" fontId="0" fillId="0" borderId="0" xfId="0" applyNumberFormat="1"/>
    <xf numFmtId="1" fontId="0" fillId="0" borderId="2" xfId="0" applyNumberFormat="1" applyBorder="1" applyAlignment="1">
      <alignment horizontal="center" vertical="center"/>
    </xf>
    <xf numFmtId="164" fontId="0" fillId="0" borderId="2" xfId="1" applyNumberFormat="1" applyFont="1" applyFill="1" applyBorder="1" applyAlignment="1">
      <alignment horizontal="center" vertical="center"/>
    </xf>
    <xf numFmtId="22" fontId="0" fillId="0" borderId="0" xfId="0" applyNumberFormat="1" applyAlignment="1">
      <alignment horizontal="center" vertical="center"/>
    </xf>
    <xf numFmtId="1" fontId="6" fillId="0" borderId="2" xfId="2" applyNumberFormat="1" applyFont="1" applyFill="1" applyBorder="1" applyAlignment="1">
      <alignment horizontal="center" vertical="center"/>
    </xf>
    <xf numFmtId="44" fontId="6" fillId="0" borderId="0" xfId="0" applyNumberFormat="1" applyFont="1" applyAlignment="1">
      <alignment horizontal="center" vertical="center"/>
    </xf>
    <xf numFmtId="22" fontId="0" fillId="0" borderId="2" xfId="0" applyNumberFormat="1" applyBorder="1" applyAlignment="1">
      <alignment horizontal="center" vertical="center"/>
    </xf>
    <xf numFmtId="14" fontId="0" fillId="3" borderId="2" xfId="0" applyNumberFormat="1" applyFill="1" applyBorder="1" applyAlignment="1">
      <alignment horizontal="center" vertical="center"/>
    </xf>
    <xf numFmtId="0" fontId="0" fillId="3" borderId="2" xfId="0" applyFill="1" applyBorder="1" applyAlignment="1">
      <alignment horizontal="center" vertical="center"/>
    </xf>
    <xf numFmtId="22" fontId="0" fillId="3" borderId="2" xfId="0" applyNumberFormat="1" applyFill="1" applyBorder="1" applyAlignment="1">
      <alignment horizontal="center" vertical="center"/>
    </xf>
    <xf numFmtId="44" fontId="0" fillId="3" borderId="2" xfId="1" applyFont="1" applyFill="1" applyBorder="1" applyAlignment="1">
      <alignment horizontal="center" vertical="center"/>
    </xf>
    <xf numFmtId="14" fontId="0" fillId="3" borderId="2" xfId="1" applyNumberFormat="1" applyFont="1" applyFill="1" applyBorder="1" applyAlignment="1">
      <alignment horizontal="center" vertical="center"/>
    </xf>
    <xf numFmtId="14" fontId="6" fillId="3" borderId="2" xfId="1" applyNumberFormat="1" applyFont="1" applyFill="1" applyBorder="1" applyAlignment="1">
      <alignment horizontal="center" vertical="center"/>
    </xf>
    <xf numFmtId="1" fontId="6" fillId="3" borderId="2" xfId="0" applyNumberFormat="1" applyFont="1" applyFill="1" applyBorder="1" applyAlignment="1">
      <alignment horizontal="center" vertical="center"/>
    </xf>
    <xf numFmtId="9" fontId="0" fillId="3" borderId="2" xfId="2" applyFont="1" applyFill="1" applyBorder="1" applyAlignment="1">
      <alignment horizontal="center" vertical="center"/>
    </xf>
    <xf numFmtId="44" fontId="6" fillId="3" borderId="2" xfId="0" applyNumberFormat="1" applyFont="1" applyFill="1" applyBorder="1" applyAlignment="1">
      <alignment horizontal="center" vertical="center"/>
    </xf>
    <xf numFmtId="6" fontId="6" fillId="3" borderId="2" xfId="0" applyNumberFormat="1" applyFont="1" applyFill="1" applyBorder="1" applyAlignment="1">
      <alignment horizontal="center" vertical="center"/>
    </xf>
    <xf numFmtId="2" fontId="0" fillId="3" borderId="2" xfId="0" applyNumberFormat="1" applyFill="1" applyBorder="1" applyAlignment="1">
      <alignment horizontal="center" vertical="center"/>
    </xf>
    <xf numFmtId="2" fontId="6" fillId="3" borderId="2" xfId="0" applyNumberFormat="1" applyFont="1" applyFill="1" applyBorder="1" applyAlignment="1">
      <alignment horizontal="center" vertical="center"/>
    </xf>
    <xf numFmtId="44" fontId="6" fillId="3" borderId="2" xfId="1" applyFont="1" applyFill="1" applyBorder="1" applyAlignment="1">
      <alignment horizontal="center" vertical="center"/>
    </xf>
    <xf numFmtId="0" fontId="0" fillId="3" borderId="0" xfId="0" applyFill="1" applyAlignment="1">
      <alignment horizontal="center" vertical="center"/>
    </xf>
    <xf numFmtId="9" fontId="6" fillId="0" borderId="2" xfId="2" applyFont="1" applyFill="1" applyBorder="1" applyAlignment="1">
      <alignment horizontal="center" vertical="center"/>
    </xf>
    <xf numFmtId="9" fontId="7" fillId="0" borderId="2" xfId="2" applyFont="1" applyFill="1" applyBorder="1" applyAlignment="1">
      <alignment horizontal="center" vertical="center"/>
    </xf>
    <xf numFmtId="0" fontId="0" fillId="3" borderId="1" xfId="0" applyFill="1" applyBorder="1" applyAlignment="1">
      <alignment horizontal="center" vertical="center"/>
    </xf>
    <xf numFmtId="0" fontId="6" fillId="3" borderId="2" xfId="0" applyFont="1" applyFill="1" applyBorder="1" applyAlignment="1">
      <alignment horizontal="center" vertical="center"/>
    </xf>
    <xf numFmtId="1" fontId="7" fillId="0" borderId="2" xfId="0" applyNumberFormat="1" applyFont="1" applyBorder="1" applyAlignment="1">
      <alignment horizontal="center" vertical="center"/>
    </xf>
    <xf numFmtId="0" fontId="8" fillId="4" borderId="2" xfId="0" applyFont="1" applyFill="1" applyBorder="1" applyAlignment="1">
      <alignment horizontal="center" vertical="center"/>
    </xf>
    <xf numFmtId="0" fontId="0" fillId="3" borderId="0" xfId="0" applyFill="1" applyAlignment="1">
      <alignment horizontal="center"/>
    </xf>
    <xf numFmtId="9" fontId="0" fillId="4" borderId="2" xfId="2" applyFont="1" applyFill="1" applyBorder="1" applyAlignment="1">
      <alignment horizontal="center" vertical="center"/>
    </xf>
    <xf numFmtId="165" fontId="0" fillId="0" borderId="2" xfId="2" applyNumberFormat="1" applyFont="1" applyFill="1" applyBorder="1" applyAlignment="1">
      <alignment horizontal="center" vertical="center"/>
    </xf>
    <xf numFmtId="0" fontId="0" fillId="4" borderId="2" xfId="0" applyFill="1" applyBorder="1" applyAlignment="1">
      <alignment horizontal="center" vertical="center"/>
    </xf>
    <xf numFmtId="0" fontId="0" fillId="5" borderId="1" xfId="0" applyFill="1" applyBorder="1" applyAlignment="1">
      <alignment horizontal="center" vertical="center"/>
    </xf>
    <xf numFmtId="14" fontId="0" fillId="5" borderId="2" xfId="0" applyNumberFormat="1" applyFill="1" applyBorder="1" applyAlignment="1">
      <alignment horizontal="center" vertical="center"/>
    </xf>
    <xf numFmtId="0" fontId="0" fillId="5" borderId="2" xfId="0" applyFill="1" applyBorder="1" applyAlignment="1">
      <alignment horizontal="center" vertical="center"/>
    </xf>
    <xf numFmtId="22" fontId="0" fillId="5" borderId="2" xfId="0" applyNumberFormat="1" applyFill="1" applyBorder="1" applyAlignment="1">
      <alignment horizontal="center" vertical="center"/>
    </xf>
    <xf numFmtId="44" fontId="0" fillId="5" borderId="2" xfId="1" applyFont="1" applyFill="1" applyBorder="1" applyAlignment="1">
      <alignment horizontal="center" vertical="center"/>
    </xf>
    <xf numFmtId="14" fontId="0" fillId="5" borderId="2" xfId="1" applyNumberFormat="1" applyFont="1" applyFill="1" applyBorder="1" applyAlignment="1">
      <alignment horizontal="center" vertical="center"/>
    </xf>
    <xf numFmtId="14" fontId="6" fillId="5" borderId="2" xfId="1" applyNumberFormat="1" applyFont="1" applyFill="1" applyBorder="1" applyAlignment="1">
      <alignment horizontal="center" vertical="center"/>
    </xf>
    <xf numFmtId="1" fontId="6" fillId="5" borderId="2" xfId="0" applyNumberFormat="1" applyFont="1" applyFill="1" applyBorder="1" applyAlignment="1">
      <alignment horizontal="center" vertical="center"/>
    </xf>
    <xf numFmtId="9" fontId="0" fillId="5" borderId="2" xfId="2" applyFont="1" applyFill="1" applyBorder="1" applyAlignment="1">
      <alignment horizontal="center" vertical="center"/>
    </xf>
    <xf numFmtId="6" fontId="6" fillId="5" borderId="2" xfId="0" applyNumberFormat="1" applyFont="1" applyFill="1" applyBorder="1" applyAlignment="1">
      <alignment horizontal="center" vertical="center"/>
    </xf>
    <xf numFmtId="44" fontId="0" fillId="5" borderId="0" xfId="0" applyNumberFormat="1" applyFill="1" applyAlignment="1">
      <alignment horizontal="center"/>
    </xf>
    <xf numFmtId="2" fontId="0" fillId="5" borderId="2" xfId="0" applyNumberFormat="1" applyFill="1" applyBorder="1" applyAlignment="1">
      <alignment horizontal="center" vertical="center"/>
    </xf>
    <xf numFmtId="2" fontId="6" fillId="5" borderId="2" xfId="0" applyNumberFormat="1" applyFont="1" applyFill="1" applyBorder="1" applyAlignment="1">
      <alignment horizontal="center" vertical="center"/>
    </xf>
    <xf numFmtId="44" fontId="6" fillId="5" borderId="2" xfId="1" applyFont="1" applyFill="1" applyBorder="1" applyAlignment="1">
      <alignment horizontal="center" vertical="center"/>
    </xf>
    <xf numFmtId="0" fontId="0" fillId="5" borderId="0" xfId="0" applyFill="1" applyAlignment="1">
      <alignment horizontal="center" vertical="center"/>
    </xf>
    <xf numFmtId="44" fontId="6" fillId="5" borderId="2" xfId="0" applyNumberFormat="1" applyFont="1" applyFill="1" applyBorder="1" applyAlignment="1">
      <alignment horizontal="center" vertical="center"/>
    </xf>
    <xf numFmtId="0" fontId="9" fillId="5" borderId="2" xfId="3" applyNumberFormat="1" applyFill="1" applyBorder="1" applyAlignment="1">
      <alignment horizontal="center" vertical="center"/>
    </xf>
    <xf numFmtId="44" fontId="0" fillId="5" borderId="0" xfId="1" applyFont="1" applyFill="1" applyBorder="1" applyAlignment="1">
      <alignment horizontal="center"/>
    </xf>
    <xf numFmtId="0" fontId="0" fillId="4" borderId="1" xfId="0" applyFill="1" applyBorder="1" applyAlignment="1">
      <alignment horizontal="center" vertical="center"/>
    </xf>
    <xf numFmtId="14" fontId="0" fillId="4" borderId="2" xfId="0" applyNumberFormat="1" applyFill="1" applyBorder="1" applyAlignment="1">
      <alignment horizontal="center" vertical="center"/>
    </xf>
    <xf numFmtId="22" fontId="0" fillId="4" borderId="2" xfId="0" applyNumberFormat="1" applyFill="1" applyBorder="1" applyAlignment="1">
      <alignment horizontal="center" vertical="center"/>
    </xf>
    <xf numFmtId="44" fontId="0" fillId="5" borderId="0" xfId="1" applyFont="1" applyFill="1" applyAlignment="1">
      <alignment horizontal="center"/>
    </xf>
    <xf numFmtId="6" fontId="6" fillId="5" borderId="5" xfId="0" applyNumberFormat="1" applyFont="1" applyFill="1" applyBorder="1" applyAlignment="1">
      <alignment horizontal="center" vertical="center"/>
    </xf>
    <xf numFmtId="6" fontId="6" fillId="5" borderId="6" xfId="0" applyNumberFormat="1" applyFont="1" applyFill="1" applyBorder="1" applyAlignment="1">
      <alignment horizontal="center" vertical="center"/>
    </xf>
    <xf numFmtId="6" fontId="6" fillId="5" borderId="1" xfId="0" applyNumberFormat="1" applyFont="1" applyFill="1" applyBorder="1" applyAlignment="1">
      <alignment horizontal="center" vertical="center"/>
    </xf>
    <xf numFmtId="6" fontId="6" fillId="5" borderId="7" xfId="0" applyNumberFormat="1" applyFont="1" applyFill="1" applyBorder="1" applyAlignment="1">
      <alignment horizontal="center" vertical="center"/>
    </xf>
    <xf numFmtId="6" fontId="6" fillId="5" borderId="8" xfId="0" applyNumberFormat="1" applyFont="1" applyFill="1" applyBorder="1" applyAlignment="1">
      <alignment horizontal="center" vertical="center"/>
    </xf>
    <xf numFmtId="44" fontId="6" fillId="5" borderId="9" xfId="1" applyFont="1" applyFill="1" applyBorder="1" applyAlignment="1">
      <alignment horizontal="center" vertical="center"/>
    </xf>
    <xf numFmtId="44" fontId="0" fillId="0" borderId="0" xfId="0" applyNumberFormat="1" applyAlignment="1">
      <alignment horizontal="center"/>
    </xf>
    <xf numFmtId="44" fontId="0" fillId="5" borderId="2" xfId="0" applyNumberFormat="1" applyFill="1" applyBorder="1" applyAlignment="1">
      <alignment horizontal="center"/>
    </xf>
    <xf numFmtId="6" fontId="0" fillId="5" borderId="2" xfId="0" applyNumberFormat="1" applyFill="1" applyBorder="1" applyAlignment="1">
      <alignment horizontal="center"/>
    </xf>
    <xf numFmtId="0" fontId="0" fillId="0" borderId="10" xfId="0" applyBorder="1" applyAlignment="1">
      <alignment horizontal="center" vertical="center"/>
    </xf>
    <xf numFmtId="14" fontId="0" fillId="0" borderId="11" xfId="0" applyNumberFormat="1" applyBorder="1" applyAlignment="1">
      <alignment horizontal="center" vertical="center"/>
    </xf>
    <xf numFmtId="0" fontId="0" fillId="0" borderId="11" xfId="0" applyBorder="1" applyAlignment="1">
      <alignment horizontal="center" vertical="center"/>
    </xf>
    <xf numFmtId="22" fontId="0" fillId="0" borderId="11" xfId="0" applyNumberFormat="1" applyBorder="1" applyAlignment="1">
      <alignment horizontal="center" vertical="center"/>
    </xf>
    <xf numFmtId="44" fontId="0" fillId="0" borderId="11" xfId="1" applyFont="1" applyFill="1" applyBorder="1" applyAlignment="1">
      <alignment horizontal="center" vertical="center"/>
    </xf>
    <xf numFmtId="14" fontId="0" fillId="0" borderId="11" xfId="1" applyNumberFormat="1" applyFont="1" applyFill="1" applyBorder="1" applyAlignment="1">
      <alignment horizontal="center" vertical="center"/>
    </xf>
    <xf numFmtId="14" fontId="6" fillId="0" borderId="11" xfId="1" applyNumberFormat="1" applyFont="1" applyFill="1" applyBorder="1" applyAlignment="1">
      <alignment horizontal="center" vertical="center"/>
    </xf>
    <xf numFmtId="1" fontId="6" fillId="0" borderId="11" xfId="0" applyNumberFormat="1" applyFont="1" applyBorder="1" applyAlignment="1">
      <alignment horizontal="center" vertical="center"/>
    </xf>
    <xf numFmtId="9" fontId="0" fillId="0" borderId="11" xfId="2" applyFont="1" applyFill="1" applyBorder="1" applyAlignment="1">
      <alignment horizontal="center" vertical="center"/>
    </xf>
    <xf numFmtId="44" fontId="6" fillId="0" borderId="11" xfId="0" applyNumberFormat="1" applyFont="1" applyBorder="1" applyAlignment="1">
      <alignment horizontal="center" vertical="center"/>
    </xf>
    <xf numFmtId="6" fontId="6" fillId="0" borderId="11" xfId="0" applyNumberFormat="1" applyFont="1" applyBorder="1" applyAlignment="1">
      <alignment horizontal="center" vertical="center"/>
    </xf>
    <xf numFmtId="2" fontId="0" fillId="0" borderId="11" xfId="0" applyNumberFormat="1" applyBorder="1" applyAlignment="1">
      <alignment horizontal="center" vertical="center"/>
    </xf>
    <xf numFmtId="2" fontId="6" fillId="0" borderId="11" xfId="0" applyNumberFormat="1" applyFont="1" applyBorder="1" applyAlignment="1">
      <alignment horizontal="center" vertical="center"/>
    </xf>
    <xf numFmtId="44" fontId="6" fillId="0" borderId="11" xfId="1" applyFont="1" applyFill="1" applyBorder="1" applyAlignment="1">
      <alignment horizontal="center" vertical="center"/>
    </xf>
    <xf numFmtId="0" fontId="0" fillId="5" borderId="11" xfId="0" applyFill="1" applyBorder="1" applyAlignment="1">
      <alignment horizontal="center" vertical="center"/>
    </xf>
    <xf numFmtId="14" fontId="0" fillId="5" borderId="11" xfId="0" applyNumberFormat="1" applyFill="1" applyBorder="1" applyAlignment="1">
      <alignment horizontal="center" vertical="center"/>
    </xf>
    <xf numFmtId="0" fontId="0" fillId="6" borderId="12" xfId="0" applyFill="1" applyBorder="1"/>
    <xf numFmtId="22" fontId="0" fillId="6" borderId="13" xfId="0" applyNumberFormat="1" applyFill="1" applyBorder="1"/>
    <xf numFmtId="0" fontId="0" fillId="6" borderId="13" xfId="0" applyFill="1" applyBorder="1"/>
    <xf numFmtId="44" fontId="0" fillId="5" borderId="11" xfId="1" applyFont="1" applyFill="1" applyBorder="1" applyAlignment="1">
      <alignment horizontal="center" vertical="center"/>
    </xf>
    <xf numFmtId="14" fontId="0" fillId="5" borderId="11" xfId="1" applyNumberFormat="1" applyFont="1" applyFill="1" applyBorder="1" applyAlignment="1">
      <alignment horizontal="center" vertical="center"/>
    </xf>
    <xf numFmtId="14" fontId="6" fillId="5" borderId="11" xfId="1" applyNumberFormat="1" applyFont="1" applyFill="1" applyBorder="1" applyAlignment="1">
      <alignment horizontal="center" vertical="center"/>
    </xf>
    <xf numFmtId="1" fontId="6" fillId="5" borderId="11" xfId="0" applyNumberFormat="1" applyFont="1" applyFill="1" applyBorder="1" applyAlignment="1">
      <alignment horizontal="center" vertical="center"/>
    </xf>
    <xf numFmtId="9" fontId="0" fillId="5" borderId="11" xfId="2" applyFont="1" applyFill="1" applyBorder="1" applyAlignment="1">
      <alignment horizontal="center" vertical="center"/>
    </xf>
    <xf numFmtId="6" fontId="6" fillId="5" borderId="11" xfId="0" applyNumberFormat="1" applyFont="1" applyFill="1" applyBorder="1" applyAlignment="1">
      <alignment horizontal="center" vertical="center"/>
    </xf>
    <xf numFmtId="44" fontId="6" fillId="5" borderId="11" xfId="0" applyNumberFormat="1" applyFont="1" applyFill="1" applyBorder="1" applyAlignment="1">
      <alignment horizontal="center" vertical="center"/>
    </xf>
    <xf numFmtId="2" fontId="0" fillId="5" borderId="11" xfId="0" applyNumberFormat="1" applyFill="1" applyBorder="1" applyAlignment="1">
      <alignment horizontal="center" vertical="center"/>
    </xf>
    <xf numFmtId="2" fontId="6" fillId="5" borderId="11" xfId="0" applyNumberFormat="1" applyFont="1" applyFill="1" applyBorder="1" applyAlignment="1">
      <alignment horizontal="center" vertical="center"/>
    </xf>
    <xf numFmtId="44" fontId="6" fillId="5" borderId="11" xfId="1" applyFont="1" applyFill="1" applyBorder="1" applyAlignment="1">
      <alignment horizontal="center" vertical="center"/>
    </xf>
    <xf numFmtId="0" fontId="0" fillId="5" borderId="14" xfId="0" applyFill="1" applyBorder="1" applyAlignment="1">
      <alignment horizontal="center" vertical="center"/>
    </xf>
    <xf numFmtId="14" fontId="0" fillId="5" borderId="14" xfId="0" applyNumberFormat="1" applyFill="1" applyBorder="1" applyAlignment="1">
      <alignment horizontal="center" vertical="center"/>
    </xf>
    <xf numFmtId="14" fontId="0" fillId="0" borderId="0" xfId="0" applyNumberFormat="1" applyAlignment="1">
      <alignment horizontal="center"/>
    </xf>
    <xf numFmtId="1" fontId="0" fillId="0" borderId="0" xfId="0" applyNumberFormat="1" applyAlignment="1">
      <alignment horizontal="center"/>
    </xf>
    <xf numFmtId="9" fontId="0" fillId="0" borderId="0" xfId="2" applyFont="1" applyAlignment="1">
      <alignment horizontal="center"/>
    </xf>
    <xf numFmtId="0" fontId="0" fillId="7" borderId="0" xfId="0" applyFill="1"/>
    <xf numFmtId="0" fontId="0" fillId="2" borderId="0" xfId="0" applyFill="1"/>
    <xf numFmtId="0" fontId="0" fillId="7" borderId="0" xfId="0" applyFill="1" applyAlignment="1">
      <alignment horizontal="center"/>
    </xf>
    <xf numFmtId="22" fontId="0" fillId="0" borderId="0" xfId="0" applyNumberFormat="1"/>
    <xf numFmtId="22" fontId="0" fillId="7" borderId="0" xfId="0" applyNumberFormat="1" applyFill="1"/>
    <xf numFmtId="0" fontId="4" fillId="0" borderId="0" xfId="0" applyFont="1"/>
    <xf numFmtId="44" fontId="0" fillId="0" borderId="0" xfId="1" applyFont="1"/>
    <xf numFmtId="0" fontId="0" fillId="3" borderId="0" xfId="0" applyFill="1"/>
    <xf numFmtId="44" fontId="4" fillId="6" borderId="15" xfId="0" applyNumberFormat="1" applyFont="1" applyFill="1" applyBorder="1"/>
    <xf numFmtId="6" fontId="0" fillId="0" borderId="2" xfId="1" applyNumberFormat="1" applyFont="1" applyFill="1" applyBorder="1" applyAlignment="1">
      <alignment horizontal="center" vertical="center"/>
    </xf>
    <xf numFmtId="6" fontId="8" fillId="0" borderId="2" xfId="1" applyNumberFormat="1" applyFont="1" applyFill="1" applyBorder="1" applyAlignment="1">
      <alignment horizontal="center" vertical="center"/>
    </xf>
    <xf numFmtId="14" fontId="8" fillId="0" borderId="2" xfId="1" applyNumberFormat="1" applyFont="1" applyFill="1" applyBorder="1" applyAlignment="1">
      <alignment horizontal="center" vertical="center"/>
    </xf>
    <xf numFmtId="14" fontId="12" fillId="0" borderId="2" xfId="1" applyNumberFormat="1" applyFont="1" applyFill="1" applyBorder="1" applyAlignment="1">
      <alignment horizontal="center" vertical="center"/>
    </xf>
    <xf numFmtId="1" fontId="12" fillId="0" borderId="2" xfId="0" applyNumberFormat="1" applyFont="1" applyBorder="1" applyAlignment="1">
      <alignment horizontal="center" vertical="center"/>
    </xf>
    <xf numFmtId="9" fontId="8" fillId="0" borderId="2" xfId="2" applyFont="1" applyFill="1" applyBorder="1" applyAlignment="1">
      <alignment horizontal="center" vertical="center"/>
    </xf>
    <xf numFmtId="44" fontId="8" fillId="0" borderId="0" xfId="0" applyNumberFormat="1" applyFont="1"/>
    <xf numFmtId="0" fontId="0" fillId="8" borderId="0" xfId="0" applyFill="1" applyAlignment="1">
      <alignment horizontal="center"/>
    </xf>
    <xf numFmtId="6" fontId="0" fillId="8" borderId="2" xfId="1" applyNumberFormat="1" applyFont="1" applyFill="1" applyBorder="1" applyAlignment="1">
      <alignment horizontal="center" vertical="center"/>
    </xf>
    <xf numFmtId="14" fontId="0" fillId="8" borderId="2" xfId="1" applyNumberFormat="1" applyFont="1" applyFill="1" applyBorder="1" applyAlignment="1">
      <alignment horizontal="center" vertical="center"/>
    </xf>
    <xf numFmtId="14" fontId="6" fillId="8" borderId="2" xfId="1" applyNumberFormat="1" applyFont="1" applyFill="1" applyBorder="1" applyAlignment="1">
      <alignment horizontal="center" vertical="center"/>
    </xf>
    <xf numFmtId="1" fontId="6" fillId="8" borderId="2" xfId="0" applyNumberFormat="1" applyFont="1" applyFill="1" applyBorder="1" applyAlignment="1">
      <alignment horizontal="center" vertical="center"/>
    </xf>
    <xf numFmtId="9" fontId="0" fillId="8" borderId="2" xfId="2" applyFont="1" applyFill="1" applyBorder="1" applyAlignment="1">
      <alignment horizontal="center" vertical="center"/>
    </xf>
    <xf numFmtId="44" fontId="0" fillId="8" borderId="0" xfId="0" applyNumberFormat="1" applyFill="1"/>
    <xf numFmtId="0" fontId="3" fillId="8" borderId="0" xfId="0" applyFont="1" applyFill="1" applyAlignment="1">
      <alignment horizontal="center"/>
    </xf>
    <xf numFmtId="6" fontId="3" fillId="8" borderId="2" xfId="1" applyNumberFormat="1" applyFont="1" applyFill="1" applyBorder="1" applyAlignment="1">
      <alignment horizontal="center" vertical="center"/>
    </xf>
    <xf numFmtId="44" fontId="6" fillId="8" borderId="0" xfId="0" applyNumberFormat="1" applyFont="1" applyFill="1" applyAlignment="1">
      <alignment horizontal="center" vertical="center"/>
    </xf>
    <xf numFmtId="44" fontId="3" fillId="8" borderId="2" xfId="0" applyNumberFormat="1" applyFont="1" applyFill="1" applyBorder="1"/>
    <xf numFmtId="2" fontId="6" fillId="0" borderId="2" xfId="0" applyNumberFormat="1" applyFont="1" applyFill="1" applyBorder="1" applyAlignment="1">
      <alignment horizontal="center" vertical="center"/>
    </xf>
    <xf numFmtId="2" fontId="6" fillId="0" borderId="9" xfId="0" applyNumberFormat="1" applyFont="1" applyFill="1" applyBorder="1" applyAlignment="1">
      <alignment horizontal="center" vertical="center"/>
    </xf>
    <xf numFmtId="2" fontId="6" fillId="0" borderId="11" xfId="0" applyNumberFormat="1" applyFont="1" applyFill="1" applyBorder="1" applyAlignment="1">
      <alignment horizontal="center" vertical="center"/>
    </xf>
  </cellXfs>
  <cellStyles count="4">
    <cellStyle name="Hipervínculo" xfId="3" builtinId="8"/>
    <cellStyle name="Moneda" xfId="1" builtinId="4"/>
    <cellStyle name="Normal" xfId="0" builtinId="0"/>
    <cellStyle name="Porcentaje" xfId="2" builtinId="5"/>
  </cellStyles>
  <dxfs count="104">
    <dxf>
      <font>
        <b val="0"/>
        <i val="0"/>
        <strike val="0"/>
        <condense val="0"/>
        <extend val="0"/>
        <outline val="0"/>
        <shadow val="0"/>
        <u val="none"/>
        <vertAlign val="baseline"/>
        <sz val="11"/>
        <color theme="1"/>
        <name val="Century Gothic"/>
        <family val="2"/>
        <scheme val="none"/>
      </font>
      <numFmt numFmtId="2" formatCode="0.00"/>
      <fill>
        <patternFill patternType="none">
          <fgColor rgb="FF000000"/>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entury Gothic"/>
        <family val="2"/>
        <scheme val="none"/>
      </font>
      <numFmt numFmtId="34" formatCode="_-&quot;$&quot;\ * #,##0.00_-;\-&quot;$&quot;\ * #,##0.0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34" formatCode="_-&quot;$&quot;\ * #,##0.00_-;\-&quot;$&quot;\ * #,##0.0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2"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2"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2"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2"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0" formatCode="&quot;$&quot;\ #,##0;[Red]\-&quot;$&quot;\ #,##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0" formatCode="&quot;$&quot;\ #,##0;[Red]\-&quot;$&quot;\ #,##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0" formatCode="&quot;$&quot;\ #,##0;[Red]\-&quot;$&quot;\ #,##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0" formatCode="&quot;$&quot;\ #,##0;[Red]\-&quot;$&quot;\ #,##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name val="Century Gothic"/>
        <family val="2"/>
        <scheme val="none"/>
      </font>
      <numFmt numFmtId="34" formatCode="_-&quot;$&quot;\ * #,##0.00_-;\-&quot;$&quot;\ * #,##0.00_-;_-&quot;$&quot;\ * &quot;-&quot;??_-;_-@_-"/>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9" formatCode="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9" formatCode="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4" formatCode="_-&quot;$&quot;\ * #,##0.00_-;\-&quot;$&quot;\ * #,##0.0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5" tint="0.79998168889431442"/>
        </patternFill>
      </fill>
      <alignment horizontal="center" vertical="bottom"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ill>
        <patternFill patternType="none">
          <fgColor indexed="64"/>
          <bgColor indexed="65"/>
        </patternFill>
      </fill>
    </dxf>
    <dxf>
      <border outline="0">
        <left style="thin">
          <color rgb="FF000000"/>
        </left>
      </border>
    </dxf>
    <dxf>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1"/>
        <color theme="0"/>
        <name val="Century Gothic"/>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patternType="none">
          <fgColor indexed="64"/>
          <bgColor auto="1"/>
        </patternFill>
      </fill>
      <alignment horizontal="center" vertical="center" textRotation="0" indent="0" justifyLastLine="0" shrinkToFit="0" readingOrder="0"/>
    </dxf>
    <dxf>
      <fill>
        <patternFill patternType="none">
          <fgColor indexed="64"/>
          <bgColor auto="1"/>
        </patternFill>
      </fill>
      <alignment horizontal="center" vertical="center" textRotation="0" indent="0" justifyLastLine="0" shrinkToFit="0" readingOrder="0"/>
    </dxf>
    <dxf>
      <fill>
        <patternFill patternType="none">
          <fgColor indexed="64"/>
          <bgColor auto="1"/>
        </patternFill>
      </fill>
      <alignment horizontal="center" vertical="center" textRotation="0" indent="0" justifyLastLine="0" shrinkToFit="0" readingOrder="0"/>
    </dxf>
    <dxf>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1"/>
        <color theme="1"/>
        <name val="Century Gothic"/>
        <family val="2"/>
        <scheme val="none"/>
      </font>
      <numFmt numFmtId="34" formatCode="_-&quot;$&quot;\ * #,##0.00_-;\-&quot;$&quot;\ * #,##0.0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34" formatCode="_-&quot;$&quot;\ * #,##0.00_-;\-&quot;$&quot;\ * #,##0.0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2"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2"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2"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0" formatCode="&quot;$&quot;\ #,##0;[Red]\-&quot;$&quot;\ #,##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0" formatCode="&quot;$&quot;\ #,##0;[Red]\-&quot;$&quot;\ #,##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0" formatCode="&quot;$&quot;\ #,##0;[Red]\-&quot;$&quot;\ #,##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0" formatCode="&quot;$&quot;\ #,##0;[Red]\-&quot;$&quot;\ #,##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0" formatCode="&quot;$&quot;\ #,##0;[Red]\-&quot;$&quot;\ #,##0"/>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name val="Century Gothic"/>
        <family val="2"/>
        <scheme val="none"/>
      </font>
      <numFmt numFmtId="34" formatCode="_-&quot;$&quot;\ * #,##0.00_-;\-&quot;$&quot;\ * #,##0.00_-;_-&quot;$&quot;\ * &quot;-&quot;??_-;_-@_-"/>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9" formatCode="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9" formatCode="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4" formatCode="_-&quot;$&quot;\ * #,##0.00_-;\-&quot;$&quot;\ * #,##0.0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7" formatCode="d/mm/yyyy\ h:mm"/>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border>
    </dxf>
    <dxf>
      <fill>
        <patternFill patternType="none">
          <fgColor indexed="64"/>
          <bgColor auto="1"/>
        </patternFill>
      </fill>
      <alignment horizontal="center" vertical="center" textRotation="0" indent="0" justifyLastLine="0" shrinkToFit="0" readingOrder="0"/>
    </dxf>
    <dxf>
      <font>
        <b/>
        <i val="0"/>
        <strike val="0"/>
        <condense val="0"/>
        <extend val="0"/>
        <outline val="0"/>
        <shadow val="0"/>
        <u val="none"/>
        <vertAlign val="baseline"/>
        <sz val="11"/>
        <color theme="0"/>
        <name val="Century Gothic"/>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entury Gothic"/>
        <family val="2"/>
        <scheme val="none"/>
      </font>
      <numFmt numFmtId="34" formatCode="_-&quot;$&quot;\ * #,##0.00_-;\-&quot;$&quot;\ * #,##0.0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34" formatCode="_-&quot;$&quot;\ * #,##0.00_-;\-&quot;$&quot;\ * #,##0.0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2"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2"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2"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2"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0" formatCode="&quot;$&quot;\ #,##0;[Red]\-&quot;$&quot;\ #,##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0" formatCode="&quot;$&quot;\ #,##0;[Red]\-&quot;$&quot;\ #,##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0" formatCode="&quot;$&quot;\ #,##0;[Red]\-&quot;$&quot;\ #,##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0" formatCode="&quot;$&quot;\ #,##0;[Red]\-&quot;$&quot;\ #,##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name val="Century Gothic"/>
        <family val="2"/>
        <scheme val="none"/>
      </font>
      <numFmt numFmtId="34" formatCode="_-&quot;$&quot;\ * #,##0.00_-;\-&quot;$&quot;\ * #,##0.00_-;_-&quot;$&quot;\ * &quot;-&quot;??_-;_-@_-"/>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entury Gothic"/>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9" formatCode="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9" formatCode="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4" formatCode="_-&quot;$&quot;\ * #,##0.00_-;\-&quot;$&quot;\ * #,##0.0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5" tint="0.79998168889431442"/>
        </patternFill>
      </fill>
      <alignment horizontal="center" vertical="bottom"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ill>
        <patternFill patternType="none">
          <fgColor indexed="64"/>
          <bgColor indexed="65"/>
        </patternFill>
      </fill>
    </dxf>
    <dxf>
      <border outline="0">
        <left style="thin">
          <color rgb="FF000000"/>
        </left>
      </border>
    </dxf>
    <dxf>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1"/>
        <color theme="0"/>
        <name val="Century Gothic"/>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owdatasas.sharepoint.com/sites/Gestiondocumental/GProyecOper/PMO/GestionPMO/Documentos%20compartidos/2.%20Oficina%20de%20Proyectos/3.%20Bases%20de%20Datos/2.%20BBDD%20Indicadores%20Proyecto..xlsx" TargetMode="External"/><Relationship Id="rId1" Type="http://schemas.openxmlformats.org/officeDocument/2006/relationships/externalLinkPath" Target="https://growdatasas.sharepoint.com/sites/Gestiondocumental/GProyecOper/PMO/GestionPMO/Documentos%20compartidos/2.%20Oficina%20de%20Proyectos/3.%20Bases%20de%20Datos/2.%20BBDD%20Indicadores%20Proyecto..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LBERTO.RAMIREZ\Downloads\Data%20Sincronizada%20PWA.xlsx" TargetMode="External"/><Relationship Id="rId1" Type="http://schemas.openxmlformats.org/officeDocument/2006/relationships/externalLinkPath" Target="Data%20Sincronizada%20PW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porte"/>
      <sheetName val="Resumen"/>
      <sheetName val="Indicador"/>
      <sheetName val="Para Consultor Meses"/>
      <sheetName val="Para Consultor Cerrados"/>
      <sheetName val="dATA dIANA"/>
      <sheetName val="Hoja1"/>
      <sheetName val="Diccionario"/>
      <sheetName val="Hoja3"/>
    </sheetNames>
    <sheetDataSet>
      <sheetData sheetId="0"/>
      <sheetData sheetId="1"/>
      <sheetData sheetId="2"/>
      <sheetData sheetId="3"/>
      <sheetData sheetId="4"/>
      <sheetData sheetId="5"/>
      <sheetData sheetId="6"/>
      <sheetData sheetId="7">
        <row r="1">
          <cell r="C1" t="str">
            <v>ProjectName</v>
          </cell>
          <cell r="D1" t="str">
            <v>CCOSTO</v>
          </cell>
          <cell r="E1" t="str">
            <v>Ingreso Model 1</v>
          </cell>
          <cell r="F1" t="str">
            <v>Costo Model 1</v>
          </cell>
          <cell r="G1" t="str">
            <v>Utilidad Bruta 1</v>
          </cell>
          <cell r="H1" t="str">
            <v>Ingreso Model 2</v>
          </cell>
          <cell r="I1" t="str">
            <v>Costo Model 2</v>
          </cell>
          <cell r="J1" t="str">
            <v>Utilidad Bruta 2</v>
          </cell>
          <cell r="K1" t="str">
            <v>Ingreso Model 3</v>
          </cell>
          <cell r="L1" t="str">
            <v>Costo Model 3</v>
          </cell>
          <cell r="M1" t="str">
            <v>Utilidad Bruta 3</v>
          </cell>
          <cell r="N1" t="str">
            <v>Ingreso Model 4</v>
          </cell>
          <cell r="O1" t="str">
            <v>Costo Model 4</v>
          </cell>
          <cell r="P1" t="str">
            <v>Utilidad Bruta 4</v>
          </cell>
          <cell r="Q1" t="str">
            <v>Ingreso Model 5</v>
          </cell>
          <cell r="R1" t="str">
            <v>Costo Model 5</v>
          </cell>
          <cell r="S1" t="str">
            <v>Utilidad Bruta 5</v>
          </cell>
          <cell r="T1" t="str">
            <v>Ingreso Model 6</v>
          </cell>
          <cell r="U1" t="str">
            <v>Costo Model 6</v>
          </cell>
          <cell r="V1" t="str">
            <v>Utilidad Bruta 6</v>
          </cell>
          <cell r="W1" t="str">
            <v>Total Ingresos</v>
          </cell>
          <cell r="X1" t="str">
            <v>Total Costos</v>
          </cell>
          <cell r="Y1" t="str">
            <v>Utilidad Bruta</v>
          </cell>
          <cell r="Z1" t="str">
            <v>Inicio</v>
          </cell>
          <cell r="AA1" t="str">
            <v>Fin</v>
          </cell>
          <cell r="AB1" t="str">
            <v>Meses</v>
          </cell>
          <cell r="AC1" t="str">
            <v>Url</v>
          </cell>
        </row>
        <row r="2">
          <cell r="C2" t="str">
            <v>ERT-URT-HIPERCORVENGENCIA</v>
          </cell>
          <cell r="D2" t="str">
            <v>0349</v>
          </cell>
          <cell r="E2">
            <v>443520000</v>
          </cell>
          <cell r="F2">
            <v>314881564</v>
          </cell>
          <cell r="G2">
            <v>128638436</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443520000</v>
          </cell>
          <cell r="X2">
            <v>314881564</v>
          </cell>
          <cell r="Y2">
            <v>128638436</v>
          </cell>
          <cell r="Z2">
            <v>45292</v>
          </cell>
          <cell r="AA2">
            <v>45321</v>
          </cell>
          <cell r="AB2">
            <v>0.97</v>
          </cell>
          <cell r="AC2" t="str">
            <v>https://growdatasas.sharepoint.com/:x:/r/sites/Gestiondocumental/Administrativa/GD/Financiera/_layouts/15/Doc.aspx?sourcedoc=%7BEA2AC996-D46C-4123-8126-7F0BE9537AF4%7D&amp;file=20241108%20MODELO%20FINANCIERO%20REFERENCIA%20V7.2%20APROBADO.xlsm&amp;action=default&amp;mobileredirect=true</v>
          </cell>
        </row>
        <row r="3">
          <cell r="C3" t="str">
            <v>TELEFONICA - SENA MDA</v>
          </cell>
          <cell r="D3" t="str">
            <v>0319</v>
          </cell>
          <cell r="E3">
            <v>10250672943</v>
          </cell>
          <cell r="F3">
            <v>7806909725</v>
          </cell>
          <cell r="G3">
            <v>2443763218</v>
          </cell>
          <cell r="H3">
            <v>5650385954</v>
          </cell>
          <cell r="I3">
            <v>5537378235</v>
          </cell>
          <cell r="J3">
            <v>113007719</v>
          </cell>
          <cell r="K3">
            <v>0</v>
          </cell>
          <cell r="L3">
            <v>0</v>
          </cell>
          <cell r="M3">
            <v>0</v>
          </cell>
          <cell r="N3">
            <v>0</v>
          </cell>
          <cell r="O3">
            <v>0</v>
          </cell>
          <cell r="P3">
            <v>0</v>
          </cell>
          <cell r="Q3">
            <v>0</v>
          </cell>
          <cell r="R3">
            <v>0</v>
          </cell>
          <cell r="S3">
            <v>0</v>
          </cell>
          <cell r="T3">
            <v>0</v>
          </cell>
          <cell r="U3">
            <v>0</v>
          </cell>
          <cell r="V3">
            <v>0</v>
          </cell>
          <cell r="W3">
            <v>15901058897</v>
          </cell>
          <cell r="X3">
            <v>13344287960</v>
          </cell>
          <cell r="Y3">
            <v>2556770937</v>
          </cell>
          <cell r="Z3">
            <v>45292</v>
          </cell>
          <cell r="AA3">
            <v>45381</v>
          </cell>
          <cell r="AB3">
            <v>2.97</v>
          </cell>
          <cell r="AC3" t="str">
            <v>https://growdatasas.sharepoint.com/:x:/r/sites/Gestiondocumental/Administrativa/GD/Financiera/_layouts/15/Doc.aspx?sourcedoc=%7B06FB1484-E2DE-40DA-83E0-D97F6AF0AE9B%7D&amp;file=MODELO%20FINANCIERO%20REFERENCIA%20V7%20MS%2020240130.xlsx&amp;action=default&amp;mobileredirect=true</v>
          </cell>
        </row>
        <row r="4">
          <cell r="C4" t="str">
            <v>CORP COLOMBIA DIGITAL-FNA-AE</v>
          </cell>
          <cell r="D4" t="str">
            <v>0315</v>
          </cell>
          <cell r="E4">
            <v>4198119926</v>
          </cell>
          <cell r="F4">
            <v>1422409157</v>
          </cell>
          <cell r="G4">
            <v>2775710769</v>
          </cell>
          <cell r="H4">
            <v>0</v>
          </cell>
          <cell r="I4">
            <v>0</v>
          </cell>
          <cell r="J4">
            <v>0</v>
          </cell>
          <cell r="K4">
            <v>0</v>
          </cell>
          <cell r="L4">
            <v>0</v>
          </cell>
          <cell r="M4">
            <v>0</v>
          </cell>
          <cell r="N4">
            <v>0</v>
          </cell>
          <cell r="O4">
            <v>0</v>
          </cell>
          <cell r="P4">
            <v>0</v>
          </cell>
          <cell r="Q4">
            <v>0</v>
          </cell>
          <cell r="R4">
            <v>0</v>
          </cell>
          <cell r="S4">
            <v>0</v>
          </cell>
          <cell r="T4">
            <v>0</v>
          </cell>
          <cell r="U4">
            <v>0</v>
          </cell>
          <cell r="V4">
            <v>0</v>
          </cell>
          <cell r="W4">
            <v>4198119926</v>
          </cell>
          <cell r="X4">
            <v>1422409157</v>
          </cell>
          <cell r="Y4">
            <v>2775710769</v>
          </cell>
          <cell r="Z4">
            <v>45292</v>
          </cell>
          <cell r="AA4">
            <v>45534</v>
          </cell>
          <cell r="AB4">
            <v>7.97</v>
          </cell>
          <cell r="AC4" t="str">
            <v>https://growdatasas.sharepoint.com/:x:/r/sites/Gestiondocumental/Administrativa/GD/Financiera/_layouts/15/Doc.aspx?sourcedoc=%7B453B6AA8-B631-4722-B916-8323F8C43E87%7D&amp;file=315%20CORP%20COLOMBIA%20DIGITAL%20FNA%20AE.xlsm&amp;action=default&amp;mobileredirect=true</v>
          </cell>
        </row>
        <row r="5">
          <cell r="C5" t="str">
            <v>INFOTIC-DPC-SOC</v>
          </cell>
          <cell r="D5" t="str">
            <v>0320</v>
          </cell>
          <cell r="E5">
            <v>10721037621</v>
          </cell>
          <cell r="F5">
            <v>5280083724</v>
          </cell>
          <cell r="G5">
            <v>5440953897</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10721037621</v>
          </cell>
          <cell r="X5">
            <v>5280083724</v>
          </cell>
          <cell r="Y5">
            <v>5440953897</v>
          </cell>
          <cell r="Z5">
            <v>45300</v>
          </cell>
          <cell r="AA5">
            <v>45473</v>
          </cell>
          <cell r="AB5">
            <v>5.7</v>
          </cell>
          <cell r="AC5" t="str">
            <v>https://growdatasas.sharepoint.com/:x:/r/sites/Gestiondocumental/Administrativa/GD/Financiera/_layouts/15/Doc.aspx?sourcedoc=%7BB4DE39AF-1EC1-466C-A807-3FE95776A982%7D&amp;file=17012024%20INFOTIC%20DPC%20SOC%20V2.xlsm&amp;action=default&amp;mobileredirect=true</v>
          </cell>
        </row>
        <row r="6">
          <cell r="C6" t="str">
            <v>CCD - DPC - IMPLEMENTACIÓN ERP</v>
          </cell>
          <cell r="D6" t="str">
            <v>0318</v>
          </cell>
          <cell r="E6">
            <v>5640168067</v>
          </cell>
          <cell r="F6">
            <v>3323223361</v>
          </cell>
          <cell r="G6">
            <v>2316944706</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5640168067</v>
          </cell>
          <cell r="X6">
            <v>3323223361</v>
          </cell>
          <cell r="Y6">
            <v>2316944706</v>
          </cell>
          <cell r="Z6">
            <v>45300</v>
          </cell>
          <cell r="AA6">
            <v>45473</v>
          </cell>
          <cell r="AB6">
            <v>5.7</v>
          </cell>
          <cell r="AC6" t="str">
            <v>https://growdatasas.sharepoint.com/:x:/r/sites/Gestiondocumental/Administrativa/GD/Financiera/_layouts/15/Doc.aspx?sourcedoc=%7BC3EFE0E2-C211-45B0-905D-ECEF11221767%7D&amp;file=299.%20DEFENSORIA_ERP.xlsm&amp;action=default&amp;mobileredirect=true</v>
          </cell>
        </row>
        <row r="7">
          <cell r="C7" t="str">
            <v>TELEFONICA – DPC  SALA DE ANALITICA</v>
          </cell>
          <cell r="D7" t="str">
            <v>0314</v>
          </cell>
          <cell r="E7">
            <v>1398804915</v>
          </cell>
          <cell r="F7">
            <v>970233948</v>
          </cell>
          <cell r="G7">
            <v>428570967</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1398804915</v>
          </cell>
          <cell r="X7">
            <v>970233948</v>
          </cell>
          <cell r="Y7">
            <v>428570967</v>
          </cell>
          <cell r="Z7">
            <v>45306</v>
          </cell>
          <cell r="AA7">
            <v>45412</v>
          </cell>
          <cell r="AB7">
            <v>3.5</v>
          </cell>
          <cell r="AC7" t="str">
            <v>https://growdatasas.sharepoint.com/:x:/r/sites/Gestiondocumental/Administrativa/GD/Financiera/_layouts/15/Doc.aspx?sourcedoc=%7B4F9BD6BF-F6F0-4033-84A5-4B5D6077FC32%7D&amp;file=314.%20TELEFONICA%20%E2%80%93%20DPC%20%20SALA%20DE%20ANALITICA.xlsx&amp;action=default&amp;mobileredirect=true</v>
          </cell>
        </row>
        <row r="8">
          <cell r="C8" t="str">
            <v>ERT- MT– DISPOSITIVOS IOT Y ANALÍTICA</v>
          </cell>
          <cell r="D8" t="str">
            <v>0322</v>
          </cell>
          <cell r="E8">
            <v>5903764611</v>
          </cell>
          <cell r="F8">
            <v>4004446789</v>
          </cell>
          <cell r="G8">
            <v>1899317822</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5903764611</v>
          </cell>
          <cell r="X8">
            <v>4004446789</v>
          </cell>
          <cell r="Y8">
            <v>1899317822</v>
          </cell>
          <cell r="Z8">
            <v>45345</v>
          </cell>
          <cell r="AA8">
            <v>45587</v>
          </cell>
          <cell r="AB8">
            <v>7.97</v>
          </cell>
          <cell r="AC8" t="str">
            <v>https://growdatasas.sharepoint.com/:x:/r/sites/Gestiondocumental/Administrativa/GD/Financiera/_layouts/15/Doc.aspx?sourcedoc=%7B29DCF375-0847-4DAD-9B9A-9F9E84ABD4DE%7D&amp;file=322.%20MINTRANSPORTE.xlsx&amp;action=default&amp;mobileredirect=true</v>
          </cell>
        </row>
        <row r="9">
          <cell r="C9" t="str">
            <v>RUNT – DISEÑO,IMPLEMENTACION MDM</v>
          </cell>
          <cell r="D9" t="str">
            <v>0324</v>
          </cell>
          <cell r="E9">
            <v>444642857</v>
          </cell>
          <cell r="F9">
            <v>372376516</v>
          </cell>
          <cell r="G9">
            <v>72266341</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444642857</v>
          </cell>
          <cell r="X9">
            <v>372376516</v>
          </cell>
          <cell r="Y9">
            <v>72266341</v>
          </cell>
          <cell r="Z9">
            <v>45352</v>
          </cell>
          <cell r="AA9">
            <v>45534</v>
          </cell>
          <cell r="AB9">
            <v>5.97</v>
          </cell>
          <cell r="AC9" t="str">
            <v>https://growdatasas.sharepoint.com/:x:/r/sites/Gestiondocumental/Administrativa/GD/Financiera/_layouts/15/Doc.aspx?sourcedoc=%7B465AB503-754C-43E2-86C3-8E24183E3BBF%7D&amp;file=090424%20324.%20RUNT%202.0%20-%20RUNT%20MDM.xlsx&amp;action=default&amp;mobileredirect=true</v>
          </cell>
        </row>
        <row r="10">
          <cell r="C10" t="str">
            <v>ALDESARROLLO - ICFES - SOSTENIBILIDAD</v>
          </cell>
          <cell r="D10" t="str">
            <v>0327</v>
          </cell>
          <cell r="E10">
            <v>2294401987</v>
          </cell>
          <cell r="F10">
            <v>1087776079</v>
          </cell>
          <cell r="G10">
            <v>1206625908</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2294401987</v>
          </cell>
          <cell r="X10">
            <v>1087776079</v>
          </cell>
          <cell r="Y10">
            <v>1206625908</v>
          </cell>
          <cell r="Z10">
            <v>45369</v>
          </cell>
          <cell r="AA10">
            <v>45552</v>
          </cell>
          <cell r="AB10">
            <v>5.97</v>
          </cell>
          <cell r="AC10" t="str">
            <v>https://growdatasas.sharepoint.com/:x:/r/sites/Gestiondocumental/Administrativa/GD/Financiera/_layouts/15/Doc.aspx?sourcedoc=%7B293F42A2-5CA4-4376-950C-5CBFEA13F436%7D&amp;file=327.%20ALDESARROLLO%20-%20ICFES%20-%20SOSTENIBILIDAD.xlsx&amp;action=default&amp;mobileredirect=true</v>
          </cell>
        </row>
        <row r="11">
          <cell r="C11" t="str">
            <v>UT SERT PASTO - VENTA DE EQUIPOS</v>
          </cell>
          <cell r="D11" t="str">
            <v>0334</v>
          </cell>
          <cell r="E11">
            <v>585022222</v>
          </cell>
          <cell r="F11">
            <v>237007609</v>
          </cell>
          <cell r="G11">
            <v>348014613</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585022222</v>
          </cell>
          <cell r="X11">
            <v>237007609</v>
          </cell>
          <cell r="Y11">
            <v>348014613</v>
          </cell>
          <cell r="Z11">
            <v>45383</v>
          </cell>
          <cell r="AA11">
            <v>45412</v>
          </cell>
          <cell r="AB11">
            <v>0.97</v>
          </cell>
          <cell r="AC11" t="str">
            <v>https://growdatasas.sharepoint.com/:x:/r/sites/Gestiondocumental/Administrativa/GD/Financiera/_layouts/15/Doc.aspx?sourcedoc=%7BE4604918-6887-44A1-B732-65186E485C0C%7D&amp;file=V7_UTPASTO_20240321%20-%20VERSION%202.xlsm&amp;action=default&amp;mobileredirect=true</v>
          </cell>
        </row>
        <row r="12">
          <cell r="C12" t="str">
            <v>EMTEL - ICFES - FABRICA</v>
          </cell>
          <cell r="D12" t="str">
            <v>0326</v>
          </cell>
          <cell r="E12">
            <v>2660847479</v>
          </cell>
          <cell r="F12">
            <v>1566562163</v>
          </cell>
          <cell r="G12">
            <v>1094285316</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2660847479</v>
          </cell>
          <cell r="X12">
            <v>1566562163</v>
          </cell>
          <cell r="Y12">
            <v>1094285316</v>
          </cell>
          <cell r="Z12">
            <v>45402</v>
          </cell>
          <cell r="AA12">
            <v>45656</v>
          </cell>
          <cell r="AB12">
            <v>8.33</v>
          </cell>
          <cell r="AC12" t="str">
            <v>https://growdatasas.sharepoint.com/:x:/r/sites/Gestiondocumental/Administrativa/GD/Financiera/_layouts/15/Doc.aspx?sourcedoc=%7BB89BD188-BEAD-4E84-BC3B-FF43B34DCCB0%7D&amp;file=326.%20ICFES%20-%20FABRICA%20DE%20SOFTWARE%20PRUEBAS.xlsx&amp;action=default&amp;mobileredirect=true</v>
          </cell>
        </row>
        <row r="13">
          <cell r="C13" t="str">
            <v>ALDESARROLLO - INM - DATOS Y PROCESOS</v>
          </cell>
          <cell r="D13" t="str">
            <v>0331</v>
          </cell>
          <cell r="E13">
            <v>377503954</v>
          </cell>
          <cell r="F13">
            <v>218649688</v>
          </cell>
          <cell r="G13">
            <v>158854266</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377503954</v>
          </cell>
          <cell r="X13">
            <v>218649688</v>
          </cell>
          <cell r="Y13">
            <v>158854266</v>
          </cell>
          <cell r="Z13">
            <v>45413</v>
          </cell>
          <cell r="AA13">
            <v>45534</v>
          </cell>
          <cell r="AB13">
            <v>3.97</v>
          </cell>
          <cell r="AC13" t="str">
            <v>https://growdatasas.sharepoint.com/:x:/r/sites/Gestiondocumental/Administrativa/GD/Financiera/_layouts/15/Doc.aspx?sourcedoc=%7B90300F8C-6F13-418B-97E4-626034BE9C0E%7D&amp;file=MODELO%20FINANCIERO%20REFERENCIA%20V7-INM_V1.0%20-%20500M.xlsm&amp;action=default&amp;mobileredirect=true</v>
          </cell>
        </row>
        <row r="14">
          <cell r="C14" t="str">
            <v>INFOTIC - ICFES - PRUEBAS CSJ</v>
          </cell>
          <cell r="D14" t="str">
            <v>0328</v>
          </cell>
          <cell r="E14">
            <v>1365000000</v>
          </cell>
          <cell r="F14">
            <v>830180856</v>
          </cell>
          <cell r="G14">
            <v>534819144</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1365000000</v>
          </cell>
          <cell r="X14">
            <v>830180856</v>
          </cell>
          <cell r="Y14">
            <v>534819144</v>
          </cell>
          <cell r="Z14">
            <v>45414</v>
          </cell>
          <cell r="AA14">
            <v>45596</v>
          </cell>
          <cell r="AB14">
            <v>5.97</v>
          </cell>
          <cell r="AC14" t="str">
            <v>https://growdatasas.sharepoint.com/sites/Gestiondocumental/Administrativa/GD/Financiera/Documentos%20compartidos/Forms/AllItems.aspx?id=%2Fsites%2FGestiondocumental%2FAdministrativa%2FGD%2FFinanciera%2FDocumentos%20compartidos%2FAN%C3%81LISIS%20FINANCIERO%2FPMO%20SEGUIMIENTO%20A%20PROYECTOS%2F328%2E%20INFOTIC%20%2D%20ICFES%20%2D%20PRUEBAS%20CSJ&amp;viewid=8ba7db0b%2Dbb48%2D40cc%2Da532%2D9b5bc18760d5</v>
          </cell>
        </row>
        <row r="15">
          <cell r="C15" t="str">
            <v>UT - ENTERRITORIO 2027</v>
          </cell>
          <cell r="D15" t="str">
            <v>10025</v>
          </cell>
          <cell r="E15">
            <v>31348950905</v>
          </cell>
          <cell r="F15">
            <v>4504425757</v>
          </cell>
          <cell r="G15">
            <v>26844525148</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31348950905</v>
          </cell>
          <cell r="X15">
            <v>4504425757</v>
          </cell>
          <cell r="Y15">
            <v>26844525148</v>
          </cell>
          <cell r="Z15">
            <v>45439</v>
          </cell>
          <cell r="AA15">
            <v>46533</v>
          </cell>
          <cell r="AB15">
            <v>35.97</v>
          </cell>
          <cell r="AC15" t="str">
            <v>https://growdatasas.sharepoint.com/:x:/r/sites/Gestiondocumental/Administrativa/GD/Financiera/_layouts/15/Doc.aspx?sourcedoc=%7B0974E3E6-B78B-4C29-8F8A-9CF11A235CF4%7D&amp;file=20240530%20UT%20ENTERRITORIO%202027%20(SERVICIO).xlsm&amp;action=default&amp;mobileredirect=true</v>
          </cell>
        </row>
        <row r="16">
          <cell r="C16" t="str">
            <v>RUNT - MEGA</v>
          </cell>
          <cell r="D16" t="str">
            <v>0333</v>
          </cell>
          <cell r="E16">
            <v>145000000</v>
          </cell>
          <cell r="F16">
            <v>81162217</v>
          </cell>
          <cell r="G16">
            <v>63837783</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145000000</v>
          </cell>
          <cell r="X16">
            <v>81162217</v>
          </cell>
          <cell r="Y16">
            <v>63837783</v>
          </cell>
          <cell r="Z16">
            <v>45444</v>
          </cell>
          <cell r="AA16">
            <v>45595</v>
          </cell>
          <cell r="AB16">
            <v>4.97</v>
          </cell>
          <cell r="AC16" t="str">
            <v>https://growdatasas.sharepoint.com/:x:/r/sites/Gestiondocumental/Administrativa/GD/Financiera/_layouts/15/Doc.aspx?sourcedoc=%7B3ECBF673-32CF-4911-B729-AC56604B4A34%7D&amp;file=25062024%20MODELO%20FINANCIERO%20REFERENCIA%20V7_RUNT.xlsm&amp;action=default&amp;mobileredirect=true</v>
          </cell>
        </row>
        <row r="17">
          <cell r="C17" t="str">
            <v>472 - ARQUITECTURA EMPRESARIAL</v>
          </cell>
          <cell r="D17" t="str">
            <v>0330</v>
          </cell>
          <cell r="E17">
            <v>0</v>
          </cell>
          <cell r="F17">
            <v>50362370</v>
          </cell>
          <cell r="G17">
            <v>-50362370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50362370</v>
          </cell>
          <cell r="Y17">
            <v>-50362370</v>
          </cell>
          <cell r="Z17">
            <v>45444</v>
          </cell>
          <cell r="AA17">
            <v>45503</v>
          </cell>
          <cell r="AB17">
            <v>1.97</v>
          </cell>
          <cell r="AC17" t="str">
            <v>https://growdatasas.sharepoint.com/:x:/r/sites/Gestiondocumental/Administrativa/GD/Financiera/_layouts/15/Doc.aspx?sourcedoc=%7B7CA5727E-8CD9-4225-BEF4-3B8118646894%7D&amp;file=20240530%20MODELO%20FINANCIERO%20REFERENCIA%20V7_472.xlsm&amp;action=default&amp;mobileredirect=true</v>
          </cell>
        </row>
        <row r="18">
          <cell r="C18" t="str">
            <v>FONDO ACCION - MEJORAS APLICATIVO ASEC</v>
          </cell>
          <cell r="D18" t="str">
            <v>0329</v>
          </cell>
          <cell r="E18">
            <v>102600000</v>
          </cell>
          <cell r="F18">
            <v>63538000</v>
          </cell>
          <cell r="G18">
            <v>39062000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102600000</v>
          </cell>
          <cell r="X18">
            <v>63538000</v>
          </cell>
          <cell r="Y18">
            <v>39062000</v>
          </cell>
          <cell r="Z18">
            <v>45450</v>
          </cell>
          <cell r="AA18">
            <v>45510</v>
          </cell>
          <cell r="AB18">
            <v>1.97</v>
          </cell>
          <cell r="AC18" t="str">
            <v>https://growdatasas.sharepoint.com/:x:/r/sites/Gestiondocumental/Administrativa/GD/Financiera/_layouts/15/Doc.aspx?sourcedoc=%7B753ECAFE-B168-40EE-B86E-63C339FE122B%7D&amp;file=20240607%20FONDO%20ACCION%20MEJORAS%20APLICATIVO%20ASEC%20V5.xlsm&amp;action=default&amp;mobileredirect=true</v>
          </cell>
        </row>
        <row r="19">
          <cell r="C19" t="str">
            <v>RUNT – ANALITICA BI-BA</v>
          </cell>
          <cell r="D19" t="str">
            <v>0332</v>
          </cell>
          <cell r="E19">
            <v>310000000</v>
          </cell>
          <cell r="F19">
            <v>234252949</v>
          </cell>
          <cell r="G19">
            <v>75747051</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310000000</v>
          </cell>
          <cell r="X19">
            <v>234252949</v>
          </cell>
          <cell r="Y19">
            <v>75747051</v>
          </cell>
          <cell r="Z19">
            <v>45456</v>
          </cell>
          <cell r="AA19">
            <v>45503</v>
          </cell>
          <cell r="AB19">
            <v>1.57</v>
          </cell>
          <cell r="AC19" t="str">
            <v>https://growdatasas.sharepoint.com/:x:/r/sites/Gestiondocumental/Administrativa/GD/Financiera/_layouts/15/Doc.aspx?sourcedoc=%7B9AED4F39-5D53-43D6-BACC-397FDB920633%7D&amp;file=20240613%20RUNT_DATAWAREHOUSE_23024V5%20P.xlsm&amp;action=default&amp;mobileredirect=true</v>
          </cell>
        </row>
        <row r="20">
          <cell r="C20" t="str">
            <v>SNR- MIGRACION FOLIO A SIR</v>
          </cell>
          <cell r="D20" t="str">
            <v>0335</v>
          </cell>
          <cell r="E20">
            <v>3340336135</v>
          </cell>
          <cell r="F20">
            <v>1821030084</v>
          </cell>
          <cell r="G20">
            <v>1519306051</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3340336135</v>
          </cell>
          <cell r="X20">
            <v>1821030084</v>
          </cell>
          <cell r="Y20">
            <v>1519306051</v>
          </cell>
          <cell r="Z20">
            <v>45473</v>
          </cell>
          <cell r="AA20">
            <v>45655</v>
          </cell>
          <cell r="AB20">
            <v>5.97</v>
          </cell>
          <cell r="AC20" t="str">
            <v>https://growdatasas.sharepoint.com/:x:/r/sites/Gestiondocumental/Administrativa/GD/Financiera/_layouts/15/Doc.aspx?sourcedoc=%7BE27BC622-4961-4BA4-8FF2-7949D6CE364A%7D&amp;file=20062024%20SNR%20MIGRACION.xlsm&amp;action=default&amp;mobileredirect=true</v>
          </cell>
        </row>
        <row r="21">
          <cell r="C21" t="str">
            <v>EXPERTIX - DEFENSORIA – RENOVACIÓN MEGA</v>
          </cell>
          <cell r="D21" t="str">
            <v>0339</v>
          </cell>
          <cell r="E21">
            <v>54294118</v>
          </cell>
          <cell r="F21">
            <v>45928592</v>
          </cell>
          <cell r="G21">
            <v>8365526</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54294118</v>
          </cell>
          <cell r="X21">
            <v>45928592</v>
          </cell>
          <cell r="Y21">
            <v>8365526</v>
          </cell>
          <cell r="Z21">
            <v>45505</v>
          </cell>
          <cell r="AA21">
            <v>45536</v>
          </cell>
          <cell r="AB21">
            <v>1</v>
          </cell>
          <cell r="AC21" t="str">
            <v>https://growdatasas.sharepoint.com/:x:/r/sites/Gestiondocumental/Administrativa/GD/Financiera/_layouts/15/Doc.aspx?sourcedoc=%7B8B953C7E-D0F5-422E-BC36-C51DAEC457DB%7D&amp;file=28082024%20MODELO%20FINANCIERO%20V7.1_DEFENSORIA_RENOVACION.xlsm&amp;action=default&amp;mobileredirect=true</v>
          </cell>
        </row>
        <row r="22">
          <cell r="C22" t="str">
            <v>ANT-RESO</v>
          </cell>
          <cell r="D22" t="str">
            <v>0337</v>
          </cell>
          <cell r="E22">
            <v>11594899270</v>
          </cell>
          <cell r="F22">
            <v>7397230574</v>
          </cell>
          <cell r="G22">
            <v>4197668696</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11594899270</v>
          </cell>
          <cell r="X22">
            <v>7397230574</v>
          </cell>
          <cell r="Y22">
            <v>4197668696</v>
          </cell>
          <cell r="Z22">
            <v>45505</v>
          </cell>
          <cell r="AA22">
            <v>45807</v>
          </cell>
          <cell r="AB22">
            <v>9.9700000000000006</v>
          </cell>
          <cell r="AC22" t="str">
            <v>https://growdatasas.sharepoint.com/:x:/r/sites/Gestiondocumental/Administrativa/GD/Financiera/_layouts/15/Doc.aspx?sourcedoc=%7BF2E3591A-55F1-4A8D-BD90-47A8970F2219%7D&amp;file=2082024%20%20ANT%20CALL%20CENTER%20UNIDADES%20MOVILES%20Y%20DESARROLLO%20V1.xlsm&amp;action=default&amp;mobileredirect=true</v>
          </cell>
        </row>
        <row r="23">
          <cell r="C23" t="str">
            <v>TELEFONICA - CORMAGDALENA- SALA ANALITICA</v>
          </cell>
          <cell r="D23" t="str">
            <v>0338</v>
          </cell>
          <cell r="E23">
            <v>790490113</v>
          </cell>
          <cell r="F23">
            <v>523479413</v>
          </cell>
          <cell r="G23">
            <v>267010700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790490113</v>
          </cell>
          <cell r="X23">
            <v>523479413</v>
          </cell>
          <cell r="Y23">
            <v>267010700</v>
          </cell>
          <cell r="Z23">
            <v>45516</v>
          </cell>
          <cell r="AA23">
            <v>45595</v>
          </cell>
          <cell r="AB23">
            <v>2.6</v>
          </cell>
          <cell r="AC23" t="str">
            <v>https://growdatasas.sharepoint.com/:x:/r/sites/Gestiondocumental/Administrativa/GD/Financiera/_layouts/15/Doc.aspx?sourcedoc=%7B0288FE6C-6AAB-43FF-AEC6-9D8F73023920%7D&amp;file=29082024%20TELEFONICA_CORMAGDALENA%20V2.xlsm&amp;action=default&amp;mobileredirect=true</v>
          </cell>
        </row>
        <row r="24">
          <cell r="C24" t="str">
            <v>DNP- LICENCIAMIENTO MEGAHOPEX</v>
          </cell>
          <cell r="D24" t="str">
            <v>0353</v>
          </cell>
          <cell r="E24">
            <v>752034554</v>
          </cell>
          <cell r="F24">
            <v>410789543</v>
          </cell>
          <cell r="G24">
            <v>341245011</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752034554</v>
          </cell>
          <cell r="X24">
            <v>410789543</v>
          </cell>
          <cell r="Y24">
            <v>341245011</v>
          </cell>
          <cell r="Z24">
            <v>45536</v>
          </cell>
          <cell r="AA24">
            <v>45597</v>
          </cell>
          <cell r="AB24">
            <v>2</v>
          </cell>
          <cell r="AC24" t="str">
            <v>https://growdatasas.sharepoint.com/:x:/r/sites/Gestiondocumental/Administrativa/GD/Financiera/_layouts/15/Doc.aspx?sourcedoc=%7B825EA9F7-C4AC-4367-8925-5CE1786AE91A%7D&amp;file=20241118%20MODELO%20FINANCIERO%20REFERENCIA%20V7.1_%20PERPETUIDAD_TOTAL.xlsm&amp;action=default&amp;mobileredirect=true</v>
          </cell>
        </row>
        <row r="25">
          <cell r="C25" t="str">
            <v>RUNT-MIGRACIÓN MEGA</v>
          </cell>
          <cell r="D25" t="str">
            <v>0348</v>
          </cell>
          <cell r="E25">
            <v>9900000</v>
          </cell>
          <cell r="F25">
            <v>7049000</v>
          </cell>
          <cell r="G25">
            <v>2851000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9900000</v>
          </cell>
          <cell r="X25">
            <v>7049000</v>
          </cell>
          <cell r="Y25">
            <v>2851000</v>
          </cell>
          <cell r="Z25">
            <v>45536</v>
          </cell>
          <cell r="AA25">
            <v>45565</v>
          </cell>
          <cell r="AB25">
            <v>0.97</v>
          </cell>
          <cell r="AC25" t="str">
            <v>https://growdatasas.sharepoint.com/:x:/r/sites/Gestiondocumental/Administrativa/GD/Financiera/_layouts/15/Doc.aspx?sourcedoc=%7BFBEECA15-7AD7-44CB-BB15-659366F92F74%7D&amp;file=20241115%20MODELO%20FINANCIERO%20REFERENCIA%20V7.1_RUNT_MIGRACION.xlsm&amp;action=default&amp;mobileredirect=true</v>
          </cell>
        </row>
        <row r="26">
          <cell r="C26" t="str">
            <v>ELECTROHUILA- FORTINET</v>
          </cell>
          <cell r="D26" t="str">
            <v>0340</v>
          </cell>
          <cell r="E26">
            <v>621209072</v>
          </cell>
          <cell r="F26">
            <v>370376769</v>
          </cell>
          <cell r="G26">
            <v>250832303</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621209072</v>
          </cell>
          <cell r="X26">
            <v>370376769</v>
          </cell>
          <cell r="Y26">
            <v>250832303</v>
          </cell>
          <cell r="Z26">
            <v>45536</v>
          </cell>
          <cell r="AA26">
            <v>45596</v>
          </cell>
          <cell r="AB26">
            <v>2</v>
          </cell>
          <cell r="AC26" t="str">
            <v>https://growdatasas.sharepoint.com/:x:/r/sites/Gestiondocumental/Administrativa/GD/Financiera/_layouts/15/Doc.aspx?sourcedoc=%7B8532EC43-3D9D-499E-986C-E4DDBEFDC382%7D&amp;file=20250122%20ELECTROHUILA_Modelo%20de%20negocio%20-%20(versi%C3%B3n%20real)_v20250122.xlsm&amp;action=default&amp;mobileredirect=true</v>
          </cell>
        </row>
        <row r="27">
          <cell r="C27" t="str">
            <v>BISA - RUNT - CSE</v>
          </cell>
          <cell r="D27" t="str">
            <v>0342</v>
          </cell>
          <cell r="E27">
            <v>1105000000</v>
          </cell>
          <cell r="F27">
            <v>792295683</v>
          </cell>
          <cell r="G27">
            <v>312704317</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1105000000</v>
          </cell>
          <cell r="X27">
            <v>792295683</v>
          </cell>
          <cell r="Y27">
            <v>312704317</v>
          </cell>
          <cell r="Z27">
            <v>45537</v>
          </cell>
          <cell r="AA27">
            <v>45838</v>
          </cell>
          <cell r="AB27">
            <v>9.93</v>
          </cell>
          <cell r="AC27" t="str">
            <v>https://growdatasas.sharepoint.com/:x:/r/sites/Gestiondocumental/Administrativa/GD/Financiera/_layouts/15/Doc.aspx?sourcedoc=%7BE250AEF5-F247-458E-91D3-6BE23701DF39%7D&amp;file=RUNT%20CONTENEDORES%20ESTRATEGICOS%20V5.xlsm&amp;action=default&amp;mobileredirect=true</v>
          </cell>
        </row>
        <row r="28">
          <cell r="C28" t="str">
            <v>UT CIBERSEGURIDAD MT</v>
          </cell>
          <cell r="D28" t="str">
            <v>10026</v>
          </cell>
          <cell r="E28">
            <v>7498523308</v>
          </cell>
          <cell r="F28">
            <v>5767590996</v>
          </cell>
          <cell r="G28">
            <v>1730932312</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7498523308</v>
          </cell>
          <cell r="X28">
            <v>5767590996</v>
          </cell>
          <cell r="Y28">
            <v>1730932312</v>
          </cell>
          <cell r="Z28">
            <v>45559</v>
          </cell>
          <cell r="AA28">
            <v>45626</v>
          </cell>
          <cell r="AB28">
            <v>2.2000000000000002</v>
          </cell>
          <cell r="AC28" t="str">
            <v>https://growdatasas.sharepoint.com/:x:/r/sites/Gestiondocumental/Administrativa/GD/Financiera/_layouts/15/Doc.aspx?sourcedoc=%7B7847B3E7-120E-4453-ABEB-FCCD451C6101%7D&amp;file=MODELO%20FINANCIERO%20REFERENCIA%20V7.2_Aprobado_Mintransporte_23092024%20V1.xlsm&amp;action=default&amp;mobileredirect=true</v>
          </cell>
        </row>
        <row r="29">
          <cell r="C29" t="str">
            <v>ADRES-MEGA HOPEX</v>
          </cell>
          <cell r="D29" t="str">
            <v>0343</v>
          </cell>
          <cell r="E29">
            <v>462171933</v>
          </cell>
          <cell r="F29">
            <v>319021846</v>
          </cell>
          <cell r="G29">
            <v>143150087</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462171933</v>
          </cell>
          <cell r="X29">
            <v>319021846</v>
          </cell>
          <cell r="Y29">
            <v>143150087</v>
          </cell>
          <cell r="Z29">
            <v>45566</v>
          </cell>
          <cell r="AA29">
            <v>45641</v>
          </cell>
          <cell r="AB29">
            <v>2.4700000000000002</v>
          </cell>
          <cell r="AC29" t="str">
            <v>https://growdatasas.sharepoint.com/:x:/r/sites/Gestiondocumental/Administrativa/GD/Financiera/_layouts/15/Doc.aspx?sourcedoc=%7BC1202124-0C11-4B86-BB8D-77A938B88AD7%7D&amp;file=09092024%20MODELO%20FINANCIERO%20REFERENCIA%20V7.1_1ANIO_ADRES.xlsm&amp;action=default&amp;mobileredirect=true</v>
          </cell>
        </row>
        <row r="30">
          <cell r="C30" t="str">
            <v>UT GROW OMEGA - CORTOLIMA</v>
          </cell>
          <cell r="D30" t="str">
            <v>10030</v>
          </cell>
          <cell r="E30"/>
          <cell r="F30"/>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45568</v>
          </cell>
          <cell r="AA30">
            <v>46356</v>
          </cell>
          <cell r="AB30">
            <v>25.9</v>
          </cell>
          <cell r="AC30" t="str">
            <v>https://growdatasas.sharepoint.com/:x:/r/sites/Gestiondocumental/Administrativa/GD/Financiera/_layouts/15/Doc.aspx?sourcedoc=%7B74DBEC6A-69C6-4C69-8B83-8B465ADA35AB%7D&amp;file=Modelo%20Cortolima%20%20V2.xlsm&amp;action=default&amp;mobileredirect=true</v>
          </cell>
        </row>
        <row r="31">
          <cell r="C31" t="str">
            <v>EMTEL-ANT-INFRAESTRUCTURA 2024</v>
          </cell>
          <cell r="D31" t="str">
            <v>0347</v>
          </cell>
          <cell r="E31">
            <v>5312068627</v>
          </cell>
          <cell r="F31">
            <v>3587394229</v>
          </cell>
          <cell r="G31">
            <v>1724674398</v>
          </cell>
          <cell r="H31">
            <v>222345819</v>
          </cell>
          <cell r="I31">
            <v>157327090</v>
          </cell>
          <cell r="J31">
            <v>65018729</v>
          </cell>
          <cell r="K31">
            <v>0</v>
          </cell>
          <cell r="L31">
            <v>0</v>
          </cell>
          <cell r="M31">
            <v>0</v>
          </cell>
          <cell r="N31">
            <v>0</v>
          </cell>
          <cell r="O31">
            <v>0</v>
          </cell>
          <cell r="P31">
            <v>0</v>
          </cell>
          <cell r="Q31">
            <v>0</v>
          </cell>
          <cell r="R31">
            <v>0</v>
          </cell>
          <cell r="S31">
            <v>0</v>
          </cell>
          <cell r="T31">
            <v>0</v>
          </cell>
          <cell r="U31">
            <v>0</v>
          </cell>
          <cell r="V31">
            <v>0</v>
          </cell>
          <cell r="W31">
            <v>5534414446</v>
          </cell>
          <cell r="X31">
            <v>3744721319</v>
          </cell>
          <cell r="Y31">
            <v>1789693127</v>
          </cell>
          <cell r="Z31">
            <v>45581</v>
          </cell>
          <cell r="AA31">
            <v>45672</v>
          </cell>
          <cell r="AB31">
            <v>2.97</v>
          </cell>
          <cell r="AC31" t="str">
            <v>https://growdatasas.sharepoint.com/:x:/r/sites/Gestiondocumental/Administrativa/GD/Financiera/_layouts/15/Doc.aspx?sourcedoc=%7B31D60157-8CD5-4C3C-8CC4-ED72E8A94FED%7D&amp;file=ANT_20241101.xlsm&amp;action=default&amp;mobileredirect=true</v>
          </cell>
        </row>
        <row r="32">
          <cell r="C32" t="str">
            <v>CCD- ANT- ARQUITECTURA Y DESARROLLOS</v>
          </cell>
          <cell r="D32" t="str">
            <v>0344</v>
          </cell>
          <cell r="E32">
            <v>11089225718</v>
          </cell>
          <cell r="F32">
            <v>6272918706</v>
          </cell>
          <cell r="G32">
            <v>4816307012</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11089225718</v>
          </cell>
          <cell r="X32">
            <v>6272918706</v>
          </cell>
          <cell r="Y32">
            <v>4816307012</v>
          </cell>
          <cell r="Z32">
            <v>45581</v>
          </cell>
          <cell r="AA32">
            <v>45626</v>
          </cell>
          <cell r="AB32">
            <v>1.47</v>
          </cell>
          <cell r="AC32" t="str">
            <v>https://growdatasas.sharepoint.com/:x:/r/sites/Gestiondocumental/Administrativa/GD/Financiera/_layouts/15/Doc.aspx?sourcedoc=%7BBEB26481-98E1-4A71-BC98-FA27225C2807%7D&amp;file=TELEFONICA%20ELECCIONES%20MODELO%20FINANCIERO%20V7.2%20MESA%20DE%20SERVICIO%2017102024.xlsm&amp;action=default&amp;mobileredirect=true</v>
          </cell>
        </row>
        <row r="33">
          <cell r="C33" t="str">
            <v>FNA - LICENCIAMIENTO MEGA HOPEX</v>
          </cell>
          <cell r="D33" t="str">
            <v>0351</v>
          </cell>
          <cell r="E33">
            <v>1256636886</v>
          </cell>
          <cell r="F33">
            <v>788895875</v>
          </cell>
          <cell r="G33">
            <v>467741011</v>
          </cell>
          <cell r="H33">
            <v>1229765422</v>
          </cell>
          <cell r="I33">
            <v>604034946</v>
          </cell>
          <cell r="J33">
            <v>625730476</v>
          </cell>
          <cell r="K33">
            <v>0</v>
          </cell>
          <cell r="L33">
            <v>0</v>
          </cell>
          <cell r="M33">
            <v>0</v>
          </cell>
          <cell r="N33">
            <v>0</v>
          </cell>
          <cell r="O33">
            <v>0</v>
          </cell>
          <cell r="P33">
            <v>0</v>
          </cell>
          <cell r="Q33">
            <v>0</v>
          </cell>
          <cell r="R33">
            <v>0</v>
          </cell>
          <cell r="S33">
            <v>0</v>
          </cell>
          <cell r="T33">
            <v>0</v>
          </cell>
          <cell r="U33">
            <v>0</v>
          </cell>
          <cell r="V33">
            <v>0</v>
          </cell>
          <cell r="W33">
            <v>2486402308</v>
          </cell>
          <cell r="X33">
            <v>1392930821</v>
          </cell>
          <cell r="Y33">
            <v>1093471487</v>
          </cell>
          <cell r="Z33">
            <v>45597</v>
          </cell>
          <cell r="AA33">
            <v>46295</v>
          </cell>
          <cell r="AB33">
            <v>22.97</v>
          </cell>
          <cell r="AC33" t="str">
            <v>https://growdatasas.sharepoint.com/:x:/r/sites/Gestiondocumental/Administrativa/GD/Financiera/_layouts/15/Doc.aspx?sourcedoc=%7B2C873097-3FE4-4C6E-BF7F-92677DD9D26A%7D&amp;file=Copia%20de%2020251301%20MODELO%20FINANCIERO%20REFERENCIA%20V7.4_FNA%2020251114_NOV_18%20AD%201.xlsm&amp;action=default&amp;mobileredirect=true</v>
          </cell>
        </row>
        <row r="34">
          <cell r="C34" t="str">
            <v>SNR-MIGRACION FOLIO A SIR-BID</v>
          </cell>
          <cell r="D34" t="str">
            <v>0350</v>
          </cell>
          <cell r="E34">
            <v>375620940</v>
          </cell>
          <cell r="F34">
            <v>219060050</v>
          </cell>
          <cell r="G34">
            <v>156560890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375620940</v>
          </cell>
          <cell r="X34">
            <v>219060050</v>
          </cell>
          <cell r="Y34">
            <v>156560890</v>
          </cell>
          <cell r="Z34">
            <v>45597</v>
          </cell>
          <cell r="AA34">
            <v>45657</v>
          </cell>
          <cell r="AB34">
            <v>2</v>
          </cell>
          <cell r="AC34" t="str">
            <v>https://growdatasas.sharepoint.com/:x:/r/sites/Gestiondocumental/Administrativa/GD/Financiera/_layouts/15/Doc.aspx?sourcedoc=%7BD278ABBE-F1D6-4C56-888E-6E01CED7BFDD%7D&amp;file=SNR%20MIGRACION%203%20CIUDADES%20V6%20FINAL.xlsm&amp;action=default&amp;mobileredirect=true</v>
          </cell>
        </row>
        <row r="35">
          <cell r="C35" t="str">
            <v>UT TRANSITO PASTO - FIREWALL SEMAFOROS</v>
          </cell>
          <cell r="D35" t="str">
            <v>0356</v>
          </cell>
          <cell r="E35">
            <v>6218480</v>
          </cell>
          <cell r="F35">
            <v>4974784</v>
          </cell>
          <cell r="G35">
            <v>1243696</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6218480</v>
          </cell>
          <cell r="X35">
            <v>4974784</v>
          </cell>
          <cell r="Y35">
            <v>1243696</v>
          </cell>
          <cell r="Z35">
            <v>45627</v>
          </cell>
          <cell r="AA35">
            <v>45657</v>
          </cell>
          <cell r="AB35">
            <v>1</v>
          </cell>
          <cell r="AC35" t="str">
            <v>https://growdatasas.sharepoint.com/:x:/r/sites/Gestiondocumental/Administrativa/GD/Financiera/_layouts/15/Doc.aspx?sourcedoc=%7B64199AB1-933D-448B-A513-EAC54C1C777D%7D&amp;file=20241101%20MODELO%20FINANCIERO%20TRANSITO_PASTO_Fortigate_120G.xlsm&amp;action=default&amp;mobileredirect=true</v>
          </cell>
        </row>
        <row r="36">
          <cell r="C36" t="str">
            <v>IDU-LICENCIAMIENTO MEGAHOPEX</v>
          </cell>
          <cell r="D36" t="str">
            <v>0354</v>
          </cell>
          <cell r="E36">
            <v>68802798</v>
          </cell>
          <cell r="F36">
            <v>55501215</v>
          </cell>
          <cell r="G36">
            <v>13301583</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68802798</v>
          </cell>
          <cell r="X36">
            <v>55501215</v>
          </cell>
          <cell r="Y36">
            <v>13301583</v>
          </cell>
          <cell r="Z36">
            <v>45642</v>
          </cell>
          <cell r="AA36">
            <v>45657</v>
          </cell>
          <cell r="AB36">
            <v>0.5</v>
          </cell>
          <cell r="AC36" t="str">
            <v>https://growdatasas.sharepoint.com/:x:/r/sites/Gestiondocumental/Administrativa/GD/Financiera/_layouts/15/Doc.aspx?sourcedoc=%7BB7BAA080-4266-4F0B-BA53-BBE294612E30%7D&amp;file=MODELO%20FINANCIERO%20REFERENCIA%20V7_IDU_2024.xlsm&amp;action=default&amp;mobileredirect=true</v>
          </cell>
        </row>
        <row r="37">
          <cell r="C37" t="str">
            <v>UT CENTRO DE SERVICIOS DNP 2025</v>
          </cell>
          <cell r="D37" t="str">
            <v>10029</v>
          </cell>
          <cell r="E37">
            <v>5609365200</v>
          </cell>
          <cell r="F37">
            <v>3399664692</v>
          </cell>
          <cell r="G37">
            <v>2209700508</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5609365200</v>
          </cell>
          <cell r="X37">
            <v>3399664692</v>
          </cell>
          <cell r="Y37">
            <v>2209700508</v>
          </cell>
          <cell r="Z37">
            <v>45652</v>
          </cell>
          <cell r="AA37">
            <v>45925</v>
          </cell>
          <cell r="AB37">
            <v>8.9700000000000006</v>
          </cell>
          <cell r="AC37" t="str">
            <v>https://growdatasas.sharepoint.com/:x:/r/sites/Gestiondocumental/Administrativa/GD/Financiera/_layouts/15/Doc.aspx?sourcedoc=%7B0E336D45-736A-482E-8FD2-86305F4DA8CF%7D&amp;file=DNP%20MODELO%20FINANCIERO%20REFERENCIA%20V7%2024122024.xlsm&amp;action=default&amp;mobileredirect=true</v>
          </cell>
        </row>
        <row r="38">
          <cell r="C38" t="str">
            <v>PHARMBILLS - SEGURIDAD Y UPS</v>
          </cell>
          <cell r="D38" t="str">
            <v>0361</v>
          </cell>
          <cell r="E38">
            <v>58566558</v>
          </cell>
          <cell r="F38">
            <v>40504918</v>
          </cell>
          <cell r="G38">
            <v>18061640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58566558</v>
          </cell>
          <cell r="X38">
            <v>40504918</v>
          </cell>
          <cell r="Y38">
            <v>18061640</v>
          </cell>
          <cell r="Z38">
            <v>45689</v>
          </cell>
          <cell r="AA38">
            <v>45716</v>
          </cell>
          <cell r="AB38">
            <v>0.9</v>
          </cell>
          <cell r="AC38" t="str">
            <v>https://growdatasas.sharepoint.com/:x:/r/sites/Gestiondocumental/Administrativa/GD/Financiera/_layouts/15/Doc.aspx?sourcedoc=%7B63ACCEFA-DDF2-4B3A-ACF3-AA1C9CA2E579%7D&amp;file=MODELO%20FINANCIERO%20PHARMBILLS%202025012281.xlsm&amp;action=default&amp;mobileredirect=true</v>
          </cell>
        </row>
        <row r="39">
          <cell r="C39" t="str">
            <v>COMREDES - URT - SOLUCIÓN HCI FASE II</v>
          </cell>
          <cell r="D39" t="str">
            <v>0359</v>
          </cell>
          <cell r="E39">
            <v>766158600</v>
          </cell>
          <cell r="F39">
            <v>503460622</v>
          </cell>
          <cell r="G39">
            <v>262697978</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766158600</v>
          </cell>
          <cell r="X39">
            <v>503460622</v>
          </cell>
          <cell r="Y39">
            <v>262697978</v>
          </cell>
          <cell r="Z39">
            <v>45689</v>
          </cell>
          <cell r="AA39">
            <v>45716</v>
          </cell>
          <cell r="AB39">
            <v>0.9</v>
          </cell>
          <cell r="AC39" t="str">
            <v>https://growdatasas.sharepoint.com/:x:/r/sites/Gestiondocumental/Administrativa/GD/Financiera/_layouts/15/Doc.aspx?sourcedoc=%7BB5DB12A1-D487-46F7-885A-EC149C252194%7D&amp;file=MODELO%20FINANCIERO%20-%20URT%20-%2020250124_v2.xlsm&amp;action=default&amp;mobileredirect=true</v>
          </cell>
        </row>
        <row r="40">
          <cell r="C40" t="str">
            <v>RUNT- PLANILLA DE DESPACHO</v>
          </cell>
          <cell r="D40" t="str">
            <v>0360</v>
          </cell>
          <cell r="E40">
            <v>5857189345</v>
          </cell>
          <cell r="F40">
            <v>2873641115</v>
          </cell>
          <cell r="G40">
            <v>2983548230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5857189345</v>
          </cell>
          <cell r="X40">
            <v>2873641115</v>
          </cell>
          <cell r="Y40">
            <v>2983548230</v>
          </cell>
          <cell r="Z40">
            <v>45705</v>
          </cell>
          <cell r="AA40">
            <v>46129</v>
          </cell>
          <cell r="AB40">
            <v>14</v>
          </cell>
          <cell r="AC40" t="str">
            <v>https://growdatasas.sharepoint.com/:x:/r/sites/Gestiondocumental/Administrativa/GD/Financiera/_layouts/15/Doc.aspx?sourcedoc=%7B1EA3B8D8-B0B8-48BF-BDD1-3151961F579B%7D&amp;file=MODELO%20FINANCIERO%20PLANILLA%20VIAJES%2018.11.25%20V7.xlsm&amp;action=default&amp;mobileredirect=true</v>
          </cell>
        </row>
        <row r="41">
          <cell r="C41" t="str">
            <v>CCD- PGN - PGN MDA INTEGRAL</v>
          </cell>
          <cell r="D41" t="str">
            <v>0362</v>
          </cell>
          <cell r="E41">
            <v>9968658860</v>
          </cell>
          <cell r="F41">
            <v>7504175152</v>
          </cell>
          <cell r="G41">
            <v>2464483708</v>
          </cell>
          <cell r="H41">
            <v>4575740748</v>
          </cell>
          <cell r="I41">
            <v>3358092384</v>
          </cell>
          <cell r="J41">
            <v>1217648364</v>
          </cell>
          <cell r="K41">
            <v>0</v>
          </cell>
          <cell r="L41">
            <v>0</v>
          </cell>
          <cell r="M41">
            <v>0</v>
          </cell>
          <cell r="N41">
            <v>0</v>
          </cell>
          <cell r="O41">
            <v>0</v>
          </cell>
          <cell r="P41">
            <v>0</v>
          </cell>
          <cell r="Q41">
            <v>0</v>
          </cell>
          <cell r="R41">
            <v>0</v>
          </cell>
          <cell r="S41">
            <v>0</v>
          </cell>
          <cell r="T41">
            <v>0</v>
          </cell>
          <cell r="U41">
            <v>0</v>
          </cell>
          <cell r="V41">
            <v>0</v>
          </cell>
          <cell r="W41">
            <v>14544399608</v>
          </cell>
          <cell r="X41">
            <v>10862267536</v>
          </cell>
          <cell r="Y41">
            <v>3682132072</v>
          </cell>
          <cell r="Z41">
            <v>45717</v>
          </cell>
          <cell r="AA41">
            <v>46203</v>
          </cell>
          <cell r="AB41">
            <v>15.97</v>
          </cell>
          <cell r="AC41" t="str">
            <v>https://growdatasas.sharepoint.com/:x:/r/sites/Gestiondocumental/Administrativa/GD/Financiera/_layouts/15/Doc.aspx?sourcedoc=%7BCE42BF27-1737-44F1-916A-DC83C8242696%7D&amp;file=20260122%20MODELO%20FINANCIERO%20REFERENCIA%20V7.6%20(adici%C3%B3n%202).xlsm&amp;action=default&amp;mobileredirect=true</v>
          </cell>
        </row>
        <row r="42">
          <cell r="C42" t="str">
            <v>EMTEL - ANT - INFRAESTRUCTURA 2025</v>
          </cell>
          <cell r="D42" t="str">
            <v>0363</v>
          </cell>
          <cell r="E42">
            <v>4893260380</v>
          </cell>
          <cell r="F42">
            <v>2001374038</v>
          </cell>
          <cell r="G42">
            <v>2891886342</v>
          </cell>
          <cell r="H42">
            <v>10016933149</v>
          </cell>
          <cell r="I42">
            <v>5576980107</v>
          </cell>
          <cell r="J42">
            <v>4439953042</v>
          </cell>
          <cell r="K42">
            <v>0</v>
          </cell>
          <cell r="L42">
            <v>0</v>
          </cell>
          <cell r="M42">
            <v>0</v>
          </cell>
          <cell r="N42">
            <v>0</v>
          </cell>
          <cell r="O42">
            <v>0</v>
          </cell>
          <cell r="P42">
            <v>0</v>
          </cell>
          <cell r="Q42">
            <v>0</v>
          </cell>
          <cell r="R42">
            <v>0</v>
          </cell>
          <cell r="S42">
            <v>0</v>
          </cell>
          <cell r="T42">
            <v>0</v>
          </cell>
          <cell r="U42">
            <v>0</v>
          </cell>
          <cell r="V42">
            <v>0</v>
          </cell>
          <cell r="W42">
            <v>14910193529</v>
          </cell>
          <cell r="X42">
            <v>7578354145</v>
          </cell>
          <cell r="Y42">
            <v>7331839384</v>
          </cell>
          <cell r="Z42">
            <v>45734</v>
          </cell>
          <cell r="AA42">
            <v>46234</v>
          </cell>
          <cell r="AB42">
            <v>16.43</v>
          </cell>
          <cell r="AC42" t="str">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ell>
        </row>
        <row r="43">
          <cell r="C43" t="str">
            <v>UNIÓN TEMPORAL BIG DATA</v>
          </cell>
          <cell r="D43" t="str">
            <v>0371</v>
          </cell>
          <cell r="E43">
            <v>496648753</v>
          </cell>
          <cell r="F43">
            <v>332116783</v>
          </cell>
          <cell r="G43">
            <v>164531970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496648753</v>
          </cell>
          <cell r="X43">
            <v>332116783</v>
          </cell>
          <cell r="Y43">
            <v>164531970</v>
          </cell>
          <cell r="Z43">
            <v>45778</v>
          </cell>
          <cell r="AA43">
            <v>46127</v>
          </cell>
          <cell r="AB43">
            <v>11.47</v>
          </cell>
          <cell r="AC43" t="str">
            <v>https://growdatasas.sharepoint.com/:x:/r/sites/Gestiondocumental/Administrativa/GD/Financiera/_layouts/15/Doc.aspx?sourcedoc=%7B992F7B45-9CC9-43D2-9E9D-0F8A68C8C555%7D&amp;file=22052025%20MODELO%20FINANCIERO%20REFERENCIA%20V7.4_ANSV_V1.0.xlsm&amp;action=default&amp;mobileredirect=true</v>
          </cell>
        </row>
        <row r="44">
          <cell r="C44" t="str">
            <v>ADRES-MEGA HOPEX 2025</v>
          </cell>
          <cell r="D44" t="str">
            <v>0370</v>
          </cell>
          <cell r="E44">
            <v>924343569</v>
          </cell>
          <cell r="F44">
            <v>589176956</v>
          </cell>
          <cell r="G44">
            <v>335166613</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924343569</v>
          </cell>
          <cell r="X44">
            <v>589176956</v>
          </cell>
          <cell r="Y44">
            <v>335166613</v>
          </cell>
          <cell r="Z44">
            <v>45834</v>
          </cell>
          <cell r="AA44">
            <v>46006</v>
          </cell>
          <cell r="AB44">
            <v>5.63</v>
          </cell>
          <cell r="AC44" t="str">
            <v>https://growdatasas.sharepoint.com/:x:/r/sites/Gestiondocumental/Administrativa/GD/Financiera/_layouts/15/Doc.aspx?sourcedoc=%7B9C76270D-595C-496E-97BB-8004054AF14A%7D&amp;file=20251301%20MODELO%20FINANCIERO%20REFERENCIA%20V7.4_ADRES_2A%C3%91OS_VF.xlsm&amp;action=default&amp;mobileredirect=true</v>
          </cell>
        </row>
        <row r="45">
          <cell r="C45" t="str">
            <v>ERT-CNE-TI FASE 5</v>
          </cell>
          <cell r="D45" t="str">
            <v>0369</v>
          </cell>
          <cell r="E45">
            <v>6952863840</v>
          </cell>
          <cell r="F45">
            <v>3716553716</v>
          </cell>
          <cell r="G45">
            <v>3236310124</v>
          </cell>
          <cell r="H45">
            <v>3397901871</v>
          </cell>
          <cell r="I45">
            <v>1438905347</v>
          </cell>
          <cell r="J45">
            <v>1958996524</v>
          </cell>
          <cell r="K45">
            <v>0</v>
          </cell>
          <cell r="L45">
            <v>0</v>
          </cell>
          <cell r="M45">
            <v>0</v>
          </cell>
          <cell r="N45">
            <v>0</v>
          </cell>
          <cell r="O45">
            <v>0</v>
          </cell>
          <cell r="P45">
            <v>0</v>
          </cell>
          <cell r="Q45">
            <v>0</v>
          </cell>
          <cell r="R45">
            <v>0</v>
          </cell>
          <cell r="S45">
            <v>0</v>
          </cell>
          <cell r="T45">
            <v>0</v>
          </cell>
          <cell r="U45">
            <v>0</v>
          </cell>
          <cell r="V45">
            <v>0</v>
          </cell>
          <cell r="W45">
            <v>10350765711</v>
          </cell>
          <cell r="X45">
            <v>5155459063</v>
          </cell>
          <cell r="Y45">
            <v>5195306648</v>
          </cell>
          <cell r="Z45">
            <v>45836</v>
          </cell>
          <cell r="AA45">
            <v>46112</v>
          </cell>
          <cell r="AB45">
            <v>9.1</v>
          </cell>
          <cell r="AC45" t="str">
            <v>https://growdatasas.sharepoint.com/:x:/r/sites/Gestiondocumental/Administrativa/GD/Financiera/_layouts/15/Doc.aspx?sourcedoc=%7BCBD85F36-19B3-4585-A509-7CFC7A30BABA%7D&amp;file=MODELO%20FINANCIERO%20CNE%202025_8%20(Fase%205%20aprobado).xlsm&amp;action=default&amp;mobileredirect=true</v>
          </cell>
        </row>
        <row r="46">
          <cell r="C46" t="str">
            <v>SNR- MIGRACION FOLIO A SIR - 2025</v>
          </cell>
          <cell r="D46" t="str">
            <v>0375</v>
          </cell>
          <cell r="E46">
            <v>12093288039</v>
          </cell>
          <cell r="F46">
            <v>5018888965</v>
          </cell>
          <cell r="G46">
            <v>7074399074</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12093288039</v>
          </cell>
          <cell r="X46">
            <v>5018888965</v>
          </cell>
          <cell r="Y46">
            <v>7074399074</v>
          </cell>
          <cell r="Z46">
            <v>45870</v>
          </cell>
          <cell r="AA46">
            <v>46022</v>
          </cell>
          <cell r="AB46">
            <v>5</v>
          </cell>
          <cell r="AC46" t="str">
            <v>https://growdatasas.sharepoint.com/:x:/r/sites/Gestiondocumental/Administrativa/GD/Financiera/_layouts/15/Doc.aspx?sourcedoc=%7B43DBCCF8-194C-47D3-A7AD-28487A0065F6%7D&amp;file=MODELO%20FINANCIERO%20SNR%20MIGRACIONES%202025%2022.08.25%20v3.xlsm&amp;action=default&amp;mobileredirect=true</v>
          </cell>
        </row>
        <row r="47">
          <cell r="C47" t="str">
            <v>UT GROW OMEGA - CORTOLIMA - ERA</v>
          </cell>
          <cell r="D47" t="str">
            <v>10033</v>
          </cell>
          <cell r="E47">
            <v>2434584789</v>
          </cell>
          <cell r="F47">
            <v>1456222952</v>
          </cell>
          <cell r="G47">
            <v>978361837</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2434584789</v>
          </cell>
          <cell r="X47">
            <v>1456222952</v>
          </cell>
          <cell r="Y47">
            <v>978361837</v>
          </cell>
          <cell r="Z47">
            <v>45880</v>
          </cell>
          <cell r="AA47">
            <v>46662</v>
          </cell>
          <cell r="AB47">
            <v>25.7</v>
          </cell>
          <cell r="AC47" t="str">
            <v>https://growdatasas.sharepoint.com/:x:/r/sites/Gestiondocumental/Administrativa/GD/Financiera/_layouts/15/Doc.aspx?sourcedoc=%7B538AADB9-4832-4502-992B-5493EC06C9DB%7D&amp;file=250905%20ERA%20MODELO%20FINANCIERO%20REFERENCIA%20V7.5.xlsm&amp;action=default&amp;mobileredirect=true</v>
          </cell>
        </row>
        <row r="48">
          <cell r="C48" t="str">
            <v>TELEFONICA - RNEC-ELECCIONES 2026</v>
          </cell>
          <cell r="D48" t="str">
            <v>0373</v>
          </cell>
          <cell r="E48">
            <v>14571231757</v>
          </cell>
          <cell r="F48">
            <v>6077313393</v>
          </cell>
          <cell r="G48">
            <v>8493918364</v>
          </cell>
          <cell r="H48">
            <v>342000836</v>
          </cell>
          <cell r="I48">
            <v>311904762</v>
          </cell>
          <cell r="J48">
            <v>30096074</v>
          </cell>
          <cell r="K48">
            <v>340944885</v>
          </cell>
          <cell r="L48">
            <v>38808258</v>
          </cell>
          <cell r="M48">
            <v>302136627</v>
          </cell>
          <cell r="N48">
            <v>29327947</v>
          </cell>
          <cell r="O48">
            <v>2525053</v>
          </cell>
          <cell r="P48">
            <v>26802894</v>
          </cell>
          <cell r="Q48">
            <v>38589404</v>
          </cell>
          <cell r="R48">
            <v>3006649</v>
          </cell>
          <cell r="S48">
            <v>35582755</v>
          </cell>
          <cell r="T48">
            <v>0</v>
          </cell>
          <cell r="U48">
            <v>0</v>
          </cell>
          <cell r="V48">
            <v>0</v>
          </cell>
          <cell r="W48">
            <v>15322094829</v>
          </cell>
          <cell r="X48">
            <v>6433558115</v>
          </cell>
          <cell r="Y48">
            <v>8888536714</v>
          </cell>
          <cell r="Z48">
            <v>45880</v>
          </cell>
          <cell r="AA48">
            <v>46203</v>
          </cell>
          <cell r="AB48">
            <v>10.63</v>
          </cell>
          <cell r="AC48" t="str">
            <v>https://growdatasas.sharepoint.com/:x:/r/sites/Gestiondocumental/Administrativa/GD/Financiera/_layouts/15/Doc.aspx?sourcedoc=%7B41841B21-2BE8-4447-91BA-4CA8390FA143%7D&amp;file=MODELO%20FINANCIERO%20ELECCIONES%202025%20INTEGRADO%20V3%20DEF.xlsm&amp;action=default&amp;mobileredirect=true</v>
          </cell>
        </row>
        <row r="49">
          <cell r="C49" t="str">
            <v>EMTEL-ANT-ARQ-SOFT-2025</v>
          </cell>
          <cell r="D49" t="str">
            <v>0372</v>
          </cell>
          <cell r="E49">
            <v>5132456876</v>
          </cell>
          <cell r="F49">
            <v>3728746353</v>
          </cell>
          <cell r="G49">
            <v>1403710523</v>
          </cell>
          <cell r="H49">
            <v>646414317</v>
          </cell>
          <cell r="I49">
            <v>474328286</v>
          </cell>
          <cell r="J49">
            <v>172086031</v>
          </cell>
          <cell r="K49">
            <v>0</v>
          </cell>
          <cell r="L49">
            <v>0</v>
          </cell>
          <cell r="M49">
            <v>0</v>
          </cell>
          <cell r="N49">
            <v>0</v>
          </cell>
          <cell r="O49">
            <v>0</v>
          </cell>
          <cell r="P49">
            <v>0</v>
          </cell>
          <cell r="Q49">
            <v>0</v>
          </cell>
          <cell r="R49">
            <v>0</v>
          </cell>
          <cell r="S49">
            <v>0</v>
          </cell>
          <cell r="T49">
            <v>0</v>
          </cell>
          <cell r="U49">
            <v>0</v>
          </cell>
          <cell r="V49">
            <v>0</v>
          </cell>
          <cell r="W49">
            <v>5778871193</v>
          </cell>
          <cell r="X49">
            <v>4203074639</v>
          </cell>
          <cell r="Y49">
            <v>1575796554</v>
          </cell>
          <cell r="Z49">
            <v>45884</v>
          </cell>
          <cell r="AA49">
            <v>46037</v>
          </cell>
          <cell r="AB49">
            <v>5</v>
          </cell>
          <cell r="AC49" t="str">
            <v>https://growdatasas.sharepoint.com/:x:/r/sites/Gestiondocumental/Administrativa/GD/Financiera/_layouts/15/Doc.aspx?sourcedoc=%7B7342DE4F-42D6-43D5-B227-6B91A3A42F97%7D&amp;file=MODELO%20FINANCIERO%20ANT%20DESARROLLO%2BARQ%2BIA%2022.08.25%20V4.xlsm&amp;action=default&amp;mobileredirect=true</v>
          </cell>
        </row>
        <row r="50">
          <cell r="C50" t="str">
            <v>FCM- HERRAMIENTA CALIDAD</v>
          </cell>
          <cell r="D50" t="str">
            <v>10032</v>
          </cell>
          <cell r="E50">
            <v>1285798319</v>
          </cell>
          <cell r="F50">
            <v>683254187</v>
          </cell>
          <cell r="G50">
            <v>602544132</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1285798319</v>
          </cell>
          <cell r="X50">
            <v>683254187</v>
          </cell>
          <cell r="Y50">
            <v>602544132</v>
          </cell>
          <cell r="Z50">
            <v>45901</v>
          </cell>
          <cell r="AA50">
            <v>46021</v>
          </cell>
          <cell r="AB50">
            <v>3.97</v>
          </cell>
          <cell r="AC50" t="str">
            <v>https://growdatasas.sharepoint.com/:x:/r/sites/Gestiondocumental/Administrativa/GD/Financiera/_layouts/15/Doc.aspx?sourcedoc=%7BBFBC0E56-0D26-4209-BEC0-A1582426050B%7D&amp;file=MODELO%20FINANCIERO%20FCM%20UT%2029.09.25%20V1.xlsm&amp;action=default&amp;mobileredirect=true</v>
          </cell>
        </row>
        <row r="51">
          <cell r="C51" t="str">
            <v>CCD-INM-AE-2025</v>
          </cell>
          <cell r="D51" t="str">
            <v>0376</v>
          </cell>
          <cell r="E51">
            <v>223370157</v>
          </cell>
          <cell r="F51">
            <v>162301726</v>
          </cell>
          <cell r="G51">
            <v>61068431</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223370157</v>
          </cell>
          <cell r="X51">
            <v>162301726</v>
          </cell>
          <cell r="Y51">
            <v>61068431</v>
          </cell>
          <cell r="Z51">
            <v>45901</v>
          </cell>
          <cell r="AA51">
            <v>46022</v>
          </cell>
          <cell r="AB51">
            <v>4</v>
          </cell>
          <cell r="AC51" t="str">
            <v>https://growdatasas.sharepoint.com/:x:/r/sites/Gestiondocumental/Administrativa/GD/Financiera/_layouts/15/Doc.aspx?sourcedoc=%7B5693324A-E570-4B4F-9F46-B89F46926326%7D&amp;file=20251301%20MODELO%20FINANCIERO%20REFERENCIA%20V7.4_INM_2025%20-%20PMO.xlsm&amp;action=default&amp;mobileredirect=true</v>
          </cell>
        </row>
        <row r="52">
          <cell r="C52" t="str">
            <v>FNA -DATAFABRIC</v>
          </cell>
          <cell r="D52" t="str">
            <v>0374</v>
          </cell>
          <cell r="E52">
            <v>8621752758</v>
          </cell>
          <cell r="F52">
            <v>4792442910</v>
          </cell>
          <cell r="G52">
            <v>3829309848</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8621752758</v>
          </cell>
          <cell r="X52">
            <v>4792442910</v>
          </cell>
          <cell r="Y52">
            <v>3829309848</v>
          </cell>
          <cell r="Z52">
            <v>45901</v>
          </cell>
          <cell r="AA52">
            <v>46264</v>
          </cell>
          <cell r="AB52">
            <v>11.97</v>
          </cell>
          <cell r="AC52" t="str">
            <v>https://growdatasas.sharepoint.com/:x:/r/sites/Gestiondocumental/Administrativa/GD/Financiera/_layouts/15/Doc.aspx?sourcedoc=%7BC3892D65-489F-443F-A599-C986A63B9A18%7D&amp;file=MODELO%20FINANCIERO%20FNA%20ECOSISTEMA%20DE%20DATOS%20V14_modDCU.xlsm&amp;action=default&amp;mobileredirect=true</v>
          </cell>
        </row>
        <row r="53">
          <cell r="C53" t="str">
            <v>UT PORTAL TRANSACCIONAL ALCALDIA BOG</v>
          </cell>
          <cell r="D53" t="str">
            <v>10031</v>
          </cell>
          <cell r="E53">
            <v>3992251908</v>
          </cell>
          <cell r="F53">
            <v>3691676726</v>
          </cell>
          <cell r="G53">
            <v>300575182</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3992251908</v>
          </cell>
          <cell r="X53">
            <v>3691676726</v>
          </cell>
          <cell r="Y53">
            <v>300575182</v>
          </cell>
          <cell r="Z53">
            <v>45905</v>
          </cell>
          <cell r="AA53">
            <v>46757</v>
          </cell>
          <cell r="AB53">
            <v>28</v>
          </cell>
          <cell r="AC53" t="str">
            <v>https://growdatasas.sharepoint.com/:x:/r/sites/Gestiondocumental/Administrativa/GD/Financiera/_layouts/15/Doc.aspx?sourcedoc=%7BDADD2B05-21D9-4686-A901-13FB00FDC4B4%7D&amp;file=MODELO%20FINANCIERO%20ALCALDIA%20DE%20BOGOTA%20PORTAL%20TRANSACCIONAL%2002.09.25%20V9.xlsm&amp;action=default&amp;mobileredirect=true</v>
          </cell>
        </row>
        <row r="54">
          <cell r="C54" t="str">
            <v>UT DATOS INTEGRALES CGR 2025</v>
          </cell>
          <cell r="D54" t="str">
            <v>10034</v>
          </cell>
          <cell r="E54">
            <v>2944285714</v>
          </cell>
          <cell r="F54">
            <v>1570080349</v>
          </cell>
          <cell r="G54">
            <v>1374205365</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2944285714</v>
          </cell>
          <cell r="X54">
            <v>1570080349</v>
          </cell>
          <cell r="Y54">
            <v>1374205365</v>
          </cell>
          <cell r="Z54">
            <v>45915</v>
          </cell>
          <cell r="AA54">
            <v>46006</v>
          </cell>
          <cell r="AB54">
            <v>3</v>
          </cell>
          <cell r="AC54" t="str">
            <v>https://growdatasas.sharepoint.com/:x:/r/sites/Gestiondocumental/Administrativa/GD/Financiera/_layouts/15/Doc.aspx?sourcedoc=%7B1DB7BB77-F516-4EEA-9E40-1031014F157D%7D&amp;file=MODELO%20FINANCIERO%20CGR%207.10.25%20v3.xlsm&amp;action=default&amp;mobileredirect=true</v>
          </cell>
        </row>
        <row r="55">
          <cell r="C55" t="str">
            <v>CCD - CANCILLERIA-INFRAESTRUCTURA</v>
          </cell>
          <cell r="D55" t="str">
            <v>0379</v>
          </cell>
          <cell r="E55">
            <v>6371654115</v>
          </cell>
          <cell r="F55">
            <v>4420115772</v>
          </cell>
          <cell r="G55">
            <v>1951538343</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6371654115</v>
          </cell>
          <cell r="X55">
            <v>4420115772</v>
          </cell>
          <cell r="Y55">
            <v>1951538343</v>
          </cell>
          <cell r="Z55">
            <v>45931</v>
          </cell>
          <cell r="AA55">
            <v>46172</v>
          </cell>
          <cell r="AB55">
            <v>7.97</v>
          </cell>
          <cell r="AC55" t="str">
            <v>https://growdatasas.sharepoint.com/:x:/r/sites/Gestiondocumental/Administrativa/GD/Financiera/_layouts/15/Doc.aspx?sourcedoc=%7BBD7E6B05-C8DF-4CE6-95B4-3ED6B2F351D2%7D&amp;file=MODELO%20FINANCIERO%20SUMINISTRO%20HCI%20CANCILLER%C3%8DA%20-%20GROW%20DATA%20-%20Consolidado.xlsm&amp;action=default&amp;mobileredirect=true</v>
          </cell>
        </row>
        <row r="56">
          <cell r="C56" t="str">
            <v>CONSYCOM - CAMARA DE FOTODECCION 2</v>
          </cell>
          <cell r="D56" t="str">
            <v>0378</v>
          </cell>
          <cell r="E56">
            <v>226320422</v>
          </cell>
          <cell r="F56">
            <v>131114560</v>
          </cell>
          <cell r="G56">
            <v>95205862</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226320422</v>
          </cell>
          <cell r="X56">
            <v>131114560</v>
          </cell>
          <cell r="Y56">
            <v>95205862</v>
          </cell>
          <cell r="Z56">
            <v>45931</v>
          </cell>
          <cell r="AA56">
            <v>47391</v>
          </cell>
          <cell r="AB56">
            <v>47.97</v>
          </cell>
          <cell r="AC56" t="str">
            <v>https://growdatasas.sharepoint.com/:x:/r/sites/Gestiondocumental/Administrativa/GD/Financiera/_layouts/15/Doc.aspx?sourcedoc=%7B68938D93-F552-460C-83CE-BF34E8A8C037%7D&amp;file=20250407%20MODELO%20FINANCIERO%20REFERENCIA%20V7.4%2060%20Meses%20-%20Opcion%202.xlsm&amp;action=default&amp;mobileredirect=true</v>
          </cell>
        </row>
        <row r="57">
          <cell r="C57" t="str">
            <v>CODALTEC – MINISTERIO DEL INTERIOR</v>
          </cell>
          <cell r="D57" t="str">
            <v>0005</v>
          </cell>
          <cell r="E57">
            <v>6937882353</v>
          </cell>
          <cell r="F57">
            <v>3810581437</v>
          </cell>
          <cell r="G57">
            <v>3127300916</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6937882353</v>
          </cell>
          <cell r="X57">
            <v>3810581437</v>
          </cell>
          <cell r="Y57">
            <v>3127300916</v>
          </cell>
          <cell r="Z57">
            <v>45931</v>
          </cell>
          <cell r="AA57">
            <v>47483</v>
          </cell>
          <cell r="AB57">
            <v>51</v>
          </cell>
          <cell r="AC57" t="str">
            <v>https://growdatasas.sharepoint.com/:x:/r/sites/Gestiondocumental/Administrativa/GD/Financiera/_layouts/15/Doc.aspx?sourcedoc=%7BB9F619F2-CED9-492C-9912-ECF7B94ECFDC%7D&amp;file=MODELO%20FINANCIERO%20HCI%20Ministerio%20del%20Interior%20-%20UT%20GD%20HC%2026-09-2025.xlsm&amp;action=default&amp;mobileredirect=true</v>
          </cell>
        </row>
        <row r="58">
          <cell r="C58" t="str">
            <v>CONSYCOM- CAMARA FOTODETECCION</v>
          </cell>
          <cell r="D58" t="str">
            <v>0364</v>
          </cell>
          <cell r="E58">
            <v>162638242</v>
          </cell>
          <cell r="F58">
            <v>93771886</v>
          </cell>
          <cell r="G58">
            <v>68866356</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162638242</v>
          </cell>
          <cell r="X58">
            <v>93771886</v>
          </cell>
          <cell r="Y58">
            <v>68866356</v>
          </cell>
          <cell r="Z58">
            <v>45931</v>
          </cell>
          <cell r="AA58">
            <v>47756</v>
          </cell>
          <cell r="AB58">
            <v>59.97</v>
          </cell>
          <cell r="AC58" t="str">
            <v>https://growdatasas.sharepoint.com/:x:/r/sites/Gestiondocumental/Administrativa/GD/Financiera/_layouts/15/Doc.aspx?sourcedoc=%7B68938D93-F552-460C-83CE-BF34E8A8C037%7D&amp;file=20250407%20MODELO%20FINANCIERO%20REFERENCIA%20V7.4%2060%20Meses%20-%20Opcion%202.xlsm&amp;action=default&amp;mobileredirect=true</v>
          </cell>
        </row>
        <row r="59">
          <cell r="C59" t="str">
            <v>UNIEMPRESARIAL-INFRAESTRUC ALIBABA</v>
          </cell>
          <cell r="D59" t="str">
            <v>0352</v>
          </cell>
          <cell r="E59">
            <v>309945070</v>
          </cell>
          <cell r="F59">
            <v>198857341</v>
          </cell>
          <cell r="G59">
            <v>111087729</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309945070</v>
          </cell>
          <cell r="X59">
            <v>198857341</v>
          </cell>
          <cell r="Y59">
            <v>111087729</v>
          </cell>
          <cell r="Z59">
            <v>45931</v>
          </cell>
          <cell r="AA59">
            <v>46022</v>
          </cell>
          <cell r="AB59">
            <v>3</v>
          </cell>
          <cell r="AC59" t="str">
            <v>https://growdatasas.sharepoint.com/:x:/r/sites/Gestiondocumental/Administrativa/GD/Financiera/_layouts/15/Doc.aspx?sourcedoc=%7B1DBFC819-A96C-4AF2-9C53-2D70E3ED9365%7D&amp;file=Modelo%20de%20negocio%20-%20Uniempresarial%20-%2020241127.xlsm&amp;action=default&amp;mobileredirect=true</v>
          </cell>
        </row>
        <row r="60">
          <cell r="C60" t="str">
            <v>COLPENSIONES-GOBDATOS</v>
          </cell>
          <cell r="D60" t="str">
            <v>0381</v>
          </cell>
          <cell r="E60">
            <v>4936770825</v>
          </cell>
          <cell r="F60">
            <v>2207086979</v>
          </cell>
          <cell r="G60">
            <v>2729683846</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4936770825</v>
          </cell>
          <cell r="X60">
            <v>2207086979</v>
          </cell>
          <cell r="Y60">
            <v>2729683846</v>
          </cell>
          <cell r="Z60">
            <v>45940</v>
          </cell>
          <cell r="AA60">
            <v>46387</v>
          </cell>
          <cell r="AB60">
            <v>14.7</v>
          </cell>
          <cell r="AC60"/>
        </row>
        <row r="61">
          <cell r="C61" t="str">
            <v>AEROCIVIL - ARQUITECTURA 2025</v>
          </cell>
          <cell r="D61" t="str">
            <v>0385</v>
          </cell>
          <cell r="E61">
            <v>1680672269</v>
          </cell>
          <cell r="F61">
            <v>772840336</v>
          </cell>
          <cell r="G61">
            <v>907831933</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1680672269</v>
          </cell>
          <cell r="X61">
            <v>772840336</v>
          </cell>
          <cell r="Y61">
            <v>907831933</v>
          </cell>
          <cell r="Z61">
            <v>45945</v>
          </cell>
          <cell r="AA61">
            <v>46022</v>
          </cell>
          <cell r="AB61">
            <v>2.5299999999999998</v>
          </cell>
          <cell r="AC61" t="str">
            <v>https://growdatasas.sharepoint.com/:x:/r/sites/Gestiondocumental/Administrativa/GD/Financiera/_layouts/15/Doc.aspx?sourcedoc=%7B0CDB7FA7-62D8-4102-9A59-9817018FB4BB%7D&amp;file=05112025%20MODELO%20FINANCIERO%20REFERENCIA_AEROCIVIL%20V7.4%20ajustada230.xlsm&amp;action=default&amp;mobileredirect=true</v>
          </cell>
        </row>
        <row r="62">
          <cell r="C62" t="str">
            <v>UT ANH FISCALIZACIÓN</v>
          </cell>
          <cell r="D62" t="str">
            <v>10040</v>
          </cell>
          <cell r="E62">
            <v>12603682885</v>
          </cell>
          <cell r="F62">
            <v>7123723941</v>
          </cell>
          <cell r="G62">
            <v>5479958944</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12603682885</v>
          </cell>
          <cell r="X62">
            <v>7123723941</v>
          </cell>
          <cell r="Y62">
            <v>5479958944</v>
          </cell>
          <cell r="Z62">
            <v>45950</v>
          </cell>
          <cell r="AA62">
            <v>46387</v>
          </cell>
          <cell r="AB62">
            <v>14.37</v>
          </cell>
          <cell r="AC62" t="str">
            <v>https://growdatasas.sharepoint.com/:x:/r/sites/Gestiondocumental/Administrativa/GD/Financiera/_layouts/15/Doc.aspx?sourcedoc=%7B65B8247F-DA01-4A6A-8421-57629CEF7367%7D&amp;file=MODELO%20FINANCIERO%20ANH%20FISCALIZACION%2023.09.25%20V1.xlsm&amp;action=default&amp;mobileredirect=true</v>
          </cell>
        </row>
        <row r="63">
          <cell r="C63" t="str">
            <v>INTERNEXA-MT-ANALITICA IOT</v>
          </cell>
          <cell r="D63" t="str">
            <v>0389</v>
          </cell>
          <cell r="E63">
            <v>1806200000</v>
          </cell>
          <cell r="F63">
            <v>1117759798</v>
          </cell>
          <cell r="G63">
            <v>688440202</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1806200000</v>
          </cell>
          <cell r="X63">
            <v>1117759798</v>
          </cell>
          <cell r="Y63">
            <v>688440202</v>
          </cell>
          <cell r="Z63">
            <v>45962</v>
          </cell>
          <cell r="AA63">
            <v>46325</v>
          </cell>
          <cell r="AB63">
            <v>11.97</v>
          </cell>
          <cell r="AC63"/>
        </row>
        <row r="64">
          <cell r="C64" t="str">
            <v>UT SOLUCIONES SOFTWARE 2025</v>
          </cell>
          <cell r="D64" t="str">
            <v>10039</v>
          </cell>
          <cell r="E64">
            <v>6500000000</v>
          </cell>
          <cell r="F64">
            <v>3898829550</v>
          </cell>
          <cell r="G64">
            <v>2601170450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6500000000</v>
          </cell>
          <cell r="X64">
            <v>3898829550</v>
          </cell>
          <cell r="Y64">
            <v>2601170450</v>
          </cell>
          <cell r="Z64">
            <v>45962</v>
          </cell>
          <cell r="AA64">
            <v>46264</v>
          </cell>
          <cell r="AB64">
            <v>9.9700000000000006</v>
          </cell>
          <cell r="AC64" t="str">
            <v>https://growdatasas.sharepoint.com/:x:/r/sites/Gestiondocumental/Administrativa/GD/Financiera/_layouts/15/Doc.aspx?sourcedoc=%7BDC14EEB5-8BB0-4127-9C10-E6FA8B23CAA0%7D&amp;file=OK-%2020251301%20MODELO%20FINANCIERO%20FISCALIA%20FABRICA%20DE%20SW%2011.09.25%20V1.xlsm&amp;action=default&amp;mobileredirect=true</v>
          </cell>
        </row>
        <row r="65">
          <cell r="C65" t="str">
            <v>CLARO -FGN - GOBIERNO DE DATOS</v>
          </cell>
          <cell r="D65" t="str">
            <v>0387</v>
          </cell>
          <cell r="E65">
            <v>2898000000</v>
          </cell>
          <cell r="F65">
            <v>836827348</v>
          </cell>
          <cell r="G65">
            <v>2061172652</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2898000000</v>
          </cell>
          <cell r="X65">
            <v>836827348</v>
          </cell>
          <cell r="Y65">
            <v>2061172652</v>
          </cell>
          <cell r="Z65">
            <v>45962</v>
          </cell>
          <cell r="AA65">
            <v>46111</v>
          </cell>
          <cell r="AB65">
            <v>4.97</v>
          </cell>
          <cell r="AC65" t="str">
            <v>http://growdatasas.sharepoint.com/:x:/r/sites/Gestiondocumental/Administrativa/GD/Financiera/_layouts/15/Doc.aspx?sourcedoc=%7B01BE6969-C81D-4E83-B0DC-5E1ADEBADCFC%7D&amp;file=20251301%20MODELO%20FINANCIERO%20FISCALIA%20GOBIERNO%20DE%20DATOS%2017.12.25%20V5.xlsm&amp;action=default&amp;mobileredirect=true</v>
          </cell>
        </row>
        <row r="66">
          <cell r="C66" t="str">
            <v>DIAN-BORRADO SEGURO BLANCCO</v>
          </cell>
          <cell r="D66" t="str">
            <v>0382</v>
          </cell>
          <cell r="E66">
            <v>274832284</v>
          </cell>
          <cell r="F66">
            <v>243037690</v>
          </cell>
          <cell r="G66">
            <v>31794594</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274832284</v>
          </cell>
          <cell r="X66">
            <v>243037690</v>
          </cell>
          <cell r="Y66">
            <v>31794594</v>
          </cell>
          <cell r="Z66">
            <v>45962</v>
          </cell>
          <cell r="AA66">
            <v>45991</v>
          </cell>
          <cell r="AB66">
            <v>0.97</v>
          </cell>
          <cell r="AC66" t="str">
            <v>https://growdatasas.sharepoint.com/:x:/r/sites/Gestiondocumental/Administrativa/GD/Financiera/_layouts/15/Doc.aspx?sourcedoc=%7B0EF085EC-8E84-47C2-BAD9-3C84DC86B615%7D&amp;file=20251301%20MODELO%20FINANCIERO%20REFERENCIA%20V7.4%20CCE_DIAN_20251031.xlsm&amp;action=default&amp;mobileredirect=true</v>
          </cell>
        </row>
        <row r="67">
          <cell r="C67" t="str">
            <v>UNAD- IMPLEMENTACION TI Y LABORATORIOS</v>
          </cell>
          <cell r="D67" t="str">
            <v>10038</v>
          </cell>
          <cell r="E67">
            <v>40089730500</v>
          </cell>
          <cell r="F67">
            <v>28089671329</v>
          </cell>
          <cell r="G67">
            <v>12000059171</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40089730500</v>
          </cell>
          <cell r="X67">
            <v>28089671329</v>
          </cell>
          <cell r="Y67">
            <v>12000059171</v>
          </cell>
          <cell r="Z67">
            <v>45962</v>
          </cell>
          <cell r="AA67">
            <v>47787</v>
          </cell>
          <cell r="AB67">
            <v>60</v>
          </cell>
          <cell r="AC67" t="str">
            <v>https://growdatasas.sharepoint.com/:x:/r/sites/Gestiondocumental/Administrativa/GD/Financiera/_layouts/15/Doc.aspx?sourcedoc=%7BBF6E8538-B113-45FF-83F6-596104EC0C59%7D&amp;file=3.0.0.%20%20MODELO%20UNAD%20V3.0.%20(ajustado).xlsm&amp;action=default&amp;mobileredirect=true</v>
          </cell>
        </row>
        <row r="68">
          <cell r="C68" t="str">
            <v>CCD-CANCILLERIA-VENTA DE EQUIPOS LAN Y SEG</v>
          </cell>
          <cell r="D68" t="str">
            <v>0380</v>
          </cell>
          <cell r="E68">
            <v>9361763265</v>
          </cell>
          <cell r="F68">
            <v>3323342988</v>
          </cell>
          <cell r="G68">
            <v>6038420277</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9361763265</v>
          </cell>
          <cell r="X68">
            <v>3323342988</v>
          </cell>
          <cell r="Y68">
            <v>6038420277</v>
          </cell>
          <cell r="Z68">
            <v>45962</v>
          </cell>
          <cell r="AA68">
            <v>46021</v>
          </cell>
          <cell r="AB68">
            <v>1.97</v>
          </cell>
          <cell r="AC68" t="str">
            <v>https://growdatasas.sharepoint.com/:x:/r/sites/Gestiondocumental/Administrativa/GD/Financiera/_layouts/15/Doc.aspx?sourcedoc=%7BAAF63AB6-0AC1-49FD-8C96-9D5F6CE441A2%7D&amp;file=10112025%20MODELO%20FINANCIERO%20SUMINISTRO%20INFRESTRUCTURA%20LAN%20CANCILLERIA.xlsm&amp;action=default&amp;mobileredirect=true</v>
          </cell>
        </row>
        <row r="69">
          <cell r="C69" t="str">
            <v>RAMA JUDICIAL - RENOVACION</v>
          </cell>
          <cell r="D69" t="str">
            <v>0384</v>
          </cell>
          <cell r="E69">
            <v>680000000</v>
          </cell>
          <cell r="F69">
            <v>484465444</v>
          </cell>
          <cell r="G69">
            <v>195534556</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680000000</v>
          </cell>
          <cell r="X69">
            <v>484465444</v>
          </cell>
          <cell r="Y69">
            <v>195534556</v>
          </cell>
          <cell r="Z69">
            <v>45965</v>
          </cell>
          <cell r="AA69">
            <v>46695</v>
          </cell>
          <cell r="AB69">
            <v>24</v>
          </cell>
          <cell r="AC69" t="str">
            <v>https://growdatasas.sharepoint.com/:x:/r/sites/Gestiondocumental/Administrativa/GD/Financiera/_layouts/15/Doc.aspx?sourcedoc=%7BD3D1C463-BD96-490E-8523-005453EFE334%7D&amp;file=20251301%20MODELO%20FINANCIERO%20REFERENCIA%20V7.4_CONTINUAR_SAAS_RAMA.xlsm&amp;action=default&amp;mobileredirect=true</v>
          </cell>
        </row>
        <row r="70">
          <cell r="C70" t="str">
            <v>DATASEC-RENATA MININTERIOR-CIBERSEG</v>
          </cell>
          <cell r="D70" t="str">
            <v>0396</v>
          </cell>
          <cell r="E70">
            <v>3540722356</v>
          </cell>
          <cell r="F70">
            <v>1965212706</v>
          </cell>
          <cell r="G70">
            <v>1575509650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3540722356</v>
          </cell>
          <cell r="X70">
            <v>1965212706</v>
          </cell>
          <cell r="Y70">
            <v>1575509650</v>
          </cell>
          <cell r="Z70">
            <v>45971</v>
          </cell>
          <cell r="AA70">
            <v>46022</v>
          </cell>
          <cell r="AB70">
            <v>1.7</v>
          </cell>
          <cell r="AC70" t="str">
            <v>https://growdatasas.sharepoint.com/:x:/r/sites/Gestiondocumental/Administrativa/GD/Financiera/_layouts/15/Doc.aspx?sourcedoc=%7B380FDC26-2DE8-4445-A788-2A385F4CCDE1%7D&amp;file=MODELO%20FINANCIERO%20MIN%20INTERIOR%20CIBERSEGURIDAD%20v9%20-%20sin%20IVA%20WAF%20con%20Provisiones.xlsm&amp;action=default&amp;mobileredirect=true</v>
          </cell>
        </row>
        <row r="71">
          <cell r="C71" t="str">
            <v>EMTEL-CNE-INFRAEST Y APLICACIONES 2025</v>
          </cell>
          <cell r="D71" t="str">
            <v>0388</v>
          </cell>
          <cell r="E71">
            <v>7123723941</v>
          </cell>
          <cell r="F71">
            <v>4749361914</v>
          </cell>
          <cell r="G71">
            <v>2374362027</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7123723941</v>
          </cell>
          <cell r="X71">
            <v>4749361914</v>
          </cell>
          <cell r="Y71">
            <v>2374362027</v>
          </cell>
          <cell r="Z71">
            <v>45976</v>
          </cell>
          <cell r="AA71">
            <v>46142</v>
          </cell>
          <cell r="AB71">
            <v>5.5</v>
          </cell>
          <cell r="AC71" t="str">
            <v>https://growdatasas.sharepoint.com/:x:/r/sites/Gestiondocumental/Administrativa/GD/Financiera/_layouts/15/Doc.aspx?sourcedoc=%7B5D4A893D-AEF1-4B8E-9B0A-8D07579BCA41%7D&amp;file=MODELO%20FINANCIERO%20-%20CNE%20-%20SOLUCI%C3%93N%20TECNOLOGICA%20(TI%20%2B%20DATOS)%2026012026.xlsm&amp;action=default&amp;mobileredirect=true</v>
          </cell>
        </row>
        <row r="72">
          <cell r="C72" t="str">
            <v>RUNT-DESARROLLO CALES</v>
          </cell>
          <cell r="D72" t="str">
            <v>0390</v>
          </cell>
          <cell r="E72">
            <v>3311168919</v>
          </cell>
          <cell r="F72">
            <v>1597913499</v>
          </cell>
          <cell r="G72">
            <v>1713255420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3311168919</v>
          </cell>
          <cell r="X72">
            <v>1597913499</v>
          </cell>
          <cell r="Y72">
            <v>1713255420</v>
          </cell>
          <cell r="Z72">
            <v>45989</v>
          </cell>
          <cell r="AA72">
            <v>46293</v>
          </cell>
          <cell r="AB72">
            <v>10</v>
          </cell>
          <cell r="AC72" t="str">
            <v>https://growdatasas.sharepoint.com/:x:/r/sites/Gestiondocumental/Administrativa/GD/Financiera/_layouts/15/Doc.aspx?sourcedoc=%7B43DC271C-826E-42A6-8DDC-4B4FA4BB2E01%7D&amp;file=MODELO%20FINANCIERO%20-%20RUNT%20IMPLEMENTACI%C3%93N%20CALE%2024112025%20V5.xlsm&amp;action=default&amp;mobileredirect=true</v>
          </cell>
        </row>
        <row r="73">
          <cell r="C73" t="str">
            <v>UT AMESC - ARN - ALQUILER EQUIPOS 2026</v>
          </cell>
          <cell r="D73" t="str">
            <v>0393</v>
          </cell>
          <cell r="E73">
            <v>235294118</v>
          </cell>
          <cell r="F73">
            <v>164669199</v>
          </cell>
          <cell r="G73">
            <v>70624919</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235294118</v>
          </cell>
          <cell r="X73">
            <v>164669199</v>
          </cell>
          <cell r="Y73">
            <v>70624919</v>
          </cell>
          <cell r="Z73">
            <v>45992</v>
          </cell>
          <cell r="AA73">
            <v>46233</v>
          </cell>
          <cell r="AB73">
            <v>7.97</v>
          </cell>
          <cell r="AC73" t="str">
            <v>https://growdatasas.sharepoint.com/:x:/r/sites/Gestiondocumental/Administrativa/GD/Financiera/_layouts/15/Doc.aspx?sourcedoc=%7B2970928D-0288-4D5D-952F-67732B5D2028%7D&amp;file=251216_MODELO_FINANCIERO_SDH_V.2.0__V7.5%20VF.xlsm&amp;action=default&amp;mobileredirect=true</v>
          </cell>
        </row>
        <row r="74">
          <cell r="C74" t="str">
            <v>SUPERSUBSIDIO-MEGA</v>
          </cell>
          <cell r="D74" t="str">
            <v>0391</v>
          </cell>
          <cell r="E74">
            <v>490045504</v>
          </cell>
          <cell r="F74">
            <v>247635015</v>
          </cell>
          <cell r="G74">
            <v>242410489</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490045504</v>
          </cell>
          <cell r="X74">
            <v>247635015</v>
          </cell>
          <cell r="Y74">
            <v>242410489</v>
          </cell>
          <cell r="Z74">
            <v>45992</v>
          </cell>
          <cell r="AA74">
            <v>46022</v>
          </cell>
          <cell r="AB74">
            <v>1</v>
          </cell>
          <cell r="AC74" t="str">
            <v>https://growdatasas.sharepoint.com/:x:/r/sites/Gestiondocumental/Administrativa/GD/Financiera/_layouts/15/Doc.aspx?sourcedoc=%7B840D2BBF-2534-4DFF-B0DD-C6009F7470CE%7D&amp;file=20251301%20MODELO%20FINANCIERO%20REFERENCIA%20V7.4_583MILL.xlsm&amp;action=default&amp;mobileredirect=true</v>
          </cell>
        </row>
        <row r="75">
          <cell r="C75" t="str">
            <v>UT ARQUITECTURA HACIENDA 2025</v>
          </cell>
          <cell r="D75" t="str">
            <v>00001</v>
          </cell>
          <cell r="E75">
            <v>3996613445</v>
          </cell>
          <cell r="F75">
            <v>3013668998</v>
          </cell>
          <cell r="G75">
            <v>982944447</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3996613445</v>
          </cell>
          <cell r="X75">
            <v>3013668998</v>
          </cell>
          <cell r="Y75">
            <v>982944447</v>
          </cell>
          <cell r="Z75">
            <v>46006</v>
          </cell>
          <cell r="AA75">
            <v>46766</v>
          </cell>
          <cell r="AB75">
            <v>24.97</v>
          </cell>
          <cell r="AC75" t="str">
            <v>https://growdatasas.sharepoint.com/:x:/r/sites/Gestiondocumental/Administrativa/GD/Financiera/_layouts/15/Doc.aspx?sourcedoc=%7B2970928D-0288-4D5D-952F-67732B5D2028%7D&amp;file=251216_MODELO_FINANCIERO_SDH_V.2.0__V7.5%20VF.xlsm&amp;action=default&amp;mobileredirect=true</v>
          </cell>
        </row>
        <row r="76">
          <cell r="C76" t="str">
            <v>DNP-MEGAHOPEX</v>
          </cell>
          <cell r="D76" t="str">
            <v>00001</v>
          </cell>
          <cell r="E76">
            <v>529831933</v>
          </cell>
          <cell r="F76">
            <v>232025819</v>
          </cell>
          <cell r="G76">
            <v>297806114</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529831933</v>
          </cell>
          <cell r="X76">
            <v>232025819</v>
          </cell>
          <cell r="Y76">
            <v>297806114</v>
          </cell>
          <cell r="Z76">
            <v>46006</v>
          </cell>
          <cell r="AA76">
            <v>46022</v>
          </cell>
          <cell r="AB76">
            <v>0.53</v>
          </cell>
          <cell r="AC76" t="str">
            <v>https://growdatasas.sharepoint.com/:x:/r/sites/Gestiondocumental/Administrativa/GD/Financiera/_layouts/15/Doc.aspx?sourcedoc=%7BEA9029CE-8DE9-486F-84A4-ED3C150AEAC4%7D&amp;file=20251301%20MODELO%20FINANCIERO%20REFERENCIA%20V7.5_DNP.xlsm&amp;action=default&amp;mobileredirect=true</v>
          </cell>
        </row>
        <row r="77">
          <cell r="C77" t="str">
            <v>CCD-DEPTO ADMON FUNCION PUBLICA-WAF</v>
          </cell>
          <cell r="D77" t="str">
            <v>00001</v>
          </cell>
          <cell r="E77">
            <v>470952249</v>
          </cell>
          <cell r="F77">
            <v>273950155</v>
          </cell>
          <cell r="G77">
            <v>197002094</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470952249</v>
          </cell>
          <cell r="X77">
            <v>273950155</v>
          </cell>
          <cell r="Y77">
            <v>197002094</v>
          </cell>
          <cell r="Z77">
            <v>46023</v>
          </cell>
          <cell r="AA77">
            <v>46387</v>
          </cell>
          <cell r="AB77">
            <v>12</v>
          </cell>
          <cell r="AC77" t="str">
            <v>https://growdatasas.sharepoint.com/:x:/r/sites/Gestiondocumental/Administrativa/GD/Financiera/_layouts/15/Doc.aspx?sourcedoc=%7BD8C5B8CC-D9E3-4D31-8BCE-513A1CE313F5%7D&amp;file=20251301%20MODELO%20FINANCIERO%20FUNCION%20PUBLICA%20V4.xlsm&amp;action=default&amp;mobileredirect=true</v>
          </cell>
        </row>
        <row r="78">
          <cell r="C78" t="str">
            <v>UT OUTSOURCING TECNOLOGICO 2025 MINVIVIENDA</v>
          </cell>
          <cell r="D78" t="str">
            <v>00001</v>
          </cell>
          <cell r="E78">
            <v>10004915054</v>
          </cell>
          <cell r="F78">
            <v>6633609996</v>
          </cell>
          <cell r="G78">
            <v>3371305058</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10004915054</v>
          </cell>
          <cell r="X78">
            <v>6633609996</v>
          </cell>
          <cell r="Y78">
            <v>3371305058</v>
          </cell>
          <cell r="Z78">
            <v>46023</v>
          </cell>
          <cell r="AA78">
            <v>46387</v>
          </cell>
          <cell r="AB78">
            <v>12</v>
          </cell>
          <cell r="AC78" t="str">
            <v>https://growdatasas.sharepoint.com/:x:/r/sites/Gestiondocumental/Administrativa/GD/Financiera/_layouts/15/Doc.aspx?sourcedoc=%7BEE2DBDF3-CCDC-4051-9840-1FAD6578D68D%7D&amp;file=MODELO%20MINVIVIENDA%20V1.4.%20(aprobado).xlsm&amp;action=default&amp;mobileredirect=true</v>
          </cell>
        </row>
        <row r="79">
          <cell r="C79" t="str">
            <v>FGN - INTRAESTRUCTURA DE RED</v>
          </cell>
          <cell r="D79" t="str">
            <v>0383</v>
          </cell>
          <cell r="E79">
            <v>8389307480</v>
          </cell>
          <cell r="F79">
            <v>4291127184</v>
          </cell>
          <cell r="G79">
            <v>4098180296</v>
          </cell>
          <cell r="H79">
            <v>3061752760</v>
          </cell>
          <cell r="I79">
            <v>1832811027</v>
          </cell>
          <cell r="J79">
            <v>1228941733</v>
          </cell>
          <cell r="K79">
            <v>0</v>
          </cell>
          <cell r="L79">
            <v>0</v>
          </cell>
          <cell r="M79">
            <v>0</v>
          </cell>
          <cell r="N79">
            <v>0</v>
          </cell>
          <cell r="O79">
            <v>0</v>
          </cell>
          <cell r="P79">
            <v>0</v>
          </cell>
          <cell r="Q79">
            <v>0</v>
          </cell>
          <cell r="R79">
            <v>0</v>
          </cell>
          <cell r="S79">
            <v>0</v>
          </cell>
          <cell r="T79">
            <v>0</v>
          </cell>
          <cell r="U79">
            <v>0</v>
          </cell>
          <cell r="V79">
            <v>0</v>
          </cell>
          <cell r="W79">
            <v>11451060240</v>
          </cell>
          <cell r="X79">
            <v>6123938211</v>
          </cell>
          <cell r="Y79">
            <v>5327122029</v>
          </cell>
          <cell r="Z79">
            <v>46023</v>
          </cell>
          <cell r="AA79">
            <v>46113</v>
          </cell>
          <cell r="AB79">
            <v>3</v>
          </cell>
          <cell r="AC79" t="str">
            <v>https://growdatasas.sharepoint.com/:x:/r/sites/Gestiondocumental/Administrativa/GD/Financiera/_layouts/15/Doc.aspx?sourcedoc=%7BA2729A87-3B6F-45F5-B35B-1B6F95CA8221%7D&amp;file=MODELO%20FINANCIERO%20FGN%20GrowData.xlsm&amp;action=default&amp;mobileredirect=true</v>
          </cell>
        </row>
        <row r="80">
          <cell r="C80" t="str">
            <v>SPSM-DESARROLLO Y MIGRACION SPSM</v>
          </cell>
          <cell r="D80" t="str">
            <v>00001</v>
          </cell>
          <cell r="E80">
            <v>1407563025</v>
          </cell>
          <cell r="F80">
            <v>950366338</v>
          </cell>
          <cell r="G80">
            <v>457196687</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1407563025</v>
          </cell>
          <cell r="X80">
            <v>950366338</v>
          </cell>
          <cell r="Y80">
            <v>457196687</v>
          </cell>
          <cell r="Z80">
            <v>46045</v>
          </cell>
          <cell r="AA80">
            <v>46591</v>
          </cell>
          <cell r="AB80">
            <v>18</v>
          </cell>
          <cell r="AC80" t="str">
            <v>https://growdatasas.sharepoint.com/:x:/r/sites/Gestiondocumental/Administrativa/GD/Financiera/_layouts/15/Doc.aspx?sourcedoc=%7B16E4E98F-3E73-4CD2-9FF8-7A90CA7DF968%7D&amp;file=MODELO%20FINANCIERO%20PUERTO%20DE%20SANTA%20MARTA%2018%20meses%2019.01.26%20V10.xlsm&amp;action=default&amp;mobileredirect=true</v>
          </cell>
        </row>
        <row r="81">
          <cell r="C81" t="str">
            <v>LA PREVISORA SEGUROS</v>
          </cell>
          <cell r="D81" t="str">
            <v>0402</v>
          </cell>
          <cell r="E81">
            <v>1277120000</v>
          </cell>
          <cell r="F81">
            <v>820808275</v>
          </cell>
          <cell r="G81">
            <v>456311725</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1277120000</v>
          </cell>
          <cell r="X81">
            <v>820808275</v>
          </cell>
          <cell r="Y81">
            <v>456311725</v>
          </cell>
          <cell r="Z81">
            <v>46054</v>
          </cell>
          <cell r="AA81">
            <v>46843</v>
          </cell>
          <cell r="AB81">
            <v>26</v>
          </cell>
          <cell r="AC81" t="str">
            <v>https://growdatasas.sharepoint.com/:x:/r/sites/Gestiondocumental/Administrativa/GD/Financiera/_layouts/15/Doc.aspx?sourcedoc=%7B69FFBD03-5B13-48F9-8F84-54729A673BE7%7D&amp;file=MODELO%20FINANCIERO%20PREVISORA.xlsm&amp;action=default&amp;mobileredirect=true</v>
          </cell>
        </row>
        <row r="82">
          <cell r="C82" t="str">
            <v>INTERNEXA-SUPERINT SERV PUBLICOS-SOPORTE</v>
          </cell>
          <cell r="D82" t="str">
            <v>0400</v>
          </cell>
          <cell r="E82">
            <v>747857140</v>
          </cell>
          <cell r="F82">
            <v>559316354</v>
          </cell>
          <cell r="G82">
            <v>188540786</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747857140</v>
          </cell>
          <cell r="X82">
            <v>559316354</v>
          </cell>
          <cell r="Y82">
            <v>188540786</v>
          </cell>
          <cell r="Z82">
            <v>46054</v>
          </cell>
          <cell r="AA82">
            <v>46233</v>
          </cell>
          <cell r="AB82">
            <v>5.97</v>
          </cell>
          <cell r="AC82" t="str">
            <v>https://growdatasas.sharepoint.com/:x:/r/sites/Gestiondocumental/Administrativa/GD/Financiera/_layouts/15/Doc.aspx?sourcedoc=%7B7E88B81F-AC6E-4A4D-BFDA-5A4921E803E6%7D&amp;file=20261601%20MODELO%20FINANCIERO%20REFERENCIA%20V7.6%20INTERNEXA%20SUPERSERVICIOS%202026.xlsm&amp;action=default&amp;mobileredirect=true</v>
          </cell>
        </row>
        <row r="83">
          <cell r="C83" t="str">
            <v>CCD - CONSEJO NACIONAL CNE - LICENCIAMIENTO</v>
          </cell>
          <cell r="D83" t="str">
            <v>0398</v>
          </cell>
          <cell r="E83">
            <v>2117492209</v>
          </cell>
          <cell r="F83">
            <v>1203158624</v>
          </cell>
          <cell r="G83">
            <v>914333585</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2117492209</v>
          </cell>
          <cell r="X83">
            <v>1203158624</v>
          </cell>
          <cell r="Y83">
            <v>914333585</v>
          </cell>
          <cell r="Z83">
            <v>46054</v>
          </cell>
          <cell r="AA83">
            <v>46112</v>
          </cell>
          <cell r="AB83">
            <v>2</v>
          </cell>
          <cell r="AC83" t="str">
            <v>https://growdatasas.sharepoint.com/:x:/r/sites/Gestiondocumental/Administrativa/GD/Financiera/_layouts/15/Doc.aspx?sourcedoc=%7B9943DCC3-2507-4DCD-B6B6-BEC53480E8BA%7D&amp;file=MODELO%20FINANCIERO%20CNE%20LICENCIAMIENTO.xlsm&amp;action=default&amp;mobileredirect=true</v>
          </cell>
        </row>
        <row r="84">
          <cell r="C84" t="str">
            <v>GROW DATA - ENTERRITORIO - ERP</v>
          </cell>
          <cell r="D84" t="str">
            <v>10001</v>
          </cell>
          <cell r="E84">
            <v>5640168067</v>
          </cell>
          <cell r="F84">
            <v>3323223361</v>
          </cell>
          <cell r="G84">
            <v>2316944706</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5640168067</v>
          </cell>
          <cell r="X84">
            <v>3323223361</v>
          </cell>
          <cell r="Y84">
            <v>2316944706</v>
          </cell>
          <cell r="Z84"/>
          <cell r="AA84"/>
          <cell r="AB84">
            <v>0</v>
          </cell>
          <cell r="AC84"/>
        </row>
        <row r="85">
          <cell r="C85" t="str">
            <v>SOPORTE - MEGA HOPEX - IDU</v>
          </cell>
          <cell r="D85" t="str">
            <v>0399</v>
          </cell>
          <cell r="E85">
            <v>50780299</v>
          </cell>
          <cell r="F85">
            <v>29711952</v>
          </cell>
          <cell r="G85">
            <v>21068347</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50780299</v>
          </cell>
          <cell r="X85">
            <v>29711952</v>
          </cell>
          <cell r="Y85">
            <v>21068347</v>
          </cell>
          <cell r="Z85"/>
          <cell r="AA85"/>
          <cell r="AB85">
            <v>0</v>
          </cell>
          <cell r="AC85"/>
        </row>
        <row r="86">
          <cell r="C86" t="str">
            <v>CCB - CLARO - SDWAN</v>
          </cell>
          <cell r="D86" t="str">
            <v>0397</v>
          </cell>
          <cell r="E86">
            <v>692074655</v>
          </cell>
          <cell r="F86">
            <v>315533593</v>
          </cell>
          <cell r="G86">
            <v>376541062</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692074655</v>
          </cell>
          <cell r="X86">
            <v>315533593</v>
          </cell>
          <cell r="Y86">
            <v>376541062</v>
          </cell>
          <cell r="Z86"/>
          <cell r="AA86"/>
          <cell r="AB86">
            <v>0</v>
          </cell>
          <cell r="AC86"/>
        </row>
        <row r="87">
          <cell r="C87" t="str">
            <v>UT GROWDXT REDES LAN</v>
          </cell>
          <cell r="D87" t="str">
            <v>10001</v>
          </cell>
          <cell r="E87"/>
          <cell r="F87"/>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cell r="AA87"/>
          <cell r="AB87">
            <v>0</v>
          </cell>
          <cell r="AC87"/>
        </row>
        <row r="88">
          <cell r="C88" t="str">
            <v>UT CSJ DEXTERA</v>
          </cell>
          <cell r="D88" t="str">
            <v>11001</v>
          </cell>
          <cell r="E88"/>
          <cell r="F88"/>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cell r="AA88"/>
          <cell r="AB88">
            <v>0</v>
          </cell>
          <cell r="AC88"/>
        </row>
        <row r="89">
          <cell r="C89" t="str">
            <v>EON DIGITAL</v>
          </cell>
          <cell r="D89" t="str">
            <v>10001</v>
          </cell>
          <cell r="E89"/>
          <cell r="F89"/>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cell r="AA89"/>
          <cell r="AB89">
            <v>0</v>
          </cell>
          <cell r="AC89"/>
        </row>
        <row r="90">
          <cell r="C90" t="str">
            <v>MINISTERIO DE VIVIENDA CIUDAD Y TERRITORIO</v>
          </cell>
          <cell r="D90"/>
          <cell r="E90"/>
          <cell r="F90"/>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cell r="AA90"/>
          <cell r="AB90">
            <v>0</v>
          </cell>
          <cell r="AC90"/>
        </row>
        <row r="91">
          <cell r="C91" t="str">
            <v>IMPLEMENTACIÓN PORTAL DE PROVEEDORES</v>
          </cell>
          <cell r="D91" t="str">
            <v>10001</v>
          </cell>
          <cell r="E91"/>
          <cell r="F91"/>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cell r="AA91"/>
          <cell r="AB91">
            <v>0</v>
          </cell>
          <cell r="AC91"/>
        </row>
        <row r="92">
          <cell r="C92" t="str">
            <v>UT PGD 2024_MIN TIC HABILITADORES</v>
          </cell>
          <cell r="D92" t="str">
            <v>10027</v>
          </cell>
          <cell r="E92"/>
          <cell r="F92"/>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cell r="AA92"/>
          <cell r="AB92">
            <v>0</v>
          </cell>
          <cell r="AC92"/>
        </row>
        <row r="93">
          <cell r="C93" t="str">
            <v>TELEFONICA-RNEC-ELECCIONES 2024</v>
          </cell>
          <cell r="D93" t="str">
            <v>0345</v>
          </cell>
          <cell r="E93">
            <v>305817000</v>
          </cell>
          <cell r="F93">
            <v>183312819</v>
          </cell>
          <cell r="G93">
            <v>122504181</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305817000</v>
          </cell>
          <cell r="X93">
            <v>183312819</v>
          </cell>
          <cell r="Y93">
            <v>122504181</v>
          </cell>
          <cell r="Z93"/>
          <cell r="AA93"/>
          <cell r="AB93">
            <v>0</v>
          </cell>
          <cell r="AC93"/>
        </row>
        <row r="94">
          <cell r="C94" t="str">
            <v>UT GOBIERNO DE DATOS CNE</v>
          </cell>
          <cell r="D94" t="str">
            <v>10028</v>
          </cell>
          <cell r="E94"/>
          <cell r="F94"/>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cell r="AA94"/>
          <cell r="AB94">
            <v>0</v>
          </cell>
          <cell r="AC94"/>
        </row>
        <row r="95">
          <cell r="C95" t="str">
            <v>PGN ANALITICA DE DATOS</v>
          </cell>
          <cell r="D95"/>
          <cell r="E95"/>
          <cell r="F95"/>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cell r="AA95"/>
          <cell r="AB95">
            <v>0</v>
          </cell>
          <cell r="AC95"/>
        </row>
        <row r="96">
          <cell r="C96" t="str">
            <v>ERT - CNE-TI FASE4</v>
          </cell>
          <cell r="D96" t="str">
            <v>0367, 0358, 0325</v>
          </cell>
          <cell r="E96"/>
          <cell r="F96"/>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cell r="AA96"/>
          <cell r="AB96">
            <v>0</v>
          </cell>
          <cell r="AC96"/>
        </row>
        <row r="97">
          <cell r="C97" t="str">
            <v>REMODELACION OFICINA CR 15</v>
          </cell>
          <cell r="D97" t="str">
            <v>0085</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cell r="AA97"/>
          <cell r="AB97">
            <v>0</v>
          </cell>
          <cell r="AC97"/>
        </row>
        <row r="98">
          <cell r="C98" t="str">
            <v>CONS INGENIUM-CGR-DISEÑO_IMPLEMENT GD_AR</v>
          </cell>
          <cell r="D98" t="str">
            <v>10023</v>
          </cell>
          <cell r="E98">
            <v>3431039559</v>
          </cell>
          <cell r="F98">
            <v>131281507</v>
          </cell>
          <cell r="G98">
            <v>3299758052</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3431039559</v>
          </cell>
          <cell r="X98">
            <v>131281507</v>
          </cell>
          <cell r="Y98">
            <v>3299758052</v>
          </cell>
          <cell r="Z98"/>
          <cell r="AA98"/>
          <cell r="AB98">
            <v>0</v>
          </cell>
          <cell r="AC98"/>
        </row>
        <row r="99">
          <cell r="C99" t="str">
            <v>ALDESARROLLO - DPC - CABLEADO ESTRUCTURADO</v>
          </cell>
          <cell r="D99" t="str">
            <v>0321, 0341, 0336</v>
          </cell>
          <cell r="E99"/>
          <cell r="F99"/>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cell r="AA99"/>
          <cell r="AB99">
            <v>0</v>
          </cell>
          <cell r="AC99"/>
        </row>
        <row r="100">
          <cell r="C100" t="str">
            <v>ADRES-MEGA HOPEX 2026</v>
          </cell>
          <cell r="D100">
            <v>403</v>
          </cell>
          <cell r="E100"/>
          <cell r="F100"/>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369748235</v>
          </cell>
          <cell r="X100">
            <v>233040579</v>
          </cell>
          <cell r="Y100">
            <v>136707656</v>
          </cell>
          <cell r="Z100">
            <v>46054</v>
          </cell>
          <cell r="AA100">
            <v>46387</v>
          </cell>
          <cell r="AB100">
            <v>11</v>
          </cell>
          <cell r="AC100" t="str">
            <v>https://growdatasas.sharepoint.com/sites/pwa/ADRES-MEGA HOPEX 2026</v>
          </cell>
        </row>
        <row r="101">
          <cell r="C101" t="str">
            <v>CLARO - CCB - SDWAN</v>
          </cell>
          <cell r="D101">
            <v>397</v>
          </cell>
          <cell r="E101">
            <v>692074655</v>
          </cell>
          <cell r="F101">
            <v>315533593</v>
          </cell>
          <cell r="G101">
            <v>376541062</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369748235</v>
          </cell>
          <cell r="X101">
            <v>233040579</v>
          </cell>
          <cell r="Y101">
            <v>136707656</v>
          </cell>
          <cell r="Z101">
            <v>45976</v>
          </cell>
          <cell r="AA101">
            <v>46387</v>
          </cell>
          <cell r="AB101">
            <v>13.53</v>
          </cell>
          <cell r="AC101"/>
        </row>
      </sheetData>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 val="Projects"/>
    </sheetNames>
    <sheetDataSet>
      <sheetData sheetId="0"/>
      <sheetData sheetId="1"/>
    </sheetDataSet>
  </externalBook>
</externalLink>
</file>

<file path=xl/persons/person.xml><?xml version="1.0" encoding="utf-8"?>
<personList xmlns="http://schemas.microsoft.com/office/spreadsheetml/2018/threadedcomments" xmlns:x="http://schemas.openxmlformats.org/spreadsheetml/2006/main">
  <person displayName="Alberto Ramirez Nuñez" id="{CD109628-18F2-4239-8C97-B9E6CE43A6B0}" userId="S::alberto.ramirez@growdata.com.co::37732fc7-4407-4008-9311-337a1ab4846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D0C598-1F69-4F05-9CB0-33460CBFCA82}" name="TablaIndicador" displayName="TablaIndicador" ref="A1:AK946" totalsRowShown="0" headerRowDxfId="79" dataDxfId="78" tableBorderDxfId="77" headerRowCellStyle="Moneda">
  <sortState xmlns:xlrd2="http://schemas.microsoft.com/office/spreadsheetml/2017/richdata2" ref="A2:AK932">
    <sortCondition ref="D1:D932"/>
  </sortState>
  <tableColumns count="37">
    <tableColumn id="1" xr3:uid="{FD0A015D-0785-4B94-AB7C-0BF004209FCC}" name="Año" dataDxfId="76"/>
    <tableColumn id="2" xr3:uid="{80A91A6C-326F-4F7F-992C-D949F173E626}" name="Mes" dataDxfId="75"/>
    <tableColumn id="3" xr3:uid="{797DB0A9-33C2-42F4-9CB2-EF577AE37DD4}" name="ProjectId" dataDxfId="74"/>
    <tableColumn id="4" xr3:uid="{341C7815-02D9-411C-9B51-339F3351839D}" name="ProjectCreatedDate" dataDxfId="73"/>
    <tableColumn id="5" xr3:uid="{0B6967C3-58E9-4CCD-A709-C9B8E68525B7}" name="ProjectName" dataDxfId="72"/>
    <tableColumn id="6" xr3:uid="{BA12EB61-DD8D-4D90-9644-BC34E81CB4B1}" name="ProjectOwnerName" dataDxfId="71"/>
    <tableColumn id="7" xr3:uid="{0D2DCB2A-1F12-42EA-8F80-857F4C05F09A}" name="ProjectWorkspaceInternalUrl" dataDxfId="70"/>
    <tableColumn id="8" xr3:uid="{3C7A64C3-CF58-49D7-8192-9DBE98E0D003}" name="Objetocontractual" dataDxfId="69"/>
    <tableColumn id="9" xr3:uid="{38DA5FFF-EFA8-42DD-874C-259C56AFD006}" name="Portafolio" dataDxfId="68"/>
    <tableColumn id="10" xr3:uid="{BC675DD0-0566-4039-94FE-0984234F24FC}" name="CentrodeCostosProyecto" dataDxfId="67"/>
    <tableColumn id="11" xr3:uid="{49027EDB-D653-491F-B32A-312843D7F1E1}" name="Estado" dataDxfId="66"/>
    <tableColumn id="12" xr3:uid="{35A7CC45-DFED-4405-B21B-83076166F882}" name="Presupuesto" dataDxfId="65" dataCellStyle="Moneda">
      <calculatedColumnFormula>VLOOKUP(E2,[1]Diccionario!C$2:AC$150,22,0)</calculatedColumnFormula>
    </tableColumn>
    <tableColumn id="13" xr3:uid="{16EDE1DC-F2C1-4593-B25C-EB9624396C46}" name="Inicio" dataDxfId="64" dataCellStyle="Moneda">
      <calculatedColumnFormula>VLOOKUP(E2,[1]Diccionario!C$2:AC$150,24,0)</calculatedColumnFormula>
    </tableColumn>
    <tableColumn id="14" xr3:uid="{AC7766DE-0142-49F1-ACF0-CAF56E7B6400}" name="Fin" dataDxfId="63" dataCellStyle="Moneda">
      <calculatedColumnFormula>VLOOKUP(E2,[1]Diccionario!C$2:AC$150,25,0)</calculatedColumnFormula>
    </tableColumn>
    <tableColumn id="15" xr3:uid="{74647C57-291F-4EBF-BB07-3D45D0D66BCB}" name="Meses" dataDxfId="62">
      <calculatedColumnFormula>VLOOKUP(E2,[1]Diccionario!C$2:AC$150,26,0)</calculatedColumnFormula>
    </tableColumn>
    <tableColumn id="16" xr3:uid="{2DBECD80-35FF-4D6D-962B-29A3C5B763FA}" name="Tiempo Diferencia" dataDxfId="61">
      <calculatedColumnFormula>Q2-O2</calculatedColumnFormula>
    </tableColumn>
    <tableColumn id="17" xr3:uid="{4D235D46-0B2C-40EB-93B5-A1A19ED14580}" name="Tiempo Ejecución" dataDxfId="60">
      <calculatedColumnFormula>DATEDIF(M2,TODAY(),"m")</calculatedColumnFormula>
    </tableColumn>
    <tableColumn id="18" xr3:uid="{3A5DF242-C59A-4FBC-AD3F-EA6F923BD95E}" name="Tiempo Proyectado" dataDxfId="59"/>
    <tableColumn id="19" xr3:uid="{AF8AE652-2397-44ED-992C-CB7FD0BCA5C7}" name="% Planeado" dataDxfId="58" dataCellStyle="Porcentaje"/>
    <tableColumn id="20" xr3:uid="{A5A6E866-06F9-4B94-B922-51DF4FA89657}" name="Completado Real" dataDxfId="57" dataCellStyle="Porcentaje"/>
    <tableColumn id="21" xr3:uid="{20A1F153-24D2-4E0E-A647-3CEFD0A453DC}" name="AC (Actual Cost)" dataDxfId="56">
      <calculatedColumnFormula>TablaIndicador[[#This Row],[Costo Mensual]]</calculatedColumnFormula>
    </tableColumn>
    <tableColumn id="35" xr3:uid="{D8213586-3FF9-4C9F-97A7-E973F129B1DE}" name="Costo Mensual" dataDxfId="55"/>
    <tableColumn id="22" xr3:uid="{B504F348-5AD0-4DB3-8D72-0A3AB5BF567D}" name="EV (Earned Value)" dataDxfId="54">
      <calculatedColumnFormula>IFERROR(T2*L2,0)</calculatedColumnFormula>
    </tableColumn>
    <tableColumn id="23" xr3:uid="{199BC31B-0D37-426B-8401-DEDE79A07B6E}" name="PV (Planned Value)" dataDxfId="53">
      <calculatedColumnFormula>S2*L2</calculatedColumnFormula>
    </tableColumn>
    <tableColumn id="24" xr3:uid="{46F172EA-E395-417F-8993-3D52E9274B4F}" name="CV (Cost Variance)" dataDxfId="52">
      <calculatedColumnFormula>IFERROR(W2-U2,0)</calculatedColumnFormula>
    </tableColumn>
    <tableColumn id="25" xr3:uid="{5A08B68F-188C-42CC-9ECD-33EA6834B53C}" name="SV (Schedule Variance)" dataDxfId="51">
      <calculatedColumnFormula>W2-X2</calculatedColumnFormula>
    </tableColumn>
    <tableColumn id="26" xr3:uid="{8EB2B35B-AA81-4FCE-BBD4-E348E2CBE778}" name="CPI (Cost Performance Index)" dataDxfId="50">
      <calculatedColumnFormula>IFERROR(W2/U2,"No se realizó gasto en este corte")</calculatedColumnFormula>
    </tableColumn>
    <tableColumn id="27" xr3:uid="{AE04BFE0-87A5-4B54-8370-97236E1EF7C2}" name="Detalle de CPI" dataDxfId="49">
      <calculatedColumnFormula>IFERROR(
  IF(OR(AA2="",AA2=0),
    "No calculado",
    IF(AA2&gt;1,"Costo eficiente: se está gastando menos de lo presupuestado",
      IF(AA2=1,"Costo según lo presupuestado",
        "Costo ineficiente: se está gastando más de lo presupuestado"))),
"No calculado")</calculatedColumnFormula>
    </tableColumn>
    <tableColumn id="28" xr3:uid="{018B54C5-8C0D-448D-8498-0C45F03F9D9C}" name="SPI (Schedule Performance Index)" dataDxfId="48">
      <calculatedColumnFormula>IFERROR(W2/X2,0)</calculatedColumnFormula>
    </tableColumn>
    <tableColumn id="29" xr3:uid="{FE65862D-1440-4B06-89D1-CB5FC706FBDC}" name="Detalle SPI" dataDxfId="47">
      <calculatedColumnFormula>IF(OR(AC2="",AC2=0),"Sin Línea Base",
IF(AC2&gt;1,"Proyecto adelantado respecto al cronograma",
IF(AC2=1,"Proyecto a tiempo según lo planificado",
IF(AC2&lt;1,"Proyecto atrasado con respecto al cronograma",
"No calculado"))))</calculatedColumnFormula>
    </tableColumn>
    <tableColumn id="30" xr3:uid="{84138D3A-FCBD-421A-B86B-0770FB1331D7}" name="EAC (Estimación al finalizar)" dataDxfId="46" dataCellStyle="Moneda">
      <calculatedColumnFormula>IFERROR(L2/AA2,0)</calculatedColumnFormula>
    </tableColumn>
    <tableColumn id="31" xr3:uid="{4B5DE3CD-E976-469F-9463-942B76885BFB}" name="VAC (Exceso de presupuesto proyectado)" dataDxfId="45" dataCellStyle="Moneda">
      <calculatedColumnFormula>IFERROR(AE2-L2,0)</calculatedColumnFormula>
    </tableColumn>
    <tableColumn id="32" xr3:uid="{9DD24C03-6CB6-4A17-81E8-7E5AD17F1A4D}" name="Ruta" dataDxfId="44">
      <calculatedColumnFormula>VLOOKUP(Indicador!E2,[1]Diccionario!C$1:AC$150,27,0)</calculatedColumnFormula>
    </tableColumn>
    <tableColumn id="33" xr3:uid="{E798292D-9141-468D-B299-FD2F08A0DE3A}" name="Meta SPI" dataDxfId="43"/>
    <tableColumn id="34" xr3:uid="{3E247A49-9C93-470C-895C-A2BA6E43E455}" name="Meta CPI" dataDxfId="42"/>
    <tableColumn id="36" xr3:uid="{98DE5FAE-CC59-4C1F-B119-D6F64FFB982D}" name="Estado CMMI" dataDxfId="41"/>
    <tableColumn id="37" xr3:uid="{F3EEB3D9-646E-4191-BDE4-0F1D55D5F9E1}" name="Columna1" dataDxfId="40"/>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ABC9AC-E663-4795-9569-912C65F7EAE8}" name="TablaIndicador3" displayName="TablaIndicador3" ref="A1:T46" totalsRowShown="0" headerRowDxfId="39" dataDxfId="38" tableBorderDxfId="37" headerRowCellStyle="Moneda">
  <autoFilter ref="A1:T46" xr:uid="{84ABC9AC-E663-4795-9569-912C65F7EAE8}"/>
  <sortState xmlns:xlrd2="http://schemas.microsoft.com/office/spreadsheetml/2017/richdata2" ref="A2:T46">
    <sortCondition sortBy="cellColor" ref="D1:D46" dxfId="36"/>
  </sortState>
  <tableColumns count="20">
    <tableColumn id="1" xr3:uid="{7449505B-4839-41E1-9EBC-9E3B33486808}" name="Año" dataDxfId="35"/>
    <tableColumn id="5" xr3:uid="{00B178D1-8CA4-4973-8F23-723BF165AE17}" name="ProjectName" dataDxfId="34"/>
    <tableColumn id="2" xr3:uid="{04901F9D-3C92-47CB-BC06-CF9699D54585}" name="Centro de Costos " dataDxfId="33">
      <calculatedColumnFormula>VLOOKUP(TablaIndicador3[[#This Row],[ProjectName]],TablaIndicador[[ProjectName]:[CentrodeCostosProyecto]],6,0)</calculatedColumnFormula>
    </tableColumn>
    <tableColumn id="12" xr3:uid="{D3E43E66-6E24-436F-8D32-78A5FB24AC9B}" name="Presupuesto" dataDxfId="32" dataCellStyle="Moneda">
      <calculatedColumnFormula>VLOOKUP(B2,[1]Diccionario!C$2:AC$150,22,0)</calculatedColumnFormula>
    </tableColumn>
    <tableColumn id="13" xr3:uid="{12ECBBD7-77E0-4A45-BCD6-5CF699DD8715}" name="Inicio" dataDxfId="31" dataCellStyle="Moneda"/>
    <tableColumn id="14" xr3:uid="{F948E10A-67A2-4702-8D79-096B21594CF7}" name="Fin" dataDxfId="30" dataCellStyle="Moneda"/>
    <tableColumn id="15" xr3:uid="{BD0D659B-DC6C-45A5-B969-9CFF1FE8C484}" name="Meses" dataDxfId="29">
      <calculatedColumnFormula>DATEDIF(E2,F2,"m")+1</calculatedColumnFormula>
    </tableColumn>
    <tableColumn id="19" xr3:uid="{7049888B-9247-4DB3-A11D-97E98C1935AD}" name="% Planeado" dataDxfId="28" dataCellStyle="Porcentaje">
      <calculatedColumnFormula>VLOOKUP(TablaIndicador3[[#This Row],[ProjectName]],Hoja3!T2:Y51,6,0)/100</calculatedColumnFormula>
    </tableColumn>
    <tableColumn id="20" xr3:uid="{E1435862-FB61-45BF-84E2-4E90D513FCB7}" name="Completado Real" dataDxfId="27" dataCellStyle="Porcentaje">
      <calculatedColumnFormula>VLOOKUP(TablaIndicador3[[#This Row],[ProjectName]],Hoja3!T2:Y51,2,0)/100</calculatedColumnFormula>
    </tableColumn>
    <tableColumn id="21" xr3:uid="{2D5FC4D5-60E6-4D3B-8CD1-C00B6061F9B8}" name="AC (Actual Cost)" dataDxfId="26">
      <calculatedColumnFormula>#REF!</calculatedColumnFormula>
    </tableColumn>
    <tableColumn id="22" xr3:uid="{9B4B7B45-24FB-4955-8953-1B3CEE09F36E}" name="EV (Earned Value)" dataDxfId="25">
      <calculatedColumnFormula>IFERROR(I2*D2,0)</calculatedColumnFormula>
    </tableColumn>
    <tableColumn id="23" xr3:uid="{809D2B0F-5694-47E7-A1FC-B8BF218D26B0}" name="PV (Planned Value)" dataDxfId="24">
      <calculatedColumnFormula>H2*D2</calculatedColumnFormula>
    </tableColumn>
    <tableColumn id="24" xr3:uid="{E17B22E7-C89E-4279-B58E-44139B26DAA6}" name="CV (Cost Variance)" dataDxfId="23">
      <calculatedColumnFormula>IFERROR(K2-J2,0)</calculatedColumnFormula>
    </tableColumn>
    <tableColumn id="25" xr3:uid="{CC07970B-73BF-4866-8D9F-CA0AA0EE4C55}" name="SV (Schedule Variance)" dataDxfId="22">
      <calculatedColumnFormula>K2-L2</calculatedColumnFormula>
    </tableColumn>
    <tableColumn id="26" xr3:uid="{ED6B1593-F182-472D-9B4E-F462EB571886}" name="CPI (Cost Performance Index)" dataDxfId="21">
      <calculatedColumnFormula>IFERROR(K2/J2,"No se realizó gasto en este corte")</calculatedColumnFormula>
    </tableColumn>
    <tableColumn id="27" xr3:uid="{ECC8A336-3277-4A79-93EC-6C95853206D5}" name="Detalle de CPI" dataDxfId="20">
      <calculatedColumnFormula>IFERROR(
  IF(OR(O2="",O2=0),
    "No calculado",
    IF(O2&gt;1,"Costo eficiente: se gasto menos de lo presupuestado",
      IF(O2=1,"Costo según lo presupuestado",
        "Costo ineficiente: se gasto más de lo presupuestado"))),
"No calculado")</calculatedColumnFormula>
    </tableColumn>
    <tableColumn id="28" xr3:uid="{BB7B48EB-8A2F-46D0-A052-8394A680B08E}" name="SPI (Schedule Performance Index)" dataDxfId="19">
      <calculatedColumnFormula>IFERROR(K2/L2,0)</calculatedColumnFormula>
    </tableColumn>
    <tableColumn id="29" xr3:uid="{6D3E7C20-148E-4515-A91D-2BE165AFD6B3}" name="Detalle SPI" dataDxfId="18">
      <calculatedColumnFormula>IF(OR(Q2="",Q2=0),"Sin Línea Base",
IF(Q2&gt;1,"Proyecto adelantado respecto al cronograma",
IF(Q2=1,"Proyecto a tiempo según lo planificado",
IF(Q2&lt;1,"Proyecto atrasado con respecto al cronograma",
"No calculado"))))</calculatedColumnFormula>
    </tableColumn>
    <tableColumn id="30" xr3:uid="{FEC59A63-FCD6-431B-96AD-A2347AB30957}" name="EAC (Estimación al finalizar)" dataDxfId="17" dataCellStyle="Moneda">
      <calculatedColumnFormula>IFERROR(D2/O2,0)</calculatedColumnFormula>
    </tableColumn>
    <tableColumn id="31" xr3:uid="{6B724A97-AEAB-40E2-AA57-E8B6C3132895}" name="VAC (Exceso de presupuesto proyectado)" dataDxfId="16" dataCellStyle="Moneda">
      <calculatedColumnFormula>IFERROR(S2-D2,0)</calculatedColumnFormula>
    </tableColum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698B04-F37E-44C8-B6B5-6B8D32E52F29}" name="TablaIndicador34" displayName="TablaIndicador34" ref="A1:U35" totalsRowShown="0" headerRowDxfId="103" dataDxfId="102" tableBorderDxfId="101" headerRowCellStyle="Moneda">
  <autoFilter ref="A1:U35" xr:uid="{84ABC9AC-E663-4795-9569-912C65F7EAE8}"/>
  <sortState xmlns:xlrd2="http://schemas.microsoft.com/office/spreadsheetml/2017/richdata2" ref="A2:T35">
    <sortCondition sortBy="cellColor" ref="D1:D35" dxfId="100"/>
  </sortState>
  <tableColumns count="21">
    <tableColumn id="1" xr3:uid="{0C295865-B7EE-4C95-9879-FD343E81F203}" name="Año" dataDxfId="99"/>
    <tableColumn id="5" xr3:uid="{49880AA9-201F-4828-98C8-D5DB872DA6E3}" name="ProjectName" dataDxfId="98"/>
    <tableColumn id="2" xr3:uid="{F3BB2792-27D6-4AED-96C2-6AB9386A4975}" name="Centro de Costos " dataDxfId="97">
      <calculatedColumnFormula>VLOOKUP(TablaIndicador34[[#This Row],[ProjectName]],TablaIndicador[[ProjectName]:[CentrodeCostosProyecto]],6,0)</calculatedColumnFormula>
    </tableColumn>
    <tableColumn id="12" xr3:uid="{782CCBF3-AC29-4BD7-954A-A8A0CA06F3E4}" name="Presupuesto" dataDxfId="96" dataCellStyle="Moneda">
      <calculatedColumnFormula>VLOOKUP(B2,[1]Diccionario!C$2:AC$150,22,0)</calculatedColumnFormula>
    </tableColumn>
    <tableColumn id="13" xr3:uid="{584F6E2F-1394-4F9E-ADF8-C6D18D7B1962}" name="Inicio" dataDxfId="95" dataCellStyle="Moneda"/>
    <tableColumn id="14" xr3:uid="{63A9C323-6057-4F3B-9D31-4938B358EFEE}" name="Fin" dataDxfId="94" dataCellStyle="Moneda"/>
    <tableColumn id="15" xr3:uid="{B3D0C237-57C2-4FF4-941D-A808AB15C41A}" name="Meses" dataDxfId="93">
      <calculatedColumnFormula>DATEDIF(E2,F2,"m")+1</calculatedColumnFormula>
    </tableColumn>
    <tableColumn id="19" xr3:uid="{CD04D9C5-21A8-40F9-B9C3-75567575D888}" name="% Planeado" dataDxfId="92" dataCellStyle="Porcentaje"/>
    <tableColumn id="20" xr3:uid="{ADE701BC-55DB-41BF-AC93-FB19FFF297D3}" name="Completado Real" dataDxfId="91" dataCellStyle="Porcentaje">
      <calculatedColumnFormula>VLOOKUP(TablaIndicador34[[#This Row],[ProjectName]],Hoja3!T2:Y51,2,0)/100</calculatedColumnFormula>
    </tableColumn>
    <tableColumn id="21" xr3:uid="{EEA6F74C-5FF3-4D10-8821-8BF179CA03EF}" name="AC (Actual Cost)" dataDxfId="90">
      <calculatedColumnFormula>#REF!</calculatedColumnFormula>
    </tableColumn>
    <tableColumn id="22" xr3:uid="{F55590F4-6F86-4D32-B9A4-47F10F800E58}" name="EV (Earned Value)" dataDxfId="89">
      <calculatedColumnFormula>IFERROR(I2*D2,0)</calculatedColumnFormula>
    </tableColumn>
    <tableColumn id="23" xr3:uid="{D82518E3-4BB5-418C-AD11-624677BA8E78}" name="PV (Planned Value)" dataDxfId="88">
      <calculatedColumnFormula>H2*D2</calculatedColumnFormula>
    </tableColumn>
    <tableColumn id="24" xr3:uid="{5D8C2E85-D323-46C1-9FE1-11E634D60032}" name="CV (Cost Variance)" dataDxfId="87">
      <calculatedColumnFormula>IFERROR(K2-J2,0)</calculatedColumnFormula>
    </tableColumn>
    <tableColumn id="25" xr3:uid="{882573DB-4D3C-4AC7-8FEA-FD38A85A5F1E}" name="SV (Schedule Variance)" dataDxfId="86">
      <calculatedColumnFormula>K2-L2</calculatedColumnFormula>
    </tableColumn>
    <tableColumn id="26" xr3:uid="{174C8386-4567-4E58-9373-AD1CF6698653}" name="CPI (Cost Performance Index)" dataDxfId="85">
      <calculatedColumnFormula>IFERROR(K2/J2,"No se realizó gasto en este corte")</calculatedColumnFormula>
    </tableColumn>
    <tableColumn id="27" xr3:uid="{7BD148CA-BAAE-4769-A9AF-9B3C859E7CF6}" name="Detalle de CPI" dataDxfId="84">
      <calculatedColumnFormula>IFERROR(
  IF(OR(O2="",O2=0),
    "No calculado",
    IF(O2&gt;1,"Costo eficiente: se gasto menos de lo presupuestado",
      IF(O2=1,"Costo según lo presupuestado",
        "Costo ineficiente: se gasto más de lo presupuestado"))),
"No calculado")</calculatedColumnFormula>
    </tableColumn>
    <tableColumn id="28" xr3:uid="{59733B69-5A7F-4B66-A8A9-56C05811C311}" name="SPI (Schedule Performance Index)" dataDxfId="83">
      <calculatedColumnFormula>IFERROR(K2/L2,0)</calculatedColumnFormula>
    </tableColumn>
    <tableColumn id="29" xr3:uid="{85370602-9EC7-431D-8729-263419C9CFA8}" name="Detalle SPI" dataDxfId="82">
      <calculatedColumnFormula>IF(OR(Q2="",Q2=0),"Sin Línea Base",
IF(Q2&gt;1,"Proyecto adelantado respecto al cronograma",
IF(Q2=1,"Proyecto a tiempo según lo planificado",
IF(Q2&lt;1,"Proyecto atrasado con respecto al cronograma",
"No calculado"))))</calculatedColumnFormula>
    </tableColumn>
    <tableColumn id="30" xr3:uid="{63CCBAAE-AB7A-44C7-82DD-48AE91C40C0C}" name="EAC (Estimación al finalizar)" dataDxfId="81" dataCellStyle="Moneda">
      <calculatedColumnFormula>IFERROR(D2/O2,0)</calculatedColumnFormula>
    </tableColumn>
    <tableColumn id="31" xr3:uid="{E01A0D3C-D1E7-4070-8E00-62778D89609C}" name="VAC (Exceso de presupuesto proyectado)" dataDxfId="80" dataCellStyle="Moneda">
      <calculatedColumnFormula>IFERROR(S2-D2,0)</calculatedColumnFormula>
    </tableColumn>
    <tableColumn id="3" xr3:uid="{B6E417A9-6D59-4F44-8568-CBA898B34DCA}" name="ProjectOwnerName" dataDxfId="0">
      <calculatedColumnFormula>VLOOKUP(TablaIndicador34[[#This Row],[ProjectName]],[2]!Projects[[ProjectName]:[ProjectOwnerName]],3,0)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1" dT="2025-07-16T13:28:36.87" personId="{CD109628-18F2-4239-8C97-B9E6CE43A6B0}" id="{DC0D952C-64CA-4164-A62B-5D660380E63D}">
    <text xml:space="preserve">El presupuesto del proyecto es la estimación total de recursos financieros necesarios para ejecutar todas las actividades del proyecto y cumplir con su alcance, cronograma y objetivos establecidos </text>
  </threadedComment>
  <threadedComment ref="L1" dT="2026-02-04T22:08:21.65" personId="{CD109628-18F2-4239-8C97-B9E6CE43A6B0}" id="{D7C61DE8-8C18-4577-B15E-C4C00CA20AEE}" parentId="{DC0D952C-64CA-4164-A62B-5D660380E63D}">
    <text xml:space="preserve">✅ Para calcular Valor Ganado, el presupuesto debe ser el Total Costos del Proyecto (BAC) </text>
  </threadedComment>
  <threadedComment ref="Q1" dT="2025-07-16T13:29:07.78" personId="{CD109628-18F2-4239-8C97-B9E6CE43A6B0}" id="{FCB5255E-69C6-4A98-90DF-309068A977BA}">
    <text xml:space="preserve">El tiempo de ejecución es el período comprendido entre el inicio formal de las actividades del proyecto y su finalización real, es decir, el lapso durante el cual se llevan a cabo los entregables, tareas y actividades planificadas para cumplir con el alcance del proyecto. </text>
  </threadedComment>
  <threadedComment ref="W1" dT="2025-07-16T13:46:49.12" personId="{CD109628-18F2-4239-8C97-B9E6CE43A6B0}" id="{89CE3E95-7A2E-4AF9-BD11-5F582574689D}">
    <text>Representa el valor del trabajo realmente completado a una fecha determinada, expresado en unidades monetarias (según el presupuesto aprobado).</text>
  </threadedComment>
  <threadedComment ref="X1" dT="2025-07-16T13:47:08.81" personId="{CD109628-18F2-4239-8C97-B9E6CE43A6B0}" id="{362142F0-2924-4F6B-87CE-394CBEC52E56}">
    <text xml:space="preserve">Representa el valor del trabajo que se debía haber completado a una fecha determinada según la línea base del cronograma. </text>
  </threadedComment>
  <threadedComment ref="Y1" dT="2025-07-16T13:34:32.36" personId="{CD109628-18F2-4239-8C97-B9E6CE43A6B0}" id="{6565801F-A5F5-4E06-82EC-BA5510AF86FC}">
    <text>Mide la diferencia entre el valor del trabajo completado (EV) y el costo real incurrido (AC). Indica si hay ahorro o sobrecosto.</text>
  </threadedComment>
  <threadedComment ref="Z1" dT="2025-07-16T13:33:55.75" personId="{CD109628-18F2-4239-8C97-B9E6CE43A6B0}" id="{8F1F4218-28DC-4C16-9E86-E264010DCB55}">
    <text>Mide la diferencia entre el valor del trabajo ejecutado (EV) y el que se debía haber ejecutado según el plan (PV). Indica adelanto o retraso.</text>
  </threadedComment>
  <threadedComment ref="AA1" dT="2025-07-16T13:33:10.88" personId="{CD109628-18F2-4239-8C97-B9E6CE43A6B0}" id="{42FD57F9-DE88-4188-AB8B-E85D78D7535A}">
    <text>Evalúa la eficiencia del uso del presupuesto. Indica cuánto valor se obtiene por cada unidad monetaria gastada.</text>
  </threadedComment>
  <threadedComment ref="AC1" dT="2025-07-16T13:32:35.14" personId="{CD109628-18F2-4239-8C97-B9E6CE43A6B0}" id="{90A84295-0064-441A-BEEB-5BE5A32FDD54}">
    <text>Evalúa la eficiencia del cronograma. Muestra qué tan bien se avanza respecto al plan.</text>
  </threadedComment>
</ThreadedComments>
</file>

<file path=xl/threadedComments/threadedComment2.xml><?xml version="1.0" encoding="utf-8"?>
<ThreadedComments xmlns="http://schemas.microsoft.com/office/spreadsheetml/2018/threadedcomments" xmlns:x="http://schemas.openxmlformats.org/spreadsheetml/2006/main">
  <threadedComment ref="D1" dT="2025-07-16T13:28:36.87" personId="{CD109628-18F2-4239-8C97-B9E6CE43A6B0}" id="{AB30DD74-9CCD-49B9-B9A9-96B7F534A8E1}">
    <text xml:space="preserve">El presupuesto del proyecto es la estimación total de recursos financieros necesarios para ejecutar todas las actividades del proyecto y cumplir con su alcance, cronograma y objetivos establecidos </text>
  </threadedComment>
  <threadedComment ref="D1" dT="2026-02-04T22:08:21.65" personId="{CD109628-18F2-4239-8C97-B9E6CE43A6B0}" id="{B3FD985F-9FAB-4BAF-AC98-3B441DB5B61E}" parentId="{AB30DD74-9CCD-49B9-B9A9-96B7F534A8E1}">
    <text xml:space="preserve">✅ Para calcular Valor Ganado, el presupuesto debe ser el Total Costos del Proyecto (BAC) </text>
  </threadedComment>
  <threadedComment ref="K1" dT="2025-07-16T13:46:49.12" personId="{CD109628-18F2-4239-8C97-B9E6CE43A6B0}" id="{5188EC74-05C5-4DF2-B35B-299E2817C80E}">
    <text>Representa el valor del trabajo realmente completado a una fecha determinada, expresado en unidades monetarias (según el presupuesto aprobado).</text>
  </threadedComment>
  <threadedComment ref="L1" dT="2025-07-16T13:47:08.81" personId="{CD109628-18F2-4239-8C97-B9E6CE43A6B0}" id="{D005D23A-823D-481A-A306-F5DB654ED5C1}">
    <text xml:space="preserve">Representa el valor del trabajo que se debía haber completado a una fecha determinada según la línea base del cronograma. </text>
  </threadedComment>
  <threadedComment ref="M1" dT="2025-07-16T13:34:32.36" personId="{CD109628-18F2-4239-8C97-B9E6CE43A6B0}" id="{3F8634E5-664A-4581-8D2B-97EEEDF3A208}">
    <text>Mide la diferencia entre el valor del trabajo completado (EV) y el costo real incurrido (AC). Indica si hay ahorro o sobrecosto.</text>
  </threadedComment>
  <threadedComment ref="N1" dT="2025-07-16T13:33:55.75" personId="{CD109628-18F2-4239-8C97-B9E6CE43A6B0}" id="{24F759BA-4E1F-4BBF-9ADA-94998A20D7C7}">
    <text>Mide la diferencia entre el valor del trabajo ejecutado (EV) y el que se debía haber ejecutado según el plan (PV). Indica adelanto o retraso.</text>
  </threadedComment>
  <threadedComment ref="O1" dT="2025-07-16T13:33:10.88" personId="{CD109628-18F2-4239-8C97-B9E6CE43A6B0}" id="{533D86CD-557F-43F9-A9E1-C083BC36C57F}">
    <text>Evalúa la eficiencia del uso del presupuesto. Indica cuánto valor se obtiene por cada unidad monetaria gastada.</text>
  </threadedComment>
  <threadedComment ref="Q1" dT="2025-07-16T13:32:35.14" personId="{CD109628-18F2-4239-8C97-B9E6CE43A6B0}" id="{6F708FAC-1B55-451B-B0B3-94678D9A9AB5}">
    <text>Evalúa la eficiencia del cronograma. Muestra qué tan bien se avanza respecto al plan.</text>
  </threadedComment>
</ThreadedComments>
</file>

<file path=xl/threadedComments/threadedComment3.xml><?xml version="1.0" encoding="utf-8"?>
<ThreadedComments xmlns="http://schemas.microsoft.com/office/spreadsheetml/2018/threadedcomments" xmlns:x="http://schemas.openxmlformats.org/spreadsheetml/2006/main">
  <threadedComment ref="D1" dT="2025-07-16T13:28:36.87" personId="{CD109628-18F2-4239-8C97-B9E6CE43A6B0}" id="{15B9EBA7-F672-4ADA-A78F-F71149149F9A}">
    <text xml:space="preserve">El presupuesto del proyecto es la estimación total de recursos financieros necesarios para ejecutar todas las actividades del proyecto y cumplir con su alcance, cronograma y objetivos establecidos </text>
  </threadedComment>
  <threadedComment ref="D1" dT="2026-02-04T22:08:21.65" personId="{CD109628-18F2-4239-8C97-B9E6CE43A6B0}" id="{1A40DE20-3FE4-4800-B717-3FEE04828471}" parentId="{15B9EBA7-F672-4ADA-A78F-F71149149F9A}">
    <text xml:space="preserve">✅ Para calcular Valor Ganado, el presupuesto debe ser el Total Costos del Proyecto (BAC) </text>
  </threadedComment>
  <threadedComment ref="K1" dT="2025-07-16T13:46:49.12" personId="{CD109628-18F2-4239-8C97-B9E6CE43A6B0}" id="{B74D59A4-B655-4FDF-BEDF-2986AAE972C9}">
    <text>Representa el valor del trabajo realmente completado a una fecha determinada, expresado en unidades monetarias (según el presupuesto aprobado).</text>
  </threadedComment>
  <threadedComment ref="L1" dT="2025-07-16T13:47:08.81" personId="{CD109628-18F2-4239-8C97-B9E6CE43A6B0}" id="{21DEE55C-E7E4-483A-8A11-6CFAA65BF7D8}">
    <text xml:space="preserve">Representa el valor del trabajo que se debía haber completado a una fecha determinada según la línea base del cronograma. </text>
  </threadedComment>
  <threadedComment ref="M1" dT="2025-07-16T13:34:32.36" personId="{CD109628-18F2-4239-8C97-B9E6CE43A6B0}" id="{B0642353-57EC-49B9-A0B5-19DDB989DED2}">
    <text>Mide la diferencia entre el valor del trabajo completado (EV) y el costo real incurrido (AC). Indica si hay ahorro o sobrecosto.</text>
  </threadedComment>
  <threadedComment ref="N1" dT="2025-07-16T13:33:55.75" personId="{CD109628-18F2-4239-8C97-B9E6CE43A6B0}" id="{AA2D481E-D565-4E42-BB6C-EED8DB168025}">
    <text>Mide la diferencia entre el valor del trabajo ejecutado (EV) y el que se debía haber ejecutado según el plan (PV). Indica adelanto o retraso.</text>
  </threadedComment>
  <threadedComment ref="O1" dT="2025-07-16T13:33:10.88" personId="{CD109628-18F2-4239-8C97-B9E6CE43A6B0}" id="{0FD31E0C-7D18-42B2-AEAB-07EA4C141558}">
    <text>Evalúa la eficiencia del uso del presupuesto. Indica cuánto valor se obtiene por cada unidad monetaria gastada.</text>
  </threadedComment>
  <threadedComment ref="Q1" dT="2025-07-16T13:32:35.14" personId="{CD109628-18F2-4239-8C97-B9E6CE43A6B0}" id="{271ABFFB-13DD-4F81-A810-ADC93201C2E0}">
    <text>Evalúa la eficiencia del cronograma. Muestra qué tan bien se avanza respecto al plan.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6E2B3-C6EB-4355-B82D-60A749F71AB8}">
  <dimension ref="A1:AK946"/>
  <sheetViews>
    <sheetView zoomScale="85" zoomScaleNormal="85" workbookViewId="0">
      <pane ySplit="1" topLeftCell="A913" activePane="bottomLeft" state="frozen"/>
      <selection pane="bottomLeft" activeCell="E931" sqref="E931"/>
    </sheetView>
  </sheetViews>
  <sheetFormatPr baseColWidth="10" defaultColWidth="11.42578125" defaultRowHeight="18.75" customHeight="1" x14ac:dyDescent="0.25"/>
  <cols>
    <col min="1" max="1" width="11.42578125" style="10"/>
    <col min="2" max="2" width="14" style="126" customWidth="1"/>
    <col min="3" max="3" width="37.85546875" style="10" bestFit="1" customWidth="1"/>
    <col min="4" max="4" width="20.5703125" style="10" customWidth="1"/>
    <col min="5" max="5" width="53.42578125" style="10" customWidth="1"/>
    <col min="6" max="6" width="32.140625" style="10" customWidth="1"/>
    <col min="7" max="7" width="98.5703125" style="10" customWidth="1"/>
    <col min="8" max="8" width="255.7109375" style="10" customWidth="1"/>
    <col min="9" max="9" width="34.28515625" style="10" customWidth="1"/>
    <col min="10" max="10" width="25.140625" style="10" customWidth="1"/>
    <col min="11" max="11" width="20" style="10" customWidth="1"/>
    <col min="12" max="12" width="53.5703125" style="10" customWidth="1"/>
    <col min="13" max="13" width="16.7109375" style="10" customWidth="1"/>
    <col min="14" max="14" width="12.140625" style="10" customWidth="1"/>
    <col min="15" max="15" width="9" style="10" customWidth="1"/>
    <col min="16" max="16" width="23.5703125" style="10" customWidth="1"/>
    <col min="17" max="17" width="22" style="127" customWidth="1"/>
    <col min="18" max="18" width="23.7109375" style="10" customWidth="1"/>
    <col min="19" max="19" width="15.7109375" style="128" customWidth="1"/>
    <col min="20" max="20" width="21.85546875" style="128" customWidth="1"/>
    <col min="21" max="22" width="21.85546875" style="10" customWidth="1"/>
    <col min="23" max="23" width="22.42578125" style="10" customWidth="1"/>
    <col min="24" max="24" width="23.5703125" style="10" customWidth="1"/>
    <col min="25" max="25" width="23.7109375" style="10" customWidth="1"/>
    <col min="26" max="26" width="28.5703125" style="10" customWidth="1"/>
    <col min="27" max="27" width="34" style="10" customWidth="1"/>
    <col min="28" max="28" width="66" style="10" bestFit="1" customWidth="1"/>
    <col min="29" max="29" width="38.85546875" style="10" customWidth="1"/>
    <col min="30" max="30" width="52.5703125" style="10" bestFit="1" customWidth="1"/>
    <col min="31" max="31" width="33.5703125" style="10" customWidth="1"/>
    <col min="32" max="32" width="48.7109375" style="10" customWidth="1"/>
    <col min="33" max="33" width="255.7109375" style="10" customWidth="1"/>
    <col min="34" max="35" width="11.42578125" style="10" customWidth="1"/>
    <col min="36" max="36" width="15.28515625" style="10" bestFit="1" customWidth="1"/>
    <col min="37" max="37" width="27.42578125" style="10" bestFit="1" customWidth="1"/>
    <col min="38" max="16384" width="11.42578125" style="10"/>
  </cols>
  <sheetData>
    <row r="1" spans="1:37" ht="18.75" customHeight="1" x14ac:dyDescent="0.25">
      <c r="A1" s="1" t="s">
        <v>0</v>
      </c>
      <c r="B1" s="2" t="s">
        <v>1</v>
      </c>
      <c r="C1" s="3" t="s">
        <v>2</v>
      </c>
      <c r="D1" s="3" t="s">
        <v>3</v>
      </c>
      <c r="E1" s="3" t="s">
        <v>4</v>
      </c>
      <c r="F1" s="3" t="s">
        <v>5</v>
      </c>
      <c r="G1" s="3" t="s">
        <v>6</v>
      </c>
      <c r="H1" s="3" t="s">
        <v>7</v>
      </c>
      <c r="I1" s="3" t="s">
        <v>8</v>
      </c>
      <c r="J1" s="3" t="s">
        <v>9</v>
      </c>
      <c r="K1" s="4" t="s">
        <v>10</v>
      </c>
      <c r="L1" s="5" t="s">
        <v>11</v>
      </c>
      <c r="M1" s="3" t="s">
        <v>12</v>
      </c>
      <c r="N1" s="3" t="s">
        <v>13</v>
      </c>
      <c r="O1" s="3" t="s">
        <v>14</v>
      </c>
      <c r="P1" s="5" t="s">
        <v>15</v>
      </c>
      <c r="Q1" s="6" t="s">
        <v>16</v>
      </c>
      <c r="R1" s="4" t="s">
        <v>17</v>
      </c>
      <c r="S1" s="7" t="s">
        <v>18</v>
      </c>
      <c r="T1" s="7" t="s">
        <v>19</v>
      </c>
      <c r="U1" s="5" t="s">
        <v>20</v>
      </c>
      <c r="V1" s="5" t="s">
        <v>21</v>
      </c>
      <c r="W1" s="4" t="s">
        <v>22</v>
      </c>
      <c r="X1" s="4" t="s">
        <v>23</v>
      </c>
      <c r="Y1" s="4" t="s">
        <v>24</v>
      </c>
      <c r="Z1" s="4" t="s">
        <v>25</v>
      </c>
      <c r="AA1" s="4" t="s">
        <v>26</v>
      </c>
      <c r="AB1" s="4" t="s">
        <v>27</v>
      </c>
      <c r="AC1" s="4" t="s">
        <v>28</v>
      </c>
      <c r="AD1" s="4" t="s">
        <v>29</v>
      </c>
      <c r="AE1" s="5" t="s">
        <v>30</v>
      </c>
      <c r="AF1" s="5" t="s">
        <v>31</v>
      </c>
      <c r="AG1" s="8" t="s">
        <v>32</v>
      </c>
      <c r="AH1" s="9" t="s">
        <v>33</v>
      </c>
      <c r="AI1" s="9" t="s">
        <v>34</v>
      </c>
      <c r="AJ1" s="9" t="s">
        <v>35</v>
      </c>
      <c r="AK1" s="9" t="s">
        <v>36</v>
      </c>
    </row>
    <row r="2" spans="1:37" ht="18.75" customHeight="1" x14ac:dyDescent="0.25">
      <c r="A2" s="11">
        <v>2024</v>
      </c>
      <c r="B2" s="12" t="s">
        <v>37</v>
      </c>
      <c r="C2" s="13" t="s">
        <v>38</v>
      </c>
      <c r="D2" s="14">
        <v>45296.528889155095</v>
      </c>
      <c r="E2" s="15" t="s">
        <v>39</v>
      </c>
      <c r="F2" s="13" t="s">
        <v>40</v>
      </c>
      <c r="G2" s="13" t="s">
        <v>41</v>
      </c>
      <c r="H2" s="13" t="s">
        <v>42</v>
      </c>
      <c r="I2" s="13" t="s">
        <v>43</v>
      </c>
      <c r="J2" s="16" t="s">
        <v>44</v>
      </c>
      <c r="K2" s="13" t="s">
        <v>45</v>
      </c>
      <c r="L2" s="17">
        <f>VLOOKUP(E2,[1]Diccionario!C$2:AC$150,22,0)</f>
        <v>3323223361</v>
      </c>
      <c r="M2" s="18">
        <f>VLOOKUP(E2,[1]Diccionario!C$2:AC$150,24,0)</f>
        <v>45300</v>
      </c>
      <c r="N2" s="19">
        <f>VLOOKUP(E2,[1]Diccionario!C$2:AC$150,25,0)</f>
        <v>45473</v>
      </c>
      <c r="O2" s="20">
        <f>VLOOKUP(E2,[1]Diccionario!C$2:AC$150,26,0)</f>
        <v>5.7</v>
      </c>
      <c r="P2" s="20">
        <f t="shared" ref="P2:P65" si="0">Q2-O2</f>
        <v>-4.7</v>
      </c>
      <c r="Q2" s="20">
        <v>1</v>
      </c>
      <c r="R2" s="15">
        <v>6</v>
      </c>
      <c r="S2" s="21">
        <v>0.2</v>
      </c>
      <c r="T2" s="21">
        <v>0.2</v>
      </c>
      <c r="U2" s="22">
        <f>TablaIndicador[[#This Row],[Costo Mensual]]</f>
        <v>0</v>
      </c>
      <c r="V2" s="23"/>
      <c r="W2" s="24">
        <f t="shared" ref="W2:W65" si="1">IFERROR(T2*L2,0)</f>
        <v>664644672.20000005</v>
      </c>
      <c r="X2" s="24">
        <f t="shared" ref="X2:X65" si="2">S2*L2</f>
        <v>664644672.20000005</v>
      </c>
      <c r="Y2" s="24">
        <f t="shared" ref="Y2:Y65" si="3">IFERROR(W2-U2,0)</f>
        <v>664644672.20000005</v>
      </c>
      <c r="Z2" s="24">
        <f t="shared" ref="Z2:Z65" si="4">W2-X2</f>
        <v>0</v>
      </c>
      <c r="AA2" s="25" t="str">
        <f t="shared" ref="AA2:AA65" si="5">IFERROR(W2/U2,"No se realizó gasto en este corte")</f>
        <v>No se realizó gasto en este corte</v>
      </c>
      <c r="AB2" s="26" t="str">
        <f t="shared" ref="AB2:AB65" si="6">IFERROR(
  IF(OR(AA2="",AA2=0),
    "No calculado",
    IF(AA2&gt;1,"Costo eficiente: se está gastando menos de lo presupuestado",
      IF(AA2=1,"Costo según lo presupuestado",
        "Costo ineficiente: se está gastando más de lo presupuestado"))),
"No calculado")</f>
        <v>Costo eficiente: se está gastando menos de lo presupuestado</v>
      </c>
      <c r="AC2" s="26">
        <f t="shared" ref="AC2:AC65" si="7">IFERROR(W2/X2,0)</f>
        <v>1</v>
      </c>
      <c r="AD2" s="26" t="str">
        <f t="shared" ref="AD2:AD65" si="8">IF(OR(AC2="",AC2=0),"Sin Línea Base",
IF(AC2&gt;1,"Proyecto adelantado respecto al cronograma",
IF(AC2=1,"Proyecto a tiempo según lo planificado",
IF(AC2&lt;1,"Proyecto atrasado con respecto al cronograma",
"No calculado"))))</f>
        <v>Proyecto a tiempo según lo planificado</v>
      </c>
      <c r="AE2" s="27">
        <f t="shared" ref="AE2:AE65" si="9">IFERROR(L2/AA2,0)</f>
        <v>0</v>
      </c>
      <c r="AF2" s="27">
        <f t="shared" ref="AF2:AF65" si="10">IFERROR(AE2-L2,0)</f>
        <v>-3323223361</v>
      </c>
      <c r="AG2" s="28" t="str">
        <f>VLOOKUP(Indicador!E25,[1]Diccionario!C$1:AC$150,27,0)</f>
        <v>https://growdatasas.sharepoint.com/:x:/r/sites/Gestiondocumental/Administrativa/GD/Financiera/_layouts/15/Doc.aspx?sourcedoc=%7BC3EFE0E2-C211-45B0-905D-ECEF11221767%7D&amp;file=299.%20DEFENSORIA_ERP.xlsm&amp;action=default&amp;mobileredirect=true</v>
      </c>
      <c r="AH2" s="28">
        <v>1</v>
      </c>
      <c r="AI2" s="28">
        <v>1</v>
      </c>
      <c r="AJ2" s="28" t="s">
        <v>46</v>
      </c>
      <c r="AK2" s="28"/>
    </row>
    <row r="3" spans="1:37" ht="18.75" customHeight="1" x14ac:dyDescent="0.25">
      <c r="A3" s="11">
        <v>2024</v>
      </c>
      <c r="B3" s="12" t="s">
        <v>47</v>
      </c>
      <c r="C3" s="13" t="s">
        <v>38</v>
      </c>
      <c r="D3" s="14">
        <v>45296.528889155095</v>
      </c>
      <c r="E3" s="15" t="s">
        <v>39</v>
      </c>
      <c r="F3" s="13" t="s">
        <v>40</v>
      </c>
      <c r="G3" s="13" t="s">
        <v>41</v>
      </c>
      <c r="H3" s="13" t="s">
        <v>42</v>
      </c>
      <c r="I3" s="13" t="s">
        <v>43</v>
      </c>
      <c r="J3" s="16" t="s">
        <v>44</v>
      </c>
      <c r="K3" s="13" t="s">
        <v>45</v>
      </c>
      <c r="L3" s="17">
        <f>VLOOKUP(E3,[1]Diccionario!C$2:AC$150,22,0)</f>
        <v>3323223361</v>
      </c>
      <c r="M3" s="18">
        <f>VLOOKUP(E3,[1]Diccionario!C$2:AC$150,24,0)</f>
        <v>45300</v>
      </c>
      <c r="N3" s="19">
        <f>VLOOKUP(E3,[1]Diccionario!C$2:AC$150,25,0)</f>
        <v>45473</v>
      </c>
      <c r="O3" s="20">
        <f>VLOOKUP(E3,[1]Diccionario!C$2:AC$150,26,0)</f>
        <v>5.7</v>
      </c>
      <c r="P3" s="20">
        <f t="shared" si="0"/>
        <v>-3.7</v>
      </c>
      <c r="Q3" s="20">
        <v>2</v>
      </c>
      <c r="R3" s="15">
        <v>6</v>
      </c>
      <c r="S3" s="21">
        <v>0.3</v>
      </c>
      <c r="T3" s="21">
        <v>0.3</v>
      </c>
      <c r="U3" s="22">
        <f>U2+TablaIndicador[[#This Row],[Costo Mensual]]</f>
        <v>0</v>
      </c>
      <c r="V3" s="23"/>
      <c r="W3" s="24">
        <f t="shared" si="1"/>
        <v>996967008.29999995</v>
      </c>
      <c r="X3" s="24">
        <f t="shared" si="2"/>
        <v>996967008.29999995</v>
      </c>
      <c r="Y3" s="24">
        <f t="shared" si="3"/>
        <v>996967008.29999995</v>
      </c>
      <c r="Z3" s="24">
        <f t="shared" si="4"/>
        <v>0</v>
      </c>
      <c r="AA3" s="25" t="str">
        <f t="shared" si="5"/>
        <v>No se realizó gasto en este corte</v>
      </c>
      <c r="AB3" s="26" t="str">
        <f t="shared" si="6"/>
        <v>Costo eficiente: se está gastando menos de lo presupuestado</v>
      </c>
      <c r="AC3" s="26">
        <f t="shared" si="7"/>
        <v>1</v>
      </c>
      <c r="AD3" s="26" t="str">
        <f t="shared" si="8"/>
        <v>Proyecto a tiempo según lo planificado</v>
      </c>
      <c r="AE3" s="27">
        <f t="shared" si="9"/>
        <v>0</v>
      </c>
      <c r="AF3" s="27">
        <f t="shared" si="10"/>
        <v>-3323223361</v>
      </c>
      <c r="AG3" s="28" t="str">
        <f>VLOOKUP(Indicador!E26,[1]Diccionario!C$1:AC$150,27,0)</f>
        <v>https://growdatasas.sharepoint.com/:x:/r/sites/Gestiondocumental/Administrativa/GD/Financiera/_layouts/15/Doc.aspx?sourcedoc=%7BC3EFE0E2-C211-45B0-905D-ECEF11221767%7D&amp;file=299.%20DEFENSORIA_ERP.xlsm&amp;action=default&amp;mobileredirect=true</v>
      </c>
      <c r="AH3" s="28">
        <v>1</v>
      </c>
      <c r="AI3" s="28">
        <v>1</v>
      </c>
      <c r="AJ3" s="28" t="s">
        <v>46</v>
      </c>
      <c r="AK3" s="28"/>
    </row>
    <row r="4" spans="1:37" ht="18.75" customHeight="1" x14ac:dyDescent="0.25">
      <c r="A4" s="11">
        <v>2024</v>
      </c>
      <c r="B4" s="12" t="s">
        <v>48</v>
      </c>
      <c r="C4" s="13" t="s">
        <v>38</v>
      </c>
      <c r="D4" s="14">
        <v>45296.528889155095</v>
      </c>
      <c r="E4" s="15" t="s">
        <v>39</v>
      </c>
      <c r="F4" s="13" t="s">
        <v>40</v>
      </c>
      <c r="G4" s="13" t="s">
        <v>41</v>
      </c>
      <c r="H4" s="13" t="s">
        <v>42</v>
      </c>
      <c r="I4" s="13" t="s">
        <v>43</v>
      </c>
      <c r="J4" s="16" t="s">
        <v>44</v>
      </c>
      <c r="K4" s="13" t="s">
        <v>45</v>
      </c>
      <c r="L4" s="17">
        <f>VLOOKUP(E4,[1]Diccionario!C$2:AC$150,22,0)</f>
        <v>3323223361</v>
      </c>
      <c r="M4" s="18">
        <f>VLOOKUP(E4,[1]Diccionario!C$2:AC$150,24,0)</f>
        <v>45300</v>
      </c>
      <c r="N4" s="19">
        <f>VLOOKUP(E4,[1]Diccionario!C$2:AC$150,25,0)</f>
        <v>45473</v>
      </c>
      <c r="O4" s="20">
        <f>VLOOKUP(E4,[1]Diccionario!C$2:AC$150,26,0)</f>
        <v>5.7</v>
      </c>
      <c r="P4" s="20">
        <f t="shared" ca="1" si="0"/>
        <v>20.3</v>
      </c>
      <c r="Q4" s="20">
        <f t="shared" ref="Q4:Q27" ca="1" si="11">DATEDIF(M4,TODAY(),"m")</f>
        <v>26</v>
      </c>
      <c r="R4" s="15">
        <v>6</v>
      </c>
      <c r="S4" s="21">
        <v>0.5</v>
      </c>
      <c r="T4" s="21">
        <v>0.4</v>
      </c>
      <c r="U4" s="22">
        <f>U3+TablaIndicador[[#This Row],[Costo Mensual]]</f>
        <v>0</v>
      </c>
      <c r="V4" s="23"/>
      <c r="W4" s="24">
        <f t="shared" si="1"/>
        <v>1329289344.4000001</v>
      </c>
      <c r="X4" s="24">
        <f t="shared" si="2"/>
        <v>1661611680.5</v>
      </c>
      <c r="Y4" s="24">
        <f t="shared" si="3"/>
        <v>1329289344.4000001</v>
      </c>
      <c r="Z4" s="24">
        <f t="shared" si="4"/>
        <v>-332322336.0999999</v>
      </c>
      <c r="AA4" s="25" t="str">
        <f t="shared" si="5"/>
        <v>No se realizó gasto en este corte</v>
      </c>
      <c r="AB4" s="26" t="str">
        <f t="shared" si="6"/>
        <v>Costo eficiente: se está gastando menos de lo presupuestado</v>
      </c>
      <c r="AC4" s="26">
        <f t="shared" si="7"/>
        <v>0.8</v>
      </c>
      <c r="AD4" s="26" t="str">
        <f t="shared" si="8"/>
        <v>Proyecto atrasado con respecto al cronograma</v>
      </c>
      <c r="AE4" s="27">
        <f t="shared" si="9"/>
        <v>0</v>
      </c>
      <c r="AF4" s="27">
        <f t="shared" si="10"/>
        <v>-3323223361</v>
      </c>
      <c r="AG4" s="28" t="str">
        <f>VLOOKUP(Indicador!E27,[1]Diccionario!C$1:AC$150,27,0)</f>
        <v>https://growdatasas.sharepoint.com/:x:/r/sites/Gestiondocumental/Administrativa/GD/Financiera/_layouts/15/Doc.aspx?sourcedoc=%7BC3EFE0E2-C211-45B0-905D-ECEF11221767%7D&amp;file=299.%20DEFENSORIA_ERP.xlsm&amp;action=default&amp;mobileredirect=true</v>
      </c>
      <c r="AH4" s="28">
        <v>1</v>
      </c>
      <c r="AI4" s="28">
        <v>1</v>
      </c>
      <c r="AJ4" s="28" t="s">
        <v>46</v>
      </c>
      <c r="AK4" s="28"/>
    </row>
    <row r="5" spans="1:37" ht="18.75" customHeight="1" x14ac:dyDescent="0.25">
      <c r="A5" s="11">
        <v>2024</v>
      </c>
      <c r="B5" s="12" t="s">
        <v>49</v>
      </c>
      <c r="C5" s="13" t="s">
        <v>38</v>
      </c>
      <c r="D5" s="14">
        <v>45296.528889155095</v>
      </c>
      <c r="E5" s="15" t="s">
        <v>39</v>
      </c>
      <c r="F5" s="13" t="s">
        <v>40</v>
      </c>
      <c r="G5" s="13" t="s">
        <v>41</v>
      </c>
      <c r="H5" s="13" t="s">
        <v>42</v>
      </c>
      <c r="I5" s="13" t="s">
        <v>43</v>
      </c>
      <c r="J5" s="16" t="s">
        <v>44</v>
      </c>
      <c r="K5" s="13" t="s">
        <v>45</v>
      </c>
      <c r="L5" s="17">
        <f>VLOOKUP(E5,[1]Diccionario!C$2:AC$150,22,0)</f>
        <v>3323223361</v>
      </c>
      <c r="M5" s="18">
        <f>VLOOKUP(E5,[1]Diccionario!C$2:AC$150,24,0)</f>
        <v>45300</v>
      </c>
      <c r="N5" s="19">
        <f>VLOOKUP(E5,[1]Diccionario!C$2:AC$150,25,0)</f>
        <v>45473</v>
      </c>
      <c r="O5" s="20">
        <f>VLOOKUP(E5,[1]Diccionario!C$2:AC$150,26,0)</f>
        <v>5.7</v>
      </c>
      <c r="P5" s="20">
        <f t="shared" ca="1" si="0"/>
        <v>20.3</v>
      </c>
      <c r="Q5" s="20">
        <f t="shared" ca="1" si="11"/>
        <v>26</v>
      </c>
      <c r="R5" s="15">
        <v>6</v>
      </c>
      <c r="S5" s="21">
        <v>0.75</v>
      </c>
      <c r="T5" s="21">
        <f t="shared" ref="T5:T27" si="12">T4+0.02</f>
        <v>0.42000000000000004</v>
      </c>
      <c r="U5" s="22">
        <f>U4+TablaIndicador[[#This Row],[Costo Mensual]]</f>
        <v>0</v>
      </c>
      <c r="V5" s="23"/>
      <c r="W5" s="24">
        <f t="shared" si="1"/>
        <v>1395753811.6200001</v>
      </c>
      <c r="X5" s="24">
        <f t="shared" si="2"/>
        <v>2492417520.75</v>
      </c>
      <c r="Y5" s="24">
        <f t="shared" si="3"/>
        <v>1395753811.6200001</v>
      </c>
      <c r="Z5" s="24">
        <f t="shared" si="4"/>
        <v>-1096663709.1299999</v>
      </c>
      <c r="AA5" s="25" t="str">
        <f t="shared" si="5"/>
        <v>No se realizó gasto en este corte</v>
      </c>
      <c r="AB5" s="26" t="str">
        <f t="shared" si="6"/>
        <v>Costo eficiente: se está gastando menos de lo presupuestado</v>
      </c>
      <c r="AC5" s="26">
        <f t="shared" si="7"/>
        <v>0.56000000000000005</v>
      </c>
      <c r="AD5" s="26" t="str">
        <f t="shared" si="8"/>
        <v>Proyecto atrasado con respecto al cronograma</v>
      </c>
      <c r="AE5" s="27">
        <f t="shared" si="9"/>
        <v>0</v>
      </c>
      <c r="AF5" s="27">
        <f t="shared" si="10"/>
        <v>-3323223361</v>
      </c>
      <c r="AG5" s="28" t="str">
        <f>VLOOKUP(Indicador!E28,[1]Diccionario!C$1:AC$150,27,0)</f>
        <v>https://growdatasas.sharepoint.com/:x:/r/sites/Gestiondocumental/Administrativa/GD/Financiera/_layouts/15/Doc.aspx?sourcedoc=%7B4F9BD6BF-F6F0-4033-84A5-4B5D6077FC32%7D&amp;file=314.%20TELEFONICA%20%E2%80%93%20DPC%20%20SALA%20DE%20ANALITICA.xlsx&amp;action=default&amp;mobileredirect=true</v>
      </c>
      <c r="AH5" s="28">
        <v>1</v>
      </c>
      <c r="AI5" s="28">
        <v>1</v>
      </c>
      <c r="AJ5" s="28" t="s">
        <v>46</v>
      </c>
      <c r="AK5" s="28"/>
    </row>
    <row r="6" spans="1:37" ht="18.75" customHeight="1" x14ac:dyDescent="0.25">
      <c r="A6" s="11">
        <v>2024</v>
      </c>
      <c r="B6" s="12" t="s">
        <v>50</v>
      </c>
      <c r="C6" s="10" t="s">
        <v>38</v>
      </c>
      <c r="D6" s="29">
        <v>45296.528889155095</v>
      </c>
      <c r="E6" s="15" t="s">
        <v>39</v>
      </c>
      <c r="F6" s="10" t="s">
        <v>40</v>
      </c>
      <c r="G6" s="10" t="s">
        <v>41</v>
      </c>
      <c r="H6" s="10" t="s">
        <v>42</v>
      </c>
      <c r="I6" s="10" t="s">
        <v>43</v>
      </c>
      <c r="J6" s="30" t="s">
        <v>44</v>
      </c>
      <c r="K6" s="10" t="s">
        <v>45</v>
      </c>
      <c r="L6" s="17">
        <f>VLOOKUP(E6,[1]Diccionario!C$2:AC$150,22,0)</f>
        <v>3323223361</v>
      </c>
      <c r="M6" s="18">
        <f>VLOOKUP(E6,[1]Diccionario!C$2:AC$150,24,0)</f>
        <v>45300</v>
      </c>
      <c r="N6" s="19">
        <f>VLOOKUP(E6,[1]Diccionario!C$2:AC$150,25,0)</f>
        <v>45473</v>
      </c>
      <c r="O6" s="20">
        <f>VLOOKUP(E6,[1]Diccionario!C$2:AC$150,26,0)</f>
        <v>5.7</v>
      </c>
      <c r="P6" s="20">
        <f t="shared" ca="1" si="0"/>
        <v>20.3</v>
      </c>
      <c r="Q6" s="20">
        <f t="shared" ca="1" si="11"/>
        <v>26</v>
      </c>
      <c r="R6" s="15">
        <v>6</v>
      </c>
      <c r="S6" s="21">
        <v>0.8</v>
      </c>
      <c r="T6" s="21">
        <f t="shared" si="12"/>
        <v>0.44000000000000006</v>
      </c>
      <c r="U6" s="22">
        <f>U5+TablaIndicador[[#This Row],[Costo Mensual]]</f>
        <v>0</v>
      </c>
      <c r="V6" s="23"/>
      <c r="W6" s="24">
        <f t="shared" si="1"/>
        <v>1462218278.8400002</v>
      </c>
      <c r="X6" s="24">
        <f t="shared" si="2"/>
        <v>2658578688.8000002</v>
      </c>
      <c r="Y6" s="24">
        <f t="shared" si="3"/>
        <v>1462218278.8400002</v>
      </c>
      <c r="Z6" s="24">
        <f t="shared" si="4"/>
        <v>-1196360409.96</v>
      </c>
      <c r="AA6" s="25" t="str">
        <f t="shared" si="5"/>
        <v>No se realizó gasto en este corte</v>
      </c>
      <c r="AB6" s="26" t="str">
        <f t="shared" si="6"/>
        <v>Costo eficiente: se está gastando menos de lo presupuestado</v>
      </c>
      <c r="AC6" s="26">
        <f t="shared" si="7"/>
        <v>0.55000000000000004</v>
      </c>
      <c r="AD6" s="26" t="str">
        <f t="shared" si="8"/>
        <v>Proyecto atrasado con respecto al cronograma</v>
      </c>
      <c r="AE6" s="27">
        <f t="shared" si="9"/>
        <v>0</v>
      </c>
      <c r="AF6" s="27">
        <f t="shared" si="10"/>
        <v>-3323223361</v>
      </c>
      <c r="AG6" s="28" t="str">
        <f>VLOOKUP(Indicador!E29,[1]Diccionario!C$1:AC$150,27,0)</f>
        <v>https://growdatasas.sharepoint.com/:x:/r/sites/Gestiondocumental/Administrativa/GD/Financiera/_layouts/15/Doc.aspx?sourcedoc=%7B4F9BD6BF-F6F0-4033-84A5-4B5D6077FC32%7D&amp;file=314.%20TELEFONICA%20%E2%80%93%20DPC%20%20SALA%20DE%20ANALITICA.xlsx&amp;action=default&amp;mobileredirect=true</v>
      </c>
      <c r="AH6" s="28">
        <v>1</v>
      </c>
      <c r="AI6" s="28">
        <v>1</v>
      </c>
      <c r="AJ6" s="28" t="s">
        <v>46</v>
      </c>
      <c r="AK6" s="28"/>
    </row>
    <row r="7" spans="1:37" ht="18.75" customHeight="1" x14ac:dyDescent="0.25">
      <c r="A7" s="11">
        <v>2024</v>
      </c>
      <c r="B7" s="12" t="s">
        <v>51</v>
      </c>
      <c r="C7" s="10" t="s">
        <v>38</v>
      </c>
      <c r="D7" s="29">
        <v>45296.528889155095</v>
      </c>
      <c r="E7" s="15" t="s">
        <v>39</v>
      </c>
      <c r="F7" s="10" t="s">
        <v>40</v>
      </c>
      <c r="G7" s="10" t="s">
        <v>41</v>
      </c>
      <c r="H7" s="10" t="s">
        <v>42</v>
      </c>
      <c r="I7" s="10" t="s">
        <v>43</v>
      </c>
      <c r="J7" s="30" t="s">
        <v>44</v>
      </c>
      <c r="K7" s="10" t="s">
        <v>45</v>
      </c>
      <c r="L7" s="17">
        <f>VLOOKUP(E7,[1]Diccionario!C$2:AC$150,22,0)</f>
        <v>3323223361</v>
      </c>
      <c r="M7" s="18">
        <f>VLOOKUP(E7,[1]Diccionario!C$2:AC$150,24,0)</f>
        <v>45300</v>
      </c>
      <c r="N7" s="19">
        <f>VLOOKUP(E7,[1]Diccionario!C$2:AC$150,25,0)</f>
        <v>45473</v>
      </c>
      <c r="O7" s="20">
        <f>VLOOKUP(E7,[1]Diccionario!C$2:AC$150,26,0)</f>
        <v>5.7</v>
      </c>
      <c r="P7" s="20">
        <f t="shared" ca="1" si="0"/>
        <v>20.3</v>
      </c>
      <c r="Q7" s="20">
        <f t="shared" ca="1" si="11"/>
        <v>26</v>
      </c>
      <c r="R7" s="15">
        <v>6</v>
      </c>
      <c r="S7" s="21">
        <v>1</v>
      </c>
      <c r="T7" s="21">
        <f t="shared" si="12"/>
        <v>0.46000000000000008</v>
      </c>
      <c r="U7" s="22">
        <f>U6+TablaIndicador[[#This Row],[Costo Mensual]]</f>
        <v>0</v>
      </c>
      <c r="V7" s="23"/>
      <c r="W7" s="24">
        <f t="shared" si="1"/>
        <v>1528682746.0600002</v>
      </c>
      <c r="X7" s="24">
        <f t="shared" si="2"/>
        <v>3323223361</v>
      </c>
      <c r="Y7" s="24">
        <f t="shared" si="3"/>
        <v>1528682746.0600002</v>
      </c>
      <c r="Z7" s="24">
        <f t="shared" si="4"/>
        <v>-1794540614.9399998</v>
      </c>
      <c r="AA7" s="25" t="str">
        <f t="shared" si="5"/>
        <v>No se realizó gasto en este corte</v>
      </c>
      <c r="AB7" s="26" t="str">
        <f t="shared" si="6"/>
        <v>Costo eficiente: se está gastando menos de lo presupuestado</v>
      </c>
      <c r="AC7" s="26">
        <f t="shared" si="7"/>
        <v>0.46000000000000008</v>
      </c>
      <c r="AD7" s="26" t="str">
        <f t="shared" si="8"/>
        <v>Proyecto atrasado con respecto al cronograma</v>
      </c>
      <c r="AE7" s="27">
        <f t="shared" si="9"/>
        <v>0</v>
      </c>
      <c r="AF7" s="27">
        <f t="shared" si="10"/>
        <v>-3323223361</v>
      </c>
      <c r="AG7" s="28" t="str">
        <f>VLOOKUP(Indicador!E30,[1]Diccionario!C$1:AC$150,27,0)</f>
        <v>https://growdatasas.sharepoint.com/:x:/r/sites/Gestiondocumental/Administrativa/GD/Financiera/_layouts/15/Doc.aspx?sourcedoc=%7B4F9BD6BF-F6F0-4033-84A5-4B5D6077FC32%7D&amp;file=314.%20TELEFONICA%20%E2%80%93%20DPC%20%20SALA%20DE%20ANALITICA.xlsx&amp;action=default&amp;mobileredirect=true</v>
      </c>
      <c r="AH7" s="28">
        <v>1</v>
      </c>
      <c r="AI7" s="28">
        <v>1</v>
      </c>
      <c r="AJ7" s="28" t="s">
        <v>46</v>
      </c>
      <c r="AK7" s="28"/>
    </row>
    <row r="8" spans="1:37" ht="18.75" customHeight="1" x14ac:dyDescent="0.25">
      <c r="A8" s="11">
        <v>2024</v>
      </c>
      <c r="B8" s="12" t="s">
        <v>52</v>
      </c>
      <c r="C8" s="10" t="s">
        <v>38</v>
      </c>
      <c r="D8" s="29">
        <v>45296.528889155095</v>
      </c>
      <c r="E8" s="15" t="s">
        <v>39</v>
      </c>
      <c r="F8" s="10" t="s">
        <v>40</v>
      </c>
      <c r="G8" s="10" t="s">
        <v>41</v>
      </c>
      <c r="H8" s="10" t="s">
        <v>42</v>
      </c>
      <c r="I8" s="10" t="s">
        <v>43</v>
      </c>
      <c r="J8" s="30" t="s">
        <v>44</v>
      </c>
      <c r="K8" s="10" t="s">
        <v>45</v>
      </c>
      <c r="L8" s="17">
        <f>VLOOKUP(E8,[1]Diccionario!C$2:AC$150,22,0)</f>
        <v>3323223361</v>
      </c>
      <c r="M8" s="18">
        <f>VLOOKUP(E8,[1]Diccionario!C$2:AC$150,24,0)</f>
        <v>45300</v>
      </c>
      <c r="N8" s="19">
        <f>VLOOKUP(E8,[1]Diccionario!C$2:AC$150,25,0)</f>
        <v>45473</v>
      </c>
      <c r="O8" s="20">
        <f>VLOOKUP(E8,[1]Diccionario!C$2:AC$150,26,0)</f>
        <v>5.7</v>
      </c>
      <c r="P8" s="20">
        <f t="shared" ca="1" si="0"/>
        <v>20.3</v>
      </c>
      <c r="Q8" s="20">
        <f t="shared" ca="1" si="11"/>
        <v>26</v>
      </c>
      <c r="R8" s="15">
        <v>6</v>
      </c>
      <c r="S8" s="21">
        <v>1</v>
      </c>
      <c r="T8" s="21">
        <f t="shared" si="12"/>
        <v>0.48000000000000009</v>
      </c>
      <c r="U8" s="22">
        <f>U7+TablaIndicador[[#This Row],[Costo Mensual]]</f>
        <v>0</v>
      </c>
      <c r="V8" s="23"/>
      <c r="W8" s="24">
        <f t="shared" si="1"/>
        <v>1595147213.2800002</v>
      </c>
      <c r="X8" s="24">
        <f t="shared" si="2"/>
        <v>3323223361</v>
      </c>
      <c r="Y8" s="24">
        <f t="shared" si="3"/>
        <v>1595147213.2800002</v>
      </c>
      <c r="Z8" s="24">
        <f t="shared" si="4"/>
        <v>-1728076147.7199998</v>
      </c>
      <c r="AA8" s="25" t="str">
        <f t="shared" si="5"/>
        <v>No se realizó gasto en este corte</v>
      </c>
      <c r="AB8" s="26" t="str">
        <f t="shared" si="6"/>
        <v>Costo eficiente: se está gastando menos de lo presupuestado</v>
      </c>
      <c r="AC8" s="26">
        <f t="shared" si="7"/>
        <v>0.48000000000000004</v>
      </c>
      <c r="AD8" s="26" t="str">
        <f t="shared" si="8"/>
        <v>Proyecto atrasado con respecto al cronograma</v>
      </c>
      <c r="AE8" s="27">
        <f t="shared" si="9"/>
        <v>0</v>
      </c>
      <c r="AF8" s="27">
        <f t="shared" si="10"/>
        <v>-3323223361</v>
      </c>
      <c r="AG8" s="28" t="str">
        <f>VLOOKUP(Indicador!E31,[1]Diccionario!C$1:AC$150,27,0)</f>
        <v>https://growdatasas.sharepoint.com/:x:/r/sites/Gestiondocumental/Administrativa/GD/Financiera/_layouts/15/Doc.aspx?sourcedoc=%7B4F9BD6BF-F6F0-4033-84A5-4B5D6077FC32%7D&amp;file=314.%20TELEFONICA%20%E2%80%93%20DPC%20%20SALA%20DE%20ANALITICA.xlsx&amp;action=default&amp;mobileredirect=true</v>
      </c>
      <c r="AH8" s="28">
        <v>1</v>
      </c>
      <c r="AI8" s="28">
        <v>1</v>
      </c>
      <c r="AJ8" s="28" t="s">
        <v>46</v>
      </c>
      <c r="AK8" s="28"/>
    </row>
    <row r="9" spans="1:37" ht="18.75" customHeight="1" x14ac:dyDescent="0.25">
      <c r="A9" s="11">
        <v>2024</v>
      </c>
      <c r="B9" s="12" t="s">
        <v>53</v>
      </c>
      <c r="C9" s="10" t="s">
        <v>38</v>
      </c>
      <c r="D9" s="29">
        <v>45296.528889155095</v>
      </c>
      <c r="E9" s="15" t="s">
        <v>39</v>
      </c>
      <c r="F9" s="10" t="s">
        <v>40</v>
      </c>
      <c r="G9" s="10" t="s">
        <v>41</v>
      </c>
      <c r="H9" s="10" t="s">
        <v>42</v>
      </c>
      <c r="I9" s="10" t="s">
        <v>43</v>
      </c>
      <c r="J9" s="30" t="s">
        <v>44</v>
      </c>
      <c r="K9" s="10" t="s">
        <v>45</v>
      </c>
      <c r="L9" s="17">
        <f>VLOOKUP(E9,[1]Diccionario!C$2:AC$150,22,0)</f>
        <v>3323223361</v>
      </c>
      <c r="M9" s="18">
        <f>VLOOKUP(E9,[1]Diccionario!C$2:AC$150,24,0)</f>
        <v>45300</v>
      </c>
      <c r="N9" s="19">
        <f>VLOOKUP(E9,[1]Diccionario!C$2:AC$150,25,0)</f>
        <v>45473</v>
      </c>
      <c r="O9" s="20">
        <f>VLOOKUP(E9,[1]Diccionario!C$2:AC$150,26,0)</f>
        <v>5.7</v>
      </c>
      <c r="P9" s="20">
        <f t="shared" ca="1" si="0"/>
        <v>20.3</v>
      </c>
      <c r="Q9" s="20">
        <f t="shared" ca="1" si="11"/>
        <v>26</v>
      </c>
      <c r="R9" s="15">
        <v>6</v>
      </c>
      <c r="S9" s="21">
        <v>1</v>
      </c>
      <c r="T9" s="21">
        <f t="shared" si="12"/>
        <v>0.50000000000000011</v>
      </c>
      <c r="U9" s="22">
        <f>U8+TablaIndicador[[#This Row],[Costo Mensual]]</f>
        <v>0</v>
      </c>
      <c r="V9" s="23"/>
      <c r="W9" s="24">
        <f t="shared" si="1"/>
        <v>1661611680.5000005</v>
      </c>
      <c r="X9" s="24">
        <f t="shared" si="2"/>
        <v>3323223361</v>
      </c>
      <c r="Y9" s="24">
        <f t="shared" si="3"/>
        <v>1661611680.5000005</v>
      </c>
      <c r="Z9" s="24">
        <f t="shared" si="4"/>
        <v>-1661611680.4999995</v>
      </c>
      <c r="AA9" s="25" t="str">
        <f t="shared" si="5"/>
        <v>No se realizó gasto en este corte</v>
      </c>
      <c r="AB9" s="26" t="str">
        <f t="shared" si="6"/>
        <v>Costo eficiente: se está gastando menos de lo presupuestado</v>
      </c>
      <c r="AC9" s="26">
        <f t="shared" si="7"/>
        <v>0.50000000000000011</v>
      </c>
      <c r="AD9" s="26" t="str">
        <f t="shared" si="8"/>
        <v>Proyecto atrasado con respecto al cronograma</v>
      </c>
      <c r="AE9" s="27">
        <f t="shared" si="9"/>
        <v>0</v>
      </c>
      <c r="AF9" s="27">
        <f t="shared" si="10"/>
        <v>-3323223361</v>
      </c>
      <c r="AG9" s="28" t="str">
        <f>VLOOKUP(Indicador!E32,[1]Diccionario!C$1:AC$150,27,0)</f>
        <v>https://growdatasas.sharepoint.com/:x:/r/sites/Gestiondocumental/Administrativa/GD/Financiera/_layouts/15/Doc.aspx?sourcedoc=%7B4F9BD6BF-F6F0-4033-84A5-4B5D6077FC32%7D&amp;file=314.%20TELEFONICA%20%E2%80%93%20DPC%20%20SALA%20DE%20ANALITICA.xlsx&amp;action=default&amp;mobileredirect=true</v>
      </c>
      <c r="AH9" s="28">
        <v>1</v>
      </c>
      <c r="AI9" s="28">
        <v>1</v>
      </c>
      <c r="AJ9" s="28" t="s">
        <v>46</v>
      </c>
      <c r="AK9" s="28"/>
    </row>
    <row r="10" spans="1:37" ht="18.75" customHeight="1" x14ac:dyDescent="0.25">
      <c r="A10" s="11">
        <v>2024</v>
      </c>
      <c r="B10" s="12" t="s">
        <v>54</v>
      </c>
      <c r="C10" s="10" t="s">
        <v>38</v>
      </c>
      <c r="D10" s="29">
        <v>45296.528889155095</v>
      </c>
      <c r="E10" s="15" t="s">
        <v>39</v>
      </c>
      <c r="F10" s="10" t="s">
        <v>40</v>
      </c>
      <c r="G10" s="10" t="s">
        <v>41</v>
      </c>
      <c r="H10" s="10" t="s">
        <v>42</v>
      </c>
      <c r="I10" s="10" t="s">
        <v>43</v>
      </c>
      <c r="J10" s="30" t="s">
        <v>44</v>
      </c>
      <c r="K10" s="10" t="s">
        <v>45</v>
      </c>
      <c r="L10" s="17">
        <f>VLOOKUP(E10,[1]Diccionario!C$2:AC$150,22,0)</f>
        <v>3323223361</v>
      </c>
      <c r="M10" s="18">
        <f>VLOOKUP(E10,[1]Diccionario!C$2:AC$150,24,0)</f>
        <v>45300</v>
      </c>
      <c r="N10" s="19">
        <f>VLOOKUP(E10,[1]Diccionario!C$2:AC$150,25,0)</f>
        <v>45473</v>
      </c>
      <c r="O10" s="20">
        <f>VLOOKUP(E10,[1]Diccionario!C$2:AC$150,26,0)</f>
        <v>5.7</v>
      </c>
      <c r="P10" s="20">
        <f t="shared" ca="1" si="0"/>
        <v>20.3</v>
      </c>
      <c r="Q10" s="20">
        <f t="shared" ca="1" si="11"/>
        <v>26</v>
      </c>
      <c r="R10" s="15">
        <v>6</v>
      </c>
      <c r="S10" s="21">
        <v>1</v>
      </c>
      <c r="T10" s="21">
        <f t="shared" si="12"/>
        <v>0.52000000000000013</v>
      </c>
      <c r="U10" s="22">
        <f>U9+TablaIndicador[[#This Row],[Costo Mensual]]</f>
        <v>0</v>
      </c>
      <c r="V10" s="23"/>
      <c r="W10" s="24">
        <f t="shared" si="1"/>
        <v>1728076147.7200005</v>
      </c>
      <c r="X10" s="24">
        <f t="shared" si="2"/>
        <v>3323223361</v>
      </c>
      <c r="Y10" s="24">
        <f t="shared" si="3"/>
        <v>1728076147.7200005</v>
      </c>
      <c r="Z10" s="24">
        <f t="shared" si="4"/>
        <v>-1595147213.2799995</v>
      </c>
      <c r="AA10" s="25" t="str">
        <f t="shared" si="5"/>
        <v>No se realizó gasto en este corte</v>
      </c>
      <c r="AB10" s="26" t="str">
        <f t="shared" si="6"/>
        <v>Costo eficiente: se está gastando menos de lo presupuestado</v>
      </c>
      <c r="AC10" s="26">
        <f t="shared" si="7"/>
        <v>0.52000000000000013</v>
      </c>
      <c r="AD10" s="26" t="str">
        <f t="shared" si="8"/>
        <v>Proyecto atrasado con respecto al cronograma</v>
      </c>
      <c r="AE10" s="27">
        <f t="shared" si="9"/>
        <v>0</v>
      </c>
      <c r="AF10" s="27">
        <f t="shared" si="10"/>
        <v>-3323223361</v>
      </c>
      <c r="AG10" s="28" t="str">
        <f>VLOOKUP(Indicador!E33,[1]Diccionario!C$1:AC$150,27,0)</f>
        <v>https://growdatasas.sharepoint.com/:x:/r/sites/Gestiondocumental/Administrativa/GD/Financiera/_layouts/15/Doc.aspx?sourcedoc=%7B4F9BD6BF-F6F0-4033-84A5-4B5D6077FC32%7D&amp;file=314.%20TELEFONICA%20%E2%80%93%20DPC%20%20SALA%20DE%20ANALITICA.xlsx&amp;action=default&amp;mobileredirect=true</v>
      </c>
      <c r="AH10" s="28">
        <v>1</v>
      </c>
      <c r="AI10" s="28">
        <v>1</v>
      </c>
      <c r="AJ10" s="28" t="s">
        <v>46</v>
      </c>
      <c r="AK10" s="28"/>
    </row>
    <row r="11" spans="1:37" ht="18.75" customHeight="1" x14ac:dyDescent="0.25">
      <c r="A11" s="11">
        <v>2024</v>
      </c>
      <c r="B11" s="12" t="s">
        <v>55</v>
      </c>
      <c r="C11" s="10" t="s">
        <v>38</v>
      </c>
      <c r="D11" s="29">
        <v>45296.528889155095</v>
      </c>
      <c r="E11" s="15" t="s">
        <v>39</v>
      </c>
      <c r="F11" s="10" t="s">
        <v>40</v>
      </c>
      <c r="G11" s="10" t="s">
        <v>41</v>
      </c>
      <c r="H11" s="10" t="s">
        <v>42</v>
      </c>
      <c r="I11" s="10" t="s">
        <v>43</v>
      </c>
      <c r="J11" s="30" t="s">
        <v>44</v>
      </c>
      <c r="K11" s="10" t="s">
        <v>45</v>
      </c>
      <c r="L11" s="17">
        <f>VLOOKUP(E11,[1]Diccionario!C$2:AC$150,22,0)</f>
        <v>3323223361</v>
      </c>
      <c r="M11" s="18">
        <f>VLOOKUP(E11,[1]Diccionario!C$2:AC$150,24,0)</f>
        <v>45300</v>
      </c>
      <c r="N11" s="19">
        <f>VLOOKUP(E11,[1]Diccionario!C$2:AC$150,25,0)</f>
        <v>45473</v>
      </c>
      <c r="O11" s="20">
        <f>VLOOKUP(E11,[1]Diccionario!C$2:AC$150,26,0)</f>
        <v>5.7</v>
      </c>
      <c r="P11" s="20">
        <f t="shared" ca="1" si="0"/>
        <v>20.3</v>
      </c>
      <c r="Q11" s="20">
        <f t="shared" ca="1" si="11"/>
        <v>26</v>
      </c>
      <c r="R11" s="15">
        <v>6</v>
      </c>
      <c r="S11" s="21">
        <v>1</v>
      </c>
      <c r="T11" s="21">
        <f t="shared" si="12"/>
        <v>0.54000000000000015</v>
      </c>
      <c r="U11" s="22">
        <f>U10+TablaIndicador[[#This Row],[Costo Mensual]]</f>
        <v>0</v>
      </c>
      <c r="V11" s="23"/>
      <c r="W11" s="24">
        <f t="shared" si="1"/>
        <v>1794540614.9400005</v>
      </c>
      <c r="X11" s="24">
        <f t="shared" si="2"/>
        <v>3323223361</v>
      </c>
      <c r="Y11" s="24">
        <f t="shared" si="3"/>
        <v>1794540614.9400005</v>
      </c>
      <c r="Z11" s="24">
        <f t="shared" si="4"/>
        <v>-1528682746.0599995</v>
      </c>
      <c r="AA11" s="25" t="str">
        <f t="shared" si="5"/>
        <v>No se realizó gasto en este corte</v>
      </c>
      <c r="AB11" s="26" t="str">
        <f t="shared" si="6"/>
        <v>Costo eficiente: se está gastando menos de lo presupuestado</v>
      </c>
      <c r="AC11" s="26">
        <f t="shared" si="7"/>
        <v>0.54000000000000015</v>
      </c>
      <c r="AD11" s="26" t="str">
        <f t="shared" si="8"/>
        <v>Proyecto atrasado con respecto al cronograma</v>
      </c>
      <c r="AE11" s="27">
        <f t="shared" si="9"/>
        <v>0</v>
      </c>
      <c r="AF11" s="27">
        <f t="shared" si="10"/>
        <v>-3323223361</v>
      </c>
      <c r="AG11" s="28" t="str">
        <f>VLOOKUP(Indicador!E34,[1]Diccionario!C$1:AC$150,27,0)</f>
        <v>https://growdatasas.sharepoint.com/:x:/r/sites/Gestiondocumental/Administrativa/GD/Financiera/_layouts/15/Doc.aspx?sourcedoc=%7BB4DE39AF-1EC1-466C-A807-3FE95776A982%7D&amp;file=17012024%20INFOTIC%20DPC%20SOC%20V2.xlsm&amp;action=default&amp;mobileredirect=true</v>
      </c>
      <c r="AH11" s="28">
        <v>1</v>
      </c>
      <c r="AI11" s="28">
        <v>1</v>
      </c>
      <c r="AJ11" s="28" t="s">
        <v>46</v>
      </c>
      <c r="AK11" s="28"/>
    </row>
    <row r="12" spans="1:37" ht="18.75" customHeight="1" x14ac:dyDescent="0.25">
      <c r="A12" s="11">
        <v>2024</v>
      </c>
      <c r="B12" s="12" t="s">
        <v>56</v>
      </c>
      <c r="C12" s="10" t="s">
        <v>38</v>
      </c>
      <c r="D12" s="29">
        <v>45296.528889155095</v>
      </c>
      <c r="E12" s="15" t="s">
        <v>39</v>
      </c>
      <c r="F12" s="10" t="s">
        <v>40</v>
      </c>
      <c r="G12" s="10" t="s">
        <v>41</v>
      </c>
      <c r="H12" s="10" t="s">
        <v>42</v>
      </c>
      <c r="I12" s="10" t="s">
        <v>43</v>
      </c>
      <c r="J12" s="30" t="s">
        <v>44</v>
      </c>
      <c r="K12" s="10" t="s">
        <v>45</v>
      </c>
      <c r="L12" s="17">
        <f>VLOOKUP(E12,[1]Diccionario!C$2:AC$150,22,0)</f>
        <v>3323223361</v>
      </c>
      <c r="M12" s="18">
        <f>VLOOKUP(E12,[1]Diccionario!C$2:AC$150,24,0)</f>
        <v>45300</v>
      </c>
      <c r="N12" s="19">
        <f>VLOOKUP(E12,[1]Diccionario!C$2:AC$150,25,0)</f>
        <v>45473</v>
      </c>
      <c r="O12" s="20">
        <f>VLOOKUP(E12,[1]Diccionario!C$2:AC$150,26,0)</f>
        <v>5.7</v>
      </c>
      <c r="P12" s="20">
        <f t="shared" ca="1" si="0"/>
        <v>20.3</v>
      </c>
      <c r="Q12" s="20">
        <f t="shared" ca="1" si="11"/>
        <v>26</v>
      </c>
      <c r="R12" s="15">
        <v>6</v>
      </c>
      <c r="S12" s="21">
        <v>1</v>
      </c>
      <c r="T12" s="21">
        <f t="shared" si="12"/>
        <v>0.56000000000000016</v>
      </c>
      <c r="U12" s="22">
        <f>U11+TablaIndicador[[#This Row],[Costo Mensual]]</f>
        <v>0</v>
      </c>
      <c r="V12" s="24"/>
      <c r="W12" s="24">
        <f t="shared" si="1"/>
        <v>1861005082.1600006</v>
      </c>
      <c r="X12" s="24">
        <f t="shared" si="2"/>
        <v>3323223361</v>
      </c>
      <c r="Y12" s="24">
        <f t="shared" si="3"/>
        <v>1861005082.1600006</v>
      </c>
      <c r="Z12" s="24">
        <f t="shared" si="4"/>
        <v>-1462218278.8399994</v>
      </c>
      <c r="AA12" s="25" t="str">
        <f t="shared" si="5"/>
        <v>No se realizó gasto en este corte</v>
      </c>
      <c r="AB12" s="26" t="str">
        <f t="shared" si="6"/>
        <v>Costo eficiente: se está gastando menos de lo presupuestado</v>
      </c>
      <c r="AC12" s="26">
        <f t="shared" si="7"/>
        <v>0.56000000000000016</v>
      </c>
      <c r="AD12" s="26" t="str">
        <f t="shared" si="8"/>
        <v>Proyecto atrasado con respecto al cronograma</v>
      </c>
      <c r="AE12" s="27">
        <f t="shared" si="9"/>
        <v>0</v>
      </c>
      <c r="AF12" s="27">
        <f t="shared" si="10"/>
        <v>-3323223361</v>
      </c>
      <c r="AG12" s="28" t="str">
        <f>VLOOKUP(Indicador!E35,[1]Diccionario!C$1:AC$150,27,0)</f>
        <v>https://growdatasas.sharepoint.com/:x:/r/sites/Gestiondocumental/Administrativa/GD/Financiera/_layouts/15/Doc.aspx?sourcedoc=%7BB4DE39AF-1EC1-466C-A807-3FE95776A982%7D&amp;file=17012024%20INFOTIC%20DPC%20SOC%20V2.xlsm&amp;action=default&amp;mobileredirect=true</v>
      </c>
      <c r="AH12" s="28">
        <v>1</v>
      </c>
      <c r="AI12" s="28">
        <v>1</v>
      </c>
      <c r="AJ12" s="28" t="s">
        <v>46</v>
      </c>
      <c r="AK12" s="28"/>
    </row>
    <row r="13" spans="1:37" ht="18.75" customHeight="1" x14ac:dyDescent="0.25">
      <c r="A13" s="11">
        <v>2024</v>
      </c>
      <c r="B13" s="12" t="s">
        <v>57</v>
      </c>
      <c r="C13" s="10" t="s">
        <v>38</v>
      </c>
      <c r="D13" s="29">
        <v>45296.528889155095</v>
      </c>
      <c r="E13" s="15" t="s">
        <v>39</v>
      </c>
      <c r="F13" s="10" t="s">
        <v>40</v>
      </c>
      <c r="G13" s="10" t="s">
        <v>41</v>
      </c>
      <c r="H13" s="10" t="s">
        <v>42</v>
      </c>
      <c r="I13" s="10" t="s">
        <v>43</v>
      </c>
      <c r="J13" s="30" t="s">
        <v>44</v>
      </c>
      <c r="K13" s="10" t="s">
        <v>45</v>
      </c>
      <c r="L13" s="17">
        <f>VLOOKUP(E13,[1]Diccionario!C$2:AC$150,22,0)</f>
        <v>3323223361</v>
      </c>
      <c r="M13" s="18">
        <f>VLOOKUP(E13,[1]Diccionario!C$2:AC$150,24,0)</f>
        <v>45300</v>
      </c>
      <c r="N13" s="19">
        <f>VLOOKUP(E13,[1]Diccionario!C$2:AC$150,25,0)</f>
        <v>45473</v>
      </c>
      <c r="O13" s="20">
        <f>VLOOKUP(E13,[1]Diccionario!C$2:AC$150,26,0)</f>
        <v>5.7</v>
      </c>
      <c r="P13" s="20">
        <f t="shared" ca="1" si="0"/>
        <v>20.3</v>
      </c>
      <c r="Q13" s="20">
        <f t="shared" ca="1" si="11"/>
        <v>26</v>
      </c>
      <c r="R13" s="15">
        <v>6</v>
      </c>
      <c r="S13" s="21">
        <v>1</v>
      </c>
      <c r="T13" s="21">
        <f t="shared" si="12"/>
        <v>0.58000000000000018</v>
      </c>
      <c r="U13" s="22">
        <f>U12+TablaIndicador[[#This Row],[Costo Mensual]]</f>
        <v>0</v>
      </c>
      <c r="V13" s="23"/>
      <c r="W13" s="24">
        <f t="shared" si="1"/>
        <v>1927469549.3800006</v>
      </c>
      <c r="X13" s="24">
        <f t="shared" si="2"/>
        <v>3323223361</v>
      </c>
      <c r="Y13" s="24">
        <f t="shared" si="3"/>
        <v>1927469549.3800006</v>
      </c>
      <c r="Z13" s="24">
        <f t="shared" si="4"/>
        <v>-1395753811.6199994</v>
      </c>
      <c r="AA13" s="25" t="str">
        <f t="shared" si="5"/>
        <v>No se realizó gasto en este corte</v>
      </c>
      <c r="AB13" s="26" t="str">
        <f t="shared" si="6"/>
        <v>Costo eficiente: se está gastando menos de lo presupuestado</v>
      </c>
      <c r="AC13" s="26">
        <f t="shared" si="7"/>
        <v>0.58000000000000018</v>
      </c>
      <c r="AD13" s="26" t="str">
        <f t="shared" si="8"/>
        <v>Proyecto atrasado con respecto al cronograma</v>
      </c>
      <c r="AE13" s="27">
        <f t="shared" si="9"/>
        <v>0</v>
      </c>
      <c r="AF13" s="27">
        <f t="shared" si="10"/>
        <v>-3323223361</v>
      </c>
      <c r="AG13" s="28" t="str">
        <f>VLOOKUP(Indicador!E36,[1]Diccionario!C$1:AC$150,27,0)</f>
        <v>https://growdatasas.sharepoint.com/:x:/r/sites/Gestiondocumental/Administrativa/GD/Financiera/_layouts/15/Doc.aspx?sourcedoc=%7BB4DE39AF-1EC1-466C-A807-3FE95776A982%7D&amp;file=17012024%20INFOTIC%20DPC%20SOC%20V2.xlsm&amp;action=default&amp;mobileredirect=true</v>
      </c>
      <c r="AH13" s="28">
        <v>1</v>
      </c>
      <c r="AI13" s="28">
        <v>1</v>
      </c>
      <c r="AJ13" s="28" t="s">
        <v>46</v>
      </c>
      <c r="AK13" s="28"/>
    </row>
    <row r="14" spans="1:37" ht="18.75" customHeight="1" x14ac:dyDescent="0.25">
      <c r="A14" s="11">
        <v>2025</v>
      </c>
      <c r="B14" s="12" t="s">
        <v>37</v>
      </c>
      <c r="C14" s="10" t="s">
        <v>38</v>
      </c>
      <c r="D14" s="29">
        <v>45296.528889155095</v>
      </c>
      <c r="E14" s="15" t="s">
        <v>39</v>
      </c>
      <c r="F14" s="10" t="s">
        <v>40</v>
      </c>
      <c r="G14" s="10" t="s">
        <v>41</v>
      </c>
      <c r="H14" s="10" t="s">
        <v>42</v>
      </c>
      <c r="I14" s="10" t="s">
        <v>43</v>
      </c>
      <c r="J14" s="30" t="s">
        <v>44</v>
      </c>
      <c r="K14" s="10" t="s">
        <v>45</v>
      </c>
      <c r="L14" s="17">
        <f>VLOOKUP(E14,[1]Diccionario!C$2:AC$150,22,0)</f>
        <v>3323223361</v>
      </c>
      <c r="M14" s="18">
        <f>VLOOKUP(E14,[1]Diccionario!C$2:AC$150,24,0)</f>
        <v>45300</v>
      </c>
      <c r="N14" s="19">
        <f>VLOOKUP(E14,[1]Diccionario!C$2:AC$150,25,0)</f>
        <v>45473</v>
      </c>
      <c r="O14" s="20">
        <f>VLOOKUP(E14,[1]Diccionario!C$2:AC$150,26,0)</f>
        <v>5.7</v>
      </c>
      <c r="P14" s="20">
        <f t="shared" ca="1" si="0"/>
        <v>20.3</v>
      </c>
      <c r="Q14" s="20">
        <f t="shared" ca="1" si="11"/>
        <v>26</v>
      </c>
      <c r="R14" s="15">
        <v>6</v>
      </c>
      <c r="S14" s="21">
        <v>1</v>
      </c>
      <c r="T14" s="21">
        <f t="shared" si="12"/>
        <v>0.6000000000000002</v>
      </c>
      <c r="U14" s="22">
        <f>U13+TablaIndicador[[#This Row],[Costo Mensual]]</f>
        <v>0</v>
      </c>
      <c r="V14" s="31"/>
      <c r="W14" s="24">
        <f t="shared" si="1"/>
        <v>1993934016.6000006</v>
      </c>
      <c r="X14" s="24">
        <f t="shared" si="2"/>
        <v>3323223361</v>
      </c>
      <c r="Y14" s="24">
        <f t="shared" si="3"/>
        <v>1993934016.6000006</v>
      </c>
      <c r="Z14" s="24">
        <f t="shared" si="4"/>
        <v>-1329289344.3999994</v>
      </c>
      <c r="AA14" s="25" t="str">
        <f t="shared" si="5"/>
        <v>No se realizó gasto en este corte</v>
      </c>
      <c r="AB14" s="26" t="str">
        <f t="shared" si="6"/>
        <v>Costo eficiente: se está gastando menos de lo presupuestado</v>
      </c>
      <c r="AC14" s="26">
        <f t="shared" si="7"/>
        <v>0.6000000000000002</v>
      </c>
      <c r="AD14" s="26" t="str">
        <f t="shared" si="8"/>
        <v>Proyecto atrasado con respecto al cronograma</v>
      </c>
      <c r="AE14" s="27">
        <f t="shared" si="9"/>
        <v>0</v>
      </c>
      <c r="AF14" s="27">
        <f t="shared" si="10"/>
        <v>-3323223361</v>
      </c>
      <c r="AG14" s="28" t="str">
        <f>VLOOKUP(Indicador!E37,[1]Diccionario!C$1:AC$150,27,0)</f>
        <v>https://growdatasas.sharepoint.com/:x:/r/sites/Gestiondocumental/Administrativa/GD/Financiera/_layouts/15/Doc.aspx?sourcedoc=%7BB4DE39AF-1EC1-466C-A807-3FE95776A982%7D&amp;file=17012024%20INFOTIC%20DPC%20SOC%20V2.xlsm&amp;action=default&amp;mobileredirect=true</v>
      </c>
      <c r="AH14" s="28">
        <v>1</v>
      </c>
      <c r="AI14" s="28">
        <v>1</v>
      </c>
      <c r="AJ14" s="28"/>
      <c r="AK14" s="28"/>
    </row>
    <row r="15" spans="1:37" ht="18.75" customHeight="1" x14ac:dyDescent="0.25">
      <c r="A15" s="11">
        <v>2025</v>
      </c>
      <c r="B15" s="12" t="s">
        <v>47</v>
      </c>
      <c r="C15" s="10" t="s">
        <v>38</v>
      </c>
      <c r="D15" s="29">
        <v>45296.528889155095</v>
      </c>
      <c r="E15" s="15" t="s">
        <v>39</v>
      </c>
      <c r="F15" s="10" t="s">
        <v>40</v>
      </c>
      <c r="G15" s="10" t="s">
        <v>41</v>
      </c>
      <c r="H15" s="10" t="s">
        <v>42</v>
      </c>
      <c r="I15" s="10" t="s">
        <v>43</v>
      </c>
      <c r="J15" s="30" t="s">
        <v>44</v>
      </c>
      <c r="K15" s="10" t="s">
        <v>45</v>
      </c>
      <c r="L15" s="17">
        <f>VLOOKUP(E15,[1]Diccionario!C$2:AC$150,22,0)</f>
        <v>3323223361</v>
      </c>
      <c r="M15" s="18">
        <f>VLOOKUP(E15,[1]Diccionario!C$2:AC$150,24,0)</f>
        <v>45300</v>
      </c>
      <c r="N15" s="19">
        <f>VLOOKUP(E15,[1]Diccionario!C$2:AC$150,25,0)</f>
        <v>45473</v>
      </c>
      <c r="O15" s="20">
        <f>VLOOKUP(E15,[1]Diccionario!C$2:AC$150,26,0)</f>
        <v>5.7</v>
      </c>
      <c r="P15" s="20">
        <f t="shared" ca="1" si="0"/>
        <v>20.3</v>
      </c>
      <c r="Q15" s="20">
        <f t="shared" ca="1" si="11"/>
        <v>26</v>
      </c>
      <c r="R15" s="15">
        <v>6</v>
      </c>
      <c r="S15" s="21">
        <v>1</v>
      </c>
      <c r="T15" s="21">
        <f t="shared" si="12"/>
        <v>0.62000000000000022</v>
      </c>
      <c r="U15" s="22">
        <f>U14+TablaIndicador[[#This Row],[Costo Mensual]]</f>
        <v>0</v>
      </c>
      <c r="V15" s="31"/>
      <c r="W15" s="24">
        <f t="shared" si="1"/>
        <v>2060398483.8200006</v>
      </c>
      <c r="X15" s="24">
        <f t="shared" si="2"/>
        <v>3323223361</v>
      </c>
      <c r="Y15" s="24">
        <f t="shared" si="3"/>
        <v>2060398483.8200006</v>
      </c>
      <c r="Z15" s="24">
        <f t="shared" si="4"/>
        <v>-1262824877.1799994</v>
      </c>
      <c r="AA15" s="25" t="str">
        <f t="shared" si="5"/>
        <v>No se realizó gasto en este corte</v>
      </c>
      <c r="AB15" s="26" t="str">
        <f t="shared" si="6"/>
        <v>Costo eficiente: se está gastando menos de lo presupuestado</v>
      </c>
      <c r="AC15" s="26">
        <f t="shared" si="7"/>
        <v>0.62000000000000022</v>
      </c>
      <c r="AD15" s="26" t="str">
        <f t="shared" si="8"/>
        <v>Proyecto atrasado con respecto al cronograma</v>
      </c>
      <c r="AE15" s="27">
        <f t="shared" si="9"/>
        <v>0</v>
      </c>
      <c r="AF15" s="27">
        <f t="shared" si="10"/>
        <v>-3323223361</v>
      </c>
      <c r="AG15" s="28" t="str">
        <f>VLOOKUP(Indicador!E38,[1]Diccionario!C$1:AC$150,27,0)</f>
        <v>https://growdatasas.sharepoint.com/:x:/r/sites/Gestiondocumental/Administrativa/GD/Financiera/_layouts/15/Doc.aspx?sourcedoc=%7BB4DE39AF-1EC1-466C-A807-3FE95776A982%7D&amp;file=17012024%20INFOTIC%20DPC%20SOC%20V2.xlsm&amp;action=default&amp;mobileredirect=true</v>
      </c>
      <c r="AH15" s="28">
        <v>1</v>
      </c>
      <c r="AI15" s="28">
        <v>1</v>
      </c>
      <c r="AJ15" s="28"/>
      <c r="AK15" s="28"/>
    </row>
    <row r="16" spans="1:37" ht="18.75" customHeight="1" x14ac:dyDescent="0.25">
      <c r="A16" s="11">
        <v>2025</v>
      </c>
      <c r="B16" s="12" t="s">
        <v>48</v>
      </c>
      <c r="C16" s="10" t="s">
        <v>38</v>
      </c>
      <c r="D16" s="29">
        <v>45296.528889155095</v>
      </c>
      <c r="E16" s="15" t="s">
        <v>39</v>
      </c>
      <c r="F16" s="10" t="s">
        <v>40</v>
      </c>
      <c r="G16" s="10" t="s">
        <v>41</v>
      </c>
      <c r="H16" s="10" t="s">
        <v>42</v>
      </c>
      <c r="I16" s="10" t="s">
        <v>43</v>
      </c>
      <c r="J16" s="30" t="s">
        <v>44</v>
      </c>
      <c r="K16" s="10" t="s">
        <v>45</v>
      </c>
      <c r="L16" s="17">
        <f>VLOOKUP(E16,[1]Diccionario!C$2:AC$150,22,0)</f>
        <v>3323223361</v>
      </c>
      <c r="M16" s="18">
        <f>VLOOKUP(E16,[1]Diccionario!C$2:AC$150,24,0)</f>
        <v>45300</v>
      </c>
      <c r="N16" s="19">
        <f>VLOOKUP(E16,[1]Diccionario!C$2:AC$150,25,0)</f>
        <v>45473</v>
      </c>
      <c r="O16" s="20">
        <f>VLOOKUP(E16,[1]Diccionario!C$2:AC$150,26,0)</f>
        <v>5.7</v>
      </c>
      <c r="P16" s="20">
        <f t="shared" ca="1" si="0"/>
        <v>20.3</v>
      </c>
      <c r="Q16" s="20">
        <f t="shared" ca="1" si="11"/>
        <v>26</v>
      </c>
      <c r="R16" s="15">
        <v>6</v>
      </c>
      <c r="S16" s="21">
        <v>1</v>
      </c>
      <c r="T16" s="21">
        <f t="shared" si="12"/>
        <v>0.64000000000000024</v>
      </c>
      <c r="U16" s="22">
        <f>U15+TablaIndicador[[#This Row],[Costo Mensual]]</f>
        <v>0</v>
      </c>
      <c r="V16" s="31"/>
      <c r="W16" s="24">
        <f t="shared" si="1"/>
        <v>2126862951.0400007</v>
      </c>
      <c r="X16" s="24">
        <f t="shared" si="2"/>
        <v>3323223361</v>
      </c>
      <c r="Y16" s="24">
        <f t="shared" si="3"/>
        <v>2126862951.0400007</v>
      </c>
      <c r="Z16" s="24">
        <f t="shared" si="4"/>
        <v>-1196360409.9599993</v>
      </c>
      <c r="AA16" s="25" t="str">
        <f t="shared" si="5"/>
        <v>No se realizó gasto en este corte</v>
      </c>
      <c r="AB16" s="26" t="str">
        <f t="shared" si="6"/>
        <v>Costo eficiente: se está gastando menos de lo presupuestado</v>
      </c>
      <c r="AC16" s="26">
        <f t="shared" si="7"/>
        <v>0.64000000000000024</v>
      </c>
      <c r="AD16" s="26" t="str">
        <f t="shared" si="8"/>
        <v>Proyecto atrasado con respecto al cronograma</v>
      </c>
      <c r="AE16" s="27">
        <f t="shared" si="9"/>
        <v>0</v>
      </c>
      <c r="AF16" s="27">
        <f t="shared" si="10"/>
        <v>-3323223361</v>
      </c>
      <c r="AG16" s="28" t="str">
        <f>VLOOKUP(Indicador!E39,[1]Diccionario!C$1:AC$150,27,0)</f>
        <v>https://growdatasas.sharepoint.com/:x:/r/sites/Gestiondocumental/Administrativa/GD/Financiera/_layouts/15/Doc.aspx?sourcedoc=%7BB4DE39AF-1EC1-466C-A807-3FE95776A982%7D&amp;file=17012024%20INFOTIC%20DPC%20SOC%20V2.xlsm&amp;action=default&amp;mobileredirect=true</v>
      </c>
      <c r="AH16" s="28">
        <v>1</v>
      </c>
      <c r="AI16" s="28">
        <v>1</v>
      </c>
      <c r="AJ16" s="28"/>
      <c r="AK16" s="28"/>
    </row>
    <row r="17" spans="1:37" ht="18.75" customHeight="1" x14ac:dyDescent="0.25">
      <c r="A17" s="11">
        <v>2025</v>
      </c>
      <c r="B17" s="12" t="s">
        <v>49</v>
      </c>
      <c r="C17" s="10" t="s">
        <v>38</v>
      </c>
      <c r="D17" s="29">
        <v>45296.528889155095</v>
      </c>
      <c r="E17" s="15" t="s">
        <v>39</v>
      </c>
      <c r="F17" s="10" t="s">
        <v>40</v>
      </c>
      <c r="G17" s="10" t="s">
        <v>41</v>
      </c>
      <c r="H17" s="10" t="s">
        <v>42</v>
      </c>
      <c r="I17" s="10" t="s">
        <v>43</v>
      </c>
      <c r="J17" s="30" t="s">
        <v>44</v>
      </c>
      <c r="K17" s="13" t="s">
        <v>45</v>
      </c>
      <c r="L17" s="17">
        <f>VLOOKUP(E17,[1]Diccionario!C$2:AC$150,22,0)</f>
        <v>3323223361</v>
      </c>
      <c r="M17" s="18">
        <f>VLOOKUP(E17,[1]Diccionario!C$2:AC$150,24,0)</f>
        <v>45300</v>
      </c>
      <c r="N17" s="19">
        <f>VLOOKUP(E17,[1]Diccionario!C$2:AC$150,25,0)</f>
        <v>45473</v>
      </c>
      <c r="O17" s="20">
        <f>VLOOKUP(E17,[1]Diccionario!C$2:AC$150,26,0)</f>
        <v>5.7</v>
      </c>
      <c r="P17" s="20">
        <f t="shared" ca="1" si="0"/>
        <v>20.3</v>
      </c>
      <c r="Q17" s="20">
        <f t="shared" ca="1" si="11"/>
        <v>26</v>
      </c>
      <c r="R17" s="15">
        <v>6</v>
      </c>
      <c r="S17" s="21">
        <v>1</v>
      </c>
      <c r="T17" s="21">
        <f t="shared" si="12"/>
        <v>0.66000000000000025</v>
      </c>
      <c r="U17" s="22">
        <f>U16+TablaIndicador[[#This Row],[Costo Mensual]]</f>
        <v>0</v>
      </c>
      <c r="V17" s="31"/>
      <c r="W17" s="24">
        <f t="shared" si="1"/>
        <v>2193327418.2600007</v>
      </c>
      <c r="X17" s="24">
        <f t="shared" si="2"/>
        <v>3323223361</v>
      </c>
      <c r="Y17" s="24">
        <f t="shared" si="3"/>
        <v>2193327418.2600007</v>
      </c>
      <c r="Z17" s="24">
        <f t="shared" si="4"/>
        <v>-1129895942.7399993</v>
      </c>
      <c r="AA17" s="25" t="str">
        <f t="shared" si="5"/>
        <v>No se realizó gasto en este corte</v>
      </c>
      <c r="AB17" s="26" t="str">
        <f t="shared" si="6"/>
        <v>Costo eficiente: se está gastando menos de lo presupuestado</v>
      </c>
      <c r="AC17" s="26">
        <f t="shared" si="7"/>
        <v>0.66000000000000025</v>
      </c>
      <c r="AD17" s="26" t="str">
        <f t="shared" si="8"/>
        <v>Proyecto atrasado con respecto al cronograma</v>
      </c>
      <c r="AE17" s="27">
        <f t="shared" si="9"/>
        <v>0</v>
      </c>
      <c r="AF17" s="27">
        <f t="shared" si="10"/>
        <v>-3323223361</v>
      </c>
      <c r="AG17" s="28" t="str">
        <f>VLOOKUP(Indicador!E40,[1]Diccionario!C$1:AC$150,27,0)</f>
        <v>https://growdatasas.sharepoint.com/:x:/r/sites/Gestiondocumental/Administrativa/GD/Financiera/_layouts/15/Doc.aspx?sourcedoc=%7BB4DE39AF-1EC1-466C-A807-3FE95776A982%7D&amp;file=17012024%20INFOTIC%20DPC%20SOC%20V2.xlsm&amp;action=default&amp;mobileredirect=true</v>
      </c>
      <c r="AH17" s="28">
        <v>1</v>
      </c>
      <c r="AI17" s="28">
        <v>1</v>
      </c>
      <c r="AJ17" s="28"/>
      <c r="AK17" s="28"/>
    </row>
    <row r="18" spans="1:37" ht="18.75" customHeight="1" x14ac:dyDescent="0.25">
      <c r="A18" s="11">
        <v>2025</v>
      </c>
      <c r="B18" s="12" t="s">
        <v>50</v>
      </c>
      <c r="C18" s="10" t="s">
        <v>38</v>
      </c>
      <c r="D18" s="29">
        <v>45296.528889155095</v>
      </c>
      <c r="E18" s="15" t="s">
        <v>39</v>
      </c>
      <c r="F18" s="10" t="s">
        <v>40</v>
      </c>
      <c r="G18" s="10" t="s">
        <v>41</v>
      </c>
      <c r="H18" s="10" t="s">
        <v>42</v>
      </c>
      <c r="I18" s="10" t="s">
        <v>43</v>
      </c>
      <c r="J18" s="30" t="s">
        <v>44</v>
      </c>
      <c r="K18" s="13" t="s">
        <v>45</v>
      </c>
      <c r="L18" s="17">
        <f>VLOOKUP(E18,[1]Diccionario!C$2:AC$150,22,0)</f>
        <v>3323223361</v>
      </c>
      <c r="M18" s="18">
        <f>VLOOKUP(E18,[1]Diccionario!C$2:AC$150,24,0)</f>
        <v>45300</v>
      </c>
      <c r="N18" s="19">
        <f>VLOOKUP(E18,[1]Diccionario!C$2:AC$150,25,0)</f>
        <v>45473</v>
      </c>
      <c r="O18" s="20">
        <f>VLOOKUP(E18,[1]Diccionario!C$2:AC$150,26,0)</f>
        <v>5.7</v>
      </c>
      <c r="P18" s="20">
        <f t="shared" ca="1" si="0"/>
        <v>20.3</v>
      </c>
      <c r="Q18" s="20">
        <f t="shared" ca="1" si="11"/>
        <v>26</v>
      </c>
      <c r="R18" s="15">
        <v>6</v>
      </c>
      <c r="S18" s="21">
        <v>1</v>
      </c>
      <c r="T18" s="21">
        <f t="shared" si="12"/>
        <v>0.68000000000000027</v>
      </c>
      <c r="U18" s="22">
        <f>U17+TablaIndicador[[#This Row],[Costo Mensual]]</f>
        <v>0</v>
      </c>
      <c r="V18" s="31"/>
      <c r="W18" s="24">
        <f t="shared" si="1"/>
        <v>2259791885.480001</v>
      </c>
      <c r="X18" s="24">
        <f t="shared" si="2"/>
        <v>3323223361</v>
      </c>
      <c r="Y18" s="24">
        <f t="shared" si="3"/>
        <v>2259791885.480001</v>
      </c>
      <c r="Z18" s="24">
        <f t="shared" si="4"/>
        <v>-1063431475.519999</v>
      </c>
      <c r="AA18" s="25" t="str">
        <f t="shared" si="5"/>
        <v>No se realizó gasto en este corte</v>
      </c>
      <c r="AB18" s="26" t="str">
        <f t="shared" si="6"/>
        <v>Costo eficiente: se está gastando menos de lo presupuestado</v>
      </c>
      <c r="AC18" s="26">
        <f t="shared" si="7"/>
        <v>0.68000000000000027</v>
      </c>
      <c r="AD18" s="26" t="str">
        <f t="shared" si="8"/>
        <v>Proyecto atrasado con respecto al cronograma</v>
      </c>
      <c r="AE18" s="27">
        <f t="shared" si="9"/>
        <v>0</v>
      </c>
      <c r="AF18" s="27">
        <f t="shared" si="10"/>
        <v>-3323223361</v>
      </c>
      <c r="AG18" s="28" t="str">
        <f>VLOOKUP(Indicador!E41,[1]Diccionario!C$1:AC$150,27,0)</f>
        <v>https://growdatasas.sharepoint.com/:x:/r/sites/Gestiondocumental/Administrativa/GD/Financiera/_layouts/15/Doc.aspx?sourcedoc=%7BB4DE39AF-1EC1-466C-A807-3FE95776A982%7D&amp;file=17012024%20INFOTIC%20DPC%20SOC%20V2.xlsm&amp;action=default&amp;mobileredirect=true</v>
      </c>
      <c r="AH18" s="28">
        <v>1</v>
      </c>
      <c r="AI18" s="28">
        <v>1</v>
      </c>
      <c r="AJ18" s="28"/>
      <c r="AK18" s="28"/>
    </row>
    <row r="19" spans="1:37" ht="18.75" customHeight="1" x14ac:dyDescent="0.25">
      <c r="A19" s="11">
        <v>2025</v>
      </c>
      <c r="B19" s="12" t="s">
        <v>51</v>
      </c>
      <c r="C19" s="10" t="s">
        <v>38</v>
      </c>
      <c r="D19" s="29">
        <v>45296.528889155095</v>
      </c>
      <c r="E19" s="15" t="s">
        <v>39</v>
      </c>
      <c r="F19" s="10" t="s">
        <v>40</v>
      </c>
      <c r="G19" s="10" t="s">
        <v>41</v>
      </c>
      <c r="H19" s="10" t="s">
        <v>42</v>
      </c>
      <c r="I19" s="10" t="s">
        <v>43</v>
      </c>
      <c r="J19" s="30" t="s">
        <v>44</v>
      </c>
      <c r="K19" s="13" t="s">
        <v>45</v>
      </c>
      <c r="L19" s="17">
        <f>VLOOKUP(E19,[1]Diccionario!C$2:AC$150,22,0)</f>
        <v>3323223361</v>
      </c>
      <c r="M19" s="18">
        <f>VLOOKUP(E19,[1]Diccionario!C$2:AC$150,24,0)</f>
        <v>45300</v>
      </c>
      <c r="N19" s="19">
        <f>VLOOKUP(E19,[1]Diccionario!C$2:AC$150,25,0)</f>
        <v>45473</v>
      </c>
      <c r="O19" s="20">
        <f>VLOOKUP(E19,[1]Diccionario!C$2:AC$150,26,0)</f>
        <v>5.7</v>
      </c>
      <c r="P19" s="20">
        <f t="shared" ca="1" si="0"/>
        <v>20.3</v>
      </c>
      <c r="Q19" s="20">
        <f t="shared" ca="1" si="11"/>
        <v>26</v>
      </c>
      <c r="R19" s="15">
        <v>6</v>
      </c>
      <c r="S19" s="21">
        <v>1</v>
      </c>
      <c r="T19" s="21">
        <f t="shared" si="12"/>
        <v>0.70000000000000029</v>
      </c>
      <c r="U19" s="22">
        <f>U18+TablaIndicador[[#This Row],[Costo Mensual]]</f>
        <v>0</v>
      </c>
      <c r="V19" s="24"/>
      <c r="W19" s="24">
        <f t="shared" si="1"/>
        <v>2326256352.7000008</v>
      </c>
      <c r="X19" s="24">
        <f t="shared" si="2"/>
        <v>3323223361</v>
      </c>
      <c r="Y19" s="24">
        <f t="shared" si="3"/>
        <v>2326256352.7000008</v>
      </c>
      <c r="Z19" s="24">
        <f t="shared" si="4"/>
        <v>-996967008.29999924</v>
      </c>
      <c r="AA19" s="25" t="str">
        <f t="shared" si="5"/>
        <v>No se realizó gasto en este corte</v>
      </c>
      <c r="AB19" s="26" t="str">
        <f t="shared" si="6"/>
        <v>Costo eficiente: se está gastando menos de lo presupuestado</v>
      </c>
      <c r="AC19" s="26">
        <f t="shared" si="7"/>
        <v>0.70000000000000018</v>
      </c>
      <c r="AD19" s="26" t="str">
        <f t="shared" si="8"/>
        <v>Proyecto atrasado con respecto al cronograma</v>
      </c>
      <c r="AE19" s="27">
        <f t="shared" si="9"/>
        <v>0</v>
      </c>
      <c r="AF19" s="27">
        <f t="shared" si="10"/>
        <v>-3323223361</v>
      </c>
      <c r="AG19" s="28" t="str">
        <f>VLOOKUP(Indicador!E42,[1]Diccionario!C$1:AC$150,27,0)</f>
        <v>https://growdatasas.sharepoint.com/:x:/r/sites/Gestiondocumental/Administrativa/GD/Financiera/_layouts/15/Doc.aspx?sourcedoc=%7B453B6AA8-B631-4722-B916-8323F8C43E87%7D&amp;file=315%20CORP%20COLOMBIA%20DIGITAL%20FNA%20AE.xlsm&amp;action=default&amp;mobileredirect=true</v>
      </c>
      <c r="AH19" s="28">
        <v>1</v>
      </c>
      <c r="AI19" s="28">
        <v>1</v>
      </c>
      <c r="AJ19" s="28"/>
      <c r="AK19" s="28"/>
    </row>
    <row r="20" spans="1:37" ht="18.75" customHeight="1" x14ac:dyDescent="0.25">
      <c r="A20" s="11">
        <v>2025</v>
      </c>
      <c r="B20" s="12" t="s">
        <v>52</v>
      </c>
      <c r="C20" s="10" t="s">
        <v>38</v>
      </c>
      <c r="D20" s="29">
        <v>45296.528889155095</v>
      </c>
      <c r="E20" s="15" t="s">
        <v>39</v>
      </c>
      <c r="F20" s="10" t="s">
        <v>40</v>
      </c>
      <c r="G20" s="10" t="s">
        <v>41</v>
      </c>
      <c r="H20" s="10" t="s">
        <v>42</v>
      </c>
      <c r="I20" s="10" t="s">
        <v>43</v>
      </c>
      <c r="J20" s="30" t="s">
        <v>44</v>
      </c>
      <c r="K20" s="13" t="s">
        <v>45</v>
      </c>
      <c r="L20" s="17">
        <f>VLOOKUP(E20,[1]Diccionario!C$2:AC$150,22,0)</f>
        <v>3323223361</v>
      </c>
      <c r="M20" s="18">
        <f>VLOOKUP(E20,[1]Diccionario!C$2:AC$150,24,0)</f>
        <v>45300</v>
      </c>
      <c r="N20" s="19">
        <f>VLOOKUP(E20,[1]Diccionario!C$2:AC$150,25,0)</f>
        <v>45473</v>
      </c>
      <c r="O20" s="20">
        <f>VLOOKUP(E20,[1]Diccionario!C$2:AC$150,26,0)</f>
        <v>5.7</v>
      </c>
      <c r="P20" s="20">
        <f t="shared" ca="1" si="0"/>
        <v>20.3</v>
      </c>
      <c r="Q20" s="20">
        <f t="shared" ca="1" si="11"/>
        <v>26</v>
      </c>
      <c r="R20" s="15">
        <v>6</v>
      </c>
      <c r="S20" s="21">
        <v>1</v>
      </c>
      <c r="T20" s="21">
        <f t="shared" si="12"/>
        <v>0.72000000000000031</v>
      </c>
      <c r="U20" s="22">
        <f>U19+TablaIndicador[[#This Row],[Costo Mensual]]</f>
        <v>0</v>
      </c>
      <c r="V20" s="24"/>
      <c r="W20" s="24">
        <f t="shared" si="1"/>
        <v>2392720819.920001</v>
      </c>
      <c r="X20" s="24">
        <f t="shared" si="2"/>
        <v>3323223361</v>
      </c>
      <c r="Y20" s="24">
        <f t="shared" si="3"/>
        <v>2392720819.920001</v>
      </c>
      <c r="Z20" s="24">
        <f t="shared" si="4"/>
        <v>-930502541.07999897</v>
      </c>
      <c r="AA20" s="25" t="str">
        <f t="shared" si="5"/>
        <v>No se realizó gasto en este corte</v>
      </c>
      <c r="AB20" s="26" t="str">
        <f t="shared" si="6"/>
        <v>Costo eficiente: se está gastando menos de lo presupuestado</v>
      </c>
      <c r="AC20" s="26">
        <f t="shared" si="7"/>
        <v>0.72000000000000031</v>
      </c>
      <c r="AD20" s="26" t="str">
        <f t="shared" si="8"/>
        <v>Proyecto atrasado con respecto al cronograma</v>
      </c>
      <c r="AE20" s="27">
        <f t="shared" si="9"/>
        <v>0</v>
      </c>
      <c r="AF20" s="27">
        <f t="shared" si="10"/>
        <v>-3323223361</v>
      </c>
      <c r="AG20" s="28" t="str">
        <f>VLOOKUP(Indicador!E43,[1]Diccionario!C$1:AC$150,27,0)</f>
        <v>https://growdatasas.sharepoint.com/:x:/r/sites/Gestiondocumental/Administrativa/GD/Financiera/_layouts/15/Doc.aspx?sourcedoc=%7B453B6AA8-B631-4722-B916-8323F8C43E87%7D&amp;file=315%20CORP%20COLOMBIA%20DIGITAL%20FNA%20AE.xlsm&amp;action=default&amp;mobileredirect=true</v>
      </c>
      <c r="AH20" s="28">
        <v>1</v>
      </c>
      <c r="AI20" s="28">
        <v>1</v>
      </c>
      <c r="AJ20" s="28"/>
      <c r="AK20" s="28"/>
    </row>
    <row r="21" spans="1:37" ht="18.75" customHeight="1" x14ac:dyDescent="0.25">
      <c r="A21" s="11">
        <v>2025</v>
      </c>
      <c r="B21" s="12" t="s">
        <v>53</v>
      </c>
      <c r="C21" s="10" t="s">
        <v>38</v>
      </c>
      <c r="D21" s="29">
        <v>45296.528889155095</v>
      </c>
      <c r="E21" s="15" t="s">
        <v>39</v>
      </c>
      <c r="F21" s="10" t="s">
        <v>40</v>
      </c>
      <c r="G21" s="10" t="s">
        <v>41</v>
      </c>
      <c r="H21" s="10" t="s">
        <v>42</v>
      </c>
      <c r="I21" s="10" t="s">
        <v>43</v>
      </c>
      <c r="J21" s="30" t="s">
        <v>44</v>
      </c>
      <c r="K21" s="13" t="s">
        <v>45</v>
      </c>
      <c r="L21" s="17">
        <f>VLOOKUP(E21,[1]Diccionario!C$2:AC$150,22,0)</f>
        <v>3323223361</v>
      </c>
      <c r="M21" s="18">
        <f>VLOOKUP(E21,[1]Diccionario!C$2:AC$150,24,0)</f>
        <v>45300</v>
      </c>
      <c r="N21" s="19">
        <f>VLOOKUP(E21,[1]Diccionario!C$2:AC$150,25,0)</f>
        <v>45473</v>
      </c>
      <c r="O21" s="20">
        <f>VLOOKUP(E21,[1]Diccionario!C$2:AC$150,26,0)</f>
        <v>5.7</v>
      </c>
      <c r="P21" s="20">
        <f t="shared" ca="1" si="0"/>
        <v>20.3</v>
      </c>
      <c r="Q21" s="20">
        <f t="shared" ca="1" si="11"/>
        <v>26</v>
      </c>
      <c r="R21" s="15">
        <v>6</v>
      </c>
      <c r="S21" s="21">
        <v>1</v>
      </c>
      <c r="T21" s="21">
        <f t="shared" si="12"/>
        <v>0.74000000000000032</v>
      </c>
      <c r="U21" s="22">
        <f>U20+TablaIndicador[[#This Row],[Costo Mensual]]</f>
        <v>0</v>
      </c>
      <c r="V21" s="24"/>
      <c r="W21" s="24">
        <f t="shared" si="1"/>
        <v>2459185287.1400013</v>
      </c>
      <c r="X21" s="24">
        <f t="shared" si="2"/>
        <v>3323223361</v>
      </c>
      <c r="Y21" s="24">
        <f t="shared" si="3"/>
        <v>2459185287.1400013</v>
      </c>
      <c r="Z21" s="24">
        <f t="shared" si="4"/>
        <v>-864038073.8599987</v>
      </c>
      <c r="AA21" s="25" t="str">
        <f t="shared" si="5"/>
        <v>No se realizó gasto en este corte</v>
      </c>
      <c r="AB21" s="26" t="str">
        <f t="shared" si="6"/>
        <v>Costo eficiente: se está gastando menos de lo presupuestado</v>
      </c>
      <c r="AC21" s="26">
        <f t="shared" si="7"/>
        <v>0.74000000000000044</v>
      </c>
      <c r="AD21" s="26" t="str">
        <f t="shared" si="8"/>
        <v>Proyecto atrasado con respecto al cronograma</v>
      </c>
      <c r="AE21" s="27">
        <f t="shared" si="9"/>
        <v>0</v>
      </c>
      <c r="AF21" s="27">
        <f t="shared" si="10"/>
        <v>-3323223361</v>
      </c>
      <c r="AG21" s="28" t="str">
        <f>VLOOKUP(Indicador!E44,[1]Diccionario!C$1:AC$150,27,0)</f>
        <v>https://growdatasas.sharepoint.com/:x:/r/sites/Gestiondocumental/Administrativa/GD/Financiera/_layouts/15/Doc.aspx?sourcedoc=%7B453B6AA8-B631-4722-B916-8323F8C43E87%7D&amp;file=315%20CORP%20COLOMBIA%20DIGITAL%20FNA%20AE.xlsm&amp;action=default&amp;mobileredirect=true</v>
      </c>
      <c r="AH21" s="28">
        <v>1</v>
      </c>
      <c r="AI21" s="28">
        <v>1</v>
      </c>
      <c r="AJ21" s="28"/>
      <c r="AK21" s="28"/>
    </row>
    <row r="22" spans="1:37" ht="18.75" customHeight="1" x14ac:dyDescent="0.25">
      <c r="A22" s="11">
        <v>2025</v>
      </c>
      <c r="B22" s="12" t="s">
        <v>54</v>
      </c>
      <c r="C22" s="10" t="s">
        <v>38</v>
      </c>
      <c r="D22" s="29">
        <v>45296.528889155095</v>
      </c>
      <c r="E22" s="15" t="s">
        <v>39</v>
      </c>
      <c r="F22" s="10" t="s">
        <v>40</v>
      </c>
      <c r="G22" s="10" t="s">
        <v>41</v>
      </c>
      <c r="H22" s="10" t="s">
        <v>42</v>
      </c>
      <c r="I22" s="10" t="s">
        <v>43</v>
      </c>
      <c r="J22" s="30" t="s">
        <v>44</v>
      </c>
      <c r="K22" s="13" t="s">
        <v>45</v>
      </c>
      <c r="L22" s="17">
        <f>VLOOKUP(E22,[1]Diccionario!C$2:AC$150,22,0)</f>
        <v>3323223361</v>
      </c>
      <c r="M22" s="18">
        <f>VLOOKUP(E22,[1]Diccionario!C$2:AC$150,24,0)</f>
        <v>45300</v>
      </c>
      <c r="N22" s="19">
        <f>VLOOKUP(E22,[1]Diccionario!C$2:AC$150,25,0)</f>
        <v>45473</v>
      </c>
      <c r="O22" s="20">
        <f>VLOOKUP(E22,[1]Diccionario!C$2:AC$150,26,0)</f>
        <v>5.7</v>
      </c>
      <c r="P22" s="20">
        <f t="shared" ca="1" si="0"/>
        <v>20.3</v>
      </c>
      <c r="Q22" s="20">
        <f t="shared" ca="1" si="11"/>
        <v>26</v>
      </c>
      <c r="R22" s="15">
        <v>6</v>
      </c>
      <c r="S22" s="21">
        <v>1</v>
      </c>
      <c r="T22" s="21">
        <f t="shared" si="12"/>
        <v>0.76000000000000034</v>
      </c>
      <c r="U22" s="22">
        <f>U21+TablaIndicador[[#This Row],[Costo Mensual]]</f>
        <v>0</v>
      </c>
      <c r="V22" s="31"/>
      <c r="W22" s="24">
        <f t="shared" si="1"/>
        <v>2525649754.3600011</v>
      </c>
      <c r="X22" s="24">
        <f t="shared" si="2"/>
        <v>3323223361</v>
      </c>
      <c r="Y22" s="24">
        <f t="shared" si="3"/>
        <v>2525649754.3600011</v>
      </c>
      <c r="Z22" s="24">
        <f t="shared" si="4"/>
        <v>-797573606.63999891</v>
      </c>
      <c r="AA22" s="25" t="str">
        <f t="shared" si="5"/>
        <v>No se realizó gasto en este corte</v>
      </c>
      <c r="AB22" s="26" t="str">
        <f t="shared" si="6"/>
        <v>Costo eficiente: se está gastando menos de lo presupuestado</v>
      </c>
      <c r="AC22" s="26">
        <f t="shared" si="7"/>
        <v>0.76000000000000034</v>
      </c>
      <c r="AD22" s="26" t="str">
        <f t="shared" si="8"/>
        <v>Proyecto atrasado con respecto al cronograma</v>
      </c>
      <c r="AE22" s="27">
        <f t="shared" si="9"/>
        <v>0</v>
      </c>
      <c r="AF22" s="27">
        <f t="shared" si="10"/>
        <v>-3323223361</v>
      </c>
      <c r="AG22" s="28" t="str">
        <f>VLOOKUP(Indicador!E45,[1]Diccionario!C$1:AC$150,27,0)</f>
        <v>https://growdatasas.sharepoint.com/:x:/r/sites/Gestiondocumental/Administrativa/GD/Financiera/_layouts/15/Doc.aspx?sourcedoc=%7B453B6AA8-B631-4722-B916-8323F8C43E87%7D&amp;file=315%20CORP%20COLOMBIA%20DIGITAL%20FNA%20AE.xlsm&amp;action=default&amp;mobileredirect=true</v>
      </c>
      <c r="AH22" s="28">
        <v>1</v>
      </c>
      <c r="AI22" s="28">
        <v>1</v>
      </c>
      <c r="AJ22" s="28"/>
      <c r="AK22" s="28"/>
    </row>
    <row r="23" spans="1:37" ht="18.75" customHeight="1" x14ac:dyDescent="0.25">
      <c r="A23" s="32">
        <v>2025</v>
      </c>
      <c r="B23" s="12" t="s">
        <v>55</v>
      </c>
      <c r="C23" s="10" t="s">
        <v>38</v>
      </c>
      <c r="D23" s="29">
        <v>45296.528889155095</v>
      </c>
      <c r="E23" s="15" t="s">
        <v>39</v>
      </c>
      <c r="F23" s="10" t="s">
        <v>40</v>
      </c>
      <c r="G23" s="10" t="s">
        <v>41</v>
      </c>
      <c r="H23" s="10" t="s">
        <v>42</v>
      </c>
      <c r="I23" s="10" t="s">
        <v>43</v>
      </c>
      <c r="J23" s="30" t="s">
        <v>44</v>
      </c>
      <c r="K23" s="13" t="s">
        <v>45</v>
      </c>
      <c r="L23" s="17">
        <f>VLOOKUP(E23,[1]Diccionario!C$2:AC$150,22,0)</f>
        <v>3323223361</v>
      </c>
      <c r="M23" s="18">
        <f>VLOOKUP(E23,[1]Diccionario!C$2:AC$150,24,0)</f>
        <v>45300</v>
      </c>
      <c r="N23" s="19">
        <f>VLOOKUP(E23,[1]Diccionario!C$2:AC$150,25,0)</f>
        <v>45473</v>
      </c>
      <c r="O23" s="20">
        <f>VLOOKUP(E23,[1]Diccionario!C$2:AC$150,26,0)</f>
        <v>5.7</v>
      </c>
      <c r="P23" s="20">
        <f t="shared" ca="1" si="0"/>
        <v>20.3</v>
      </c>
      <c r="Q23" s="20">
        <f t="shared" ca="1" si="11"/>
        <v>26</v>
      </c>
      <c r="R23" s="15">
        <v>6</v>
      </c>
      <c r="S23" s="21">
        <v>1</v>
      </c>
      <c r="T23" s="21">
        <f t="shared" si="12"/>
        <v>0.78000000000000036</v>
      </c>
      <c r="U23" s="22">
        <f>U22+TablaIndicador[[#This Row],[Costo Mensual]]</f>
        <v>0</v>
      </c>
      <c r="V23" s="24"/>
      <c r="W23" s="24">
        <f t="shared" si="1"/>
        <v>2592114221.5800014</v>
      </c>
      <c r="X23" s="24">
        <f t="shared" si="2"/>
        <v>3323223361</v>
      </c>
      <c r="Y23" s="24">
        <f t="shared" si="3"/>
        <v>2592114221.5800014</v>
      </c>
      <c r="Z23" s="24">
        <f t="shared" si="4"/>
        <v>-731109139.41999865</v>
      </c>
      <c r="AA23" s="25" t="str">
        <f t="shared" si="5"/>
        <v>No se realizó gasto en este corte</v>
      </c>
      <c r="AB23" s="26" t="str">
        <f t="shared" si="6"/>
        <v>Costo eficiente: se está gastando menos de lo presupuestado</v>
      </c>
      <c r="AC23" s="26">
        <f t="shared" si="7"/>
        <v>0.78000000000000036</v>
      </c>
      <c r="AD23" s="26" t="str">
        <f t="shared" si="8"/>
        <v>Proyecto atrasado con respecto al cronograma</v>
      </c>
      <c r="AE23" s="27">
        <f t="shared" si="9"/>
        <v>0</v>
      </c>
      <c r="AF23" s="27">
        <f t="shared" si="10"/>
        <v>-3323223361</v>
      </c>
      <c r="AG23" s="28" t="str">
        <f>VLOOKUP(Indicador!E46,[1]Diccionario!C$1:AC$150,27,0)</f>
        <v>https://growdatasas.sharepoint.com/:x:/r/sites/Gestiondocumental/Administrativa/GD/Financiera/_layouts/15/Doc.aspx?sourcedoc=%7B453B6AA8-B631-4722-B916-8323F8C43E87%7D&amp;file=315%20CORP%20COLOMBIA%20DIGITAL%20FNA%20AE.xlsm&amp;action=default&amp;mobileredirect=true</v>
      </c>
      <c r="AH23" s="28">
        <v>1</v>
      </c>
      <c r="AI23" s="28">
        <v>1</v>
      </c>
      <c r="AJ23" s="28"/>
      <c r="AK23" s="28"/>
    </row>
    <row r="24" spans="1:37" ht="18.75" customHeight="1" x14ac:dyDescent="0.25">
      <c r="A24" s="32">
        <v>2025</v>
      </c>
      <c r="B24" s="12" t="s">
        <v>56</v>
      </c>
      <c r="C24" s="10" t="s">
        <v>38</v>
      </c>
      <c r="D24" s="29">
        <v>45296.528889155095</v>
      </c>
      <c r="E24" s="15" t="s">
        <v>39</v>
      </c>
      <c r="F24" s="10" t="s">
        <v>40</v>
      </c>
      <c r="G24" s="10" t="s">
        <v>41</v>
      </c>
      <c r="H24" s="10" t="s">
        <v>42</v>
      </c>
      <c r="I24" s="10" t="s">
        <v>43</v>
      </c>
      <c r="J24" s="30" t="s">
        <v>44</v>
      </c>
      <c r="K24" s="13" t="s">
        <v>45</v>
      </c>
      <c r="L24" s="17">
        <f>VLOOKUP(E24,[1]Diccionario!C$2:AC$150,22,0)</f>
        <v>3323223361</v>
      </c>
      <c r="M24" s="18">
        <f>VLOOKUP(E24,[1]Diccionario!C$2:AC$150,24,0)</f>
        <v>45300</v>
      </c>
      <c r="N24" s="19">
        <f>VLOOKUP(E24,[1]Diccionario!C$2:AC$150,25,0)</f>
        <v>45473</v>
      </c>
      <c r="O24" s="20">
        <f>VLOOKUP(E24,[1]Diccionario!C$2:AC$150,26,0)</f>
        <v>5.7</v>
      </c>
      <c r="P24" s="20">
        <f t="shared" ca="1" si="0"/>
        <v>20.3</v>
      </c>
      <c r="Q24" s="20">
        <f t="shared" ca="1" si="11"/>
        <v>26</v>
      </c>
      <c r="R24" s="15">
        <v>6</v>
      </c>
      <c r="S24" s="21">
        <v>1</v>
      </c>
      <c r="T24" s="21">
        <f t="shared" si="12"/>
        <v>0.80000000000000038</v>
      </c>
      <c r="U24" s="22">
        <f>U23+TablaIndicador[[#This Row],[Costo Mensual]]</f>
        <v>0</v>
      </c>
      <c r="V24" s="24"/>
      <c r="W24" s="24">
        <f t="shared" si="1"/>
        <v>2658578688.8000011</v>
      </c>
      <c r="X24" s="24">
        <f t="shared" si="2"/>
        <v>3323223361</v>
      </c>
      <c r="Y24" s="24">
        <f t="shared" si="3"/>
        <v>2658578688.8000011</v>
      </c>
      <c r="Z24" s="24">
        <f t="shared" si="4"/>
        <v>-664644672.19999886</v>
      </c>
      <c r="AA24" s="25" t="str">
        <f t="shared" si="5"/>
        <v>No se realizó gasto en este corte</v>
      </c>
      <c r="AB24" s="26" t="str">
        <f t="shared" si="6"/>
        <v>Costo eficiente: se está gastando menos de lo presupuestado</v>
      </c>
      <c r="AC24" s="26">
        <f t="shared" si="7"/>
        <v>0.80000000000000038</v>
      </c>
      <c r="AD24" s="26" t="str">
        <f t="shared" si="8"/>
        <v>Proyecto atrasado con respecto al cronograma</v>
      </c>
      <c r="AE24" s="27">
        <f t="shared" si="9"/>
        <v>0</v>
      </c>
      <c r="AF24" s="27">
        <f t="shared" si="10"/>
        <v>-3323223361</v>
      </c>
      <c r="AG24" s="28" t="str">
        <f>VLOOKUP(Indicador!E47,[1]Diccionario!C$1:AC$150,27,0)</f>
        <v>https://growdatasas.sharepoint.com/:x:/r/sites/Gestiondocumental/Administrativa/GD/Financiera/_layouts/15/Doc.aspx?sourcedoc=%7B453B6AA8-B631-4722-B916-8323F8C43E87%7D&amp;file=315%20CORP%20COLOMBIA%20DIGITAL%20FNA%20AE.xlsm&amp;action=default&amp;mobileredirect=true</v>
      </c>
      <c r="AH24" s="28">
        <v>1</v>
      </c>
      <c r="AI24" s="28">
        <v>1</v>
      </c>
      <c r="AJ24" s="28"/>
      <c r="AK24" s="28"/>
    </row>
    <row r="25" spans="1:37" ht="18.75" customHeight="1" x14ac:dyDescent="0.25">
      <c r="A25" s="11">
        <v>2025</v>
      </c>
      <c r="B25" s="12" t="s">
        <v>57</v>
      </c>
      <c r="C25" s="10" t="s">
        <v>38</v>
      </c>
      <c r="D25" s="29">
        <v>45296.528889155095</v>
      </c>
      <c r="E25" s="15" t="s">
        <v>39</v>
      </c>
      <c r="F25" s="10" t="s">
        <v>40</v>
      </c>
      <c r="G25" s="10" t="s">
        <v>41</v>
      </c>
      <c r="H25" s="10" t="s">
        <v>42</v>
      </c>
      <c r="I25" s="10" t="s">
        <v>43</v>
      </c>
      <c r="J25" s="30" t="s">
        <v>44</v>
      </c>
      <c r="K25" s="10" t="s">
        <v>45</v>
      </c>
      <c r="L25" s="17">
        <f>VLOOKUP(E25,[1]Diccionario!C$2:AC$150,22,0)</f>
        <v>3323223361</v>
      </c>
      <c r="M25" s="18">
        <f>VLOOKUP(E25,[1]Diccionario!C$2:AC$150,24,0)</f>
        <v>45300</v>
      </c>
      <c r="N25" s="19">
        <f>VLOOKUP(E25,[1]Diccionario!C$2:AC$150,25,0)</f>
        <v>45473</v>
      </c>
      <c r="O25" s="20">
        <f>VLOOKUP(E25,[1]Diccionario!C$2:AC$150,26,0)</f>
        <v>5.7</v>
      </c>
      <c r="P25" s="20">
        <f t="shared" ca="1" si="0"/>
        <v>20.3</v>
      </c>
      <c r="Q25" s="20">
        <f t="shared" ca="1" si="11"/>
        <v>26</v>
      </c>
      <c r="R25" s="15">
        <v>6</v>
      </c>
      <c r="S25" s="21">
        <v>1</v>
      </c>
      <c r="T25" s="21">
        <f t="shared" si="12"/>
        <v>0.8200000000000004</v>
      </c>
      <c r="U25" s="22">
        <f>U24+TablaIndicador[[#This Row],[Costo Mensual]]</f>
        <v>0</v>
      </c>
      <c r="V25" s="31"/>
      <c r="W25" s="24">
        <f t="shared" si="1"/>
        <v>2725043156.0200014</v>
      </c>
      <c r="X25" s="24">
        <f t="shared" si="2"/>
        <v>3323223361</v>
      </c>
      <c r="Y25" s="24">
        <f t="shared" si="3"/>
        <v>2725043156.0200014</v>
      </c>
      <c r="Z25" s="24">
        <f t="shared" si="4"/>
        <v>-598180204.97999859</v>
      </c>
      <c r="AA25" s="25" t="str">
        <f t="shared" si="5"/>
        <v>No se realizó gasto en este corte</v>
      </c>
      <c r="AB25" s="26" t="str">
        <f t="shared" si="6"/>
        <v>Costo eficiente: se está gastando menos de lo presupuestado</v>
      </c>
      <c r="AC25" s="26">
        <f t="shared" si="7"/>
        <v>0.8200000000000004</v>
      </c>
      <c r="AD25" s="26" t="str">
        <f t="shared" si="8"/>
        <v>Proyecto atrasado con respecto al cronograma</v>
      </c>
      <c r="AE25" s="27">
        <f t="shared" si="9"/>
        <v>0</v>
      </c>
      <c r="AF25" s="27">
        <f t="shared" si="10"/>
        <v>-3323223361</v>
      </c>
      <c r="AG25" s="28" t="str">
        <f>VLOOKUP(Indicador!E48,[1]Diccionario!C$1:AC$150,27,0)</f>
        <v>https://growdatasas.sharepoint.com/:x:/r/sites/Gestiondocumental/Administrativa/GD/Financiera/_layouts/15/Doc.aspx?sourcedoc=%7B453B6AA8-B631-4722-B916-8323F8C43E87%7D&amp;file=315%20CORP%20COLOMBIA%20DIGITAL%20FNA%20AE.xlsm&amp;action=default&amp;mobileredirect=true</v>
      </c>
      <c r="AH25" s="28">
        <v>1</v>
      </c>
      <c r="AI25" s="28">
        <v>1</v>
      </c>
      <c r="AJ25" s="28"/>
      <c r="AK25" s="28"/>
    </row>
    <row r="26" spans="1:37" ht="18.75" customHeight="1" x14ac:dyDescent="0.25">
      <c r="A26" s="11">
        <v>2026</v>
      </c>
      <c r="B26" s="12" t="s">
        <v>37</v>
      </c>
      <c r="C26" s="10" t="s">
        <v>38</v>
      </c>
      <c r="D26" s="29">
        <v>45296.528889155095</v>
      </c>
      <c r="E26" s="15" t="s">
        <v>39</v>
      </c>
      <c r="F26" s="10" t="s">
        <v>40</v>
      </c>
      <c r="G26" s="10" t="s">
        <v>41</v>
      </c>
      <c r="H26" s="10" t="s">
        <v>42</v>
      </c>
      <c r="I26" s="10" t="s">
        <v>43</v>
      </c>
      <c r="J26" s="30" t="s">
        <v>44</v>
      </c>
      <c r="K26" s="10" t="s">
        <v>45</v>
      </c>
      <c r="L26" s="17">
        <f>VLOOKUP(E26,[1]Diccionario!C$2:AC$150,22,0)</f>
        <v>3323223361</v>
      </c>
      <c r="M26" s="18">
        <f>VLOOKUP(E26,[1]Diccionario!C$2:AC$150,24,0)</f>
        <v>45300</v>
      </c>
      <c r="N26" s="19">
        <f>VLOOKUP(E26,[1]Diccionario!C$2:AC$150,25,0)</f>
        <v>45473</v>
      </c>
      <c r="O26" s="20">
        <f>VLOOKUP(E26,[1]Diccionario!C$2:AC$150,26,0)</f>
        <v>5.7</v>
      </c>
      <c r="P26" s="20">
        <f t="shared" ca="1" si="0"/>
        <v>20.3</v>
      </c>
      <c r="Q26" s="20">
        <f t="shared" ca="1" si="11"/>
        <v>26</v>
      </c>
      <c r="R26" s="15">
        <v>6</v>
      </c>
      <c r="S26" s="21">
        <v>1</v>
      </c>
      <c r="T26" s="21">
        <f t="shared" si="12"/>
        <v>0.84000000000000041</v>
      </c>
      <c r="U26" s="22">
        <f>U25+TablaIndicador[[#This Row],[Costo Mensual]]</f>
        <v>0</v>
      </c>
      <c r="V26" s="31"/>
      <c r="W26" s="24">
        <f t="shared" si="1"/>
        <v>2791507623.2400012</v>
      </c>
      <c r="X26" s="24">
        <f t="shared" si="2"/>
        <v>3323223361</v>
      </c>
      <c r="Y26" s="24">
        <f t="shared" si="3"/>
        <v>2791507623.2400012</v>
      </c>
      <c r="Z26" s="24">
        <f t="shared" si="4"/>
        <v>-531715737.7599988</v>
      </c>
      <c r="AA26" s="25" t="str">
        <f t="shared" si="5"/>
        <v>No se realizó gasto en este corte</v>
      </c>
      <c r="AB26" s="26" t="str">
        <f t="shared" si="6"/>
        <v>Costo eficiente: se está gastando menos de lo presupuestado</v>
      </c>
      <c r="AC26" s="26">
        <f t="shared" si="7"/>
        <v>0.84000000000000041</v>
      </c>
      <c r="AD26" s="26" t="str">
        <f t="shared" si="8"/>
        <v>Proyecto atrasado con respecto al cronograma</v>
      </c>
      <c r="AE26" s="27">
        <f t="shared" si="9"/>
        <v>0</v>
      </c>
      <c r="AF26" s="27">
        <f t="shared" si="10"/>
        <v>-3323223361</v>
      </c>
      <c r="AG26" s="28" t="str">
        <f>VLOOKUP(Indicador!E49,[1]Diccionario!C$1:AC$150,27,0)</f>
        <v>https://growdatasas.sharepoint.com/:x:/r/sites/Gestiondocumental/Administrativa/GD/Financiera/_layouts/15/Doc.aspx?sourcedoc=%7B453B6AA8-B631-4722-B916-8323F8C43E87%7D&amp;file=315%20CORP%20COLOMBIA%20DIGITAL%20FNA%20AE.xlsm&amp;action=default&amp;mobileredirect=true</v>
      </c>
      <c r="AH26" s="28">
        <v>1</v>
      </c>
      <c r="AI26" s="28">
        <v>1</v>
      </c>
      <c r="AJ26" s="28"/>
      <c r="AK26" s="28"/>
    </row>
    <row r="27" spans="1:37" ht="18.75" customHeight="1" x14ac:dyDescent="0.25">
      <c r="A27" s="11">
        <v>2026</v>
      </c>
      <c r="B27" s="12" t="s">
        <v>47</v>
      </c>
      <c r="C27" s="10" t="s">
        <v>38</v>
      </c>
      <c r="D27" s="29">
        <v>45296.528889155095</v>
      </c>
      <c r="E27" s="15" t="s">
        <v>39</v>
      </c>
      <c r="F27" s="10" t="s">
        <v>40</v>
      </c>
      <c r="G27" s="10" t="s">
        <v>41</v>
      </c>
      <c r="H27" s="10" t="s">
        <v>42</v>
      </c>
      <c r="I27" s="10" t="s">
        <v>43</v>
      </c>
      <c r="J27" s="30" t="s">
        <v>44</v>
      </c>
      <c r="K27" s="10" t="s">
        <v>45</v>
      </c>
      <c r="L27" s="17">
        <f>VLOOKUP(E27,[1]Diccionario!C$2:AC$150,22,0)</f>
        <v>3323223361</v>
      </c>
      <c r="M27" s="18">
        <f>VLOOKUP(E27,[1]Diccionario!C$2:AC$150,24,0)</f>
        <v>45300</v>
      </c>
      <c r="N27" s="19">
        <f>VLOOKUP(E27,[1]Diccionario!C$2:AC$150,25,0)</f>
        <v>45473</v>
      </c>
      <c r="O27" s="20">
        <f>VLOOKUP(E27,[1]Diccionario!C$2:AC$150,26,0)</f>
        <v>5.7</v>
      </c>
      <c r="P27" s="20">
        <f t="shared" ca="1" si="0"/>
        <v>20.3</v>
      </c>
      <c r="Q27" s="20">
        <f t="shared" ca="1" si="11"/>
        <v>26</v>
      </c>
      <c r="R27" s="15">
        <v>6</v>
      </c>
      <c r="S27" s="21">
        <v>1</v>
      </c>
      <c r="T27" s="21">
        <f t="shared" si="12"/>
        <v>0.86000000000000043</v>
      </c>
      <c r="U27" s="22">
        <f>U26+TablaIndicador[[#This Row],[Costo Mensual]]</f>
        <v>0</v>
      </c>
      <c r="V27" s="31"/>
      <c r="W27" s="24">
        <f t="shared" si="1"/>
        <v>2857972090.4600015</v>
      </c>
      <c r="X27" s="24">
        <f t="shared" si="2"/>
        <v>3323223361</v>
      </c>
      <c r="Y27" s="24">
        <f t="shared" si="3"/>
        <v>2857972090.4600015</v>
      </c>
      <c r="Z27" s="24">
        <f t="shared" si="4"/>
        <v>-465251270.53999853</v>
      </c>
      <c r="AA27" s="25" t="str">
        <f t="shared" si="5"/>
        <v>No se realizó gasto en este corte</v>
      </c>
      <c r="AB27" s="26" t="str">
        <f t="shared" si="6"/>
        <v>Costo eficiente: se está gastando menos de lo presupuestado</v>
      </c>
      <c r="AC27" s="26">
        <f t="shared" si="7"/>
        <v>0.86000000000000043</v>
      </c>
      <c r="AD27" s="26" t="str">
        <f t="shared" si="8"/>
        <v>Proyecto atrasado con respecto al cronograma</v>
      </c>
      <c r="AE27" s="27">
        <f t="shared" si="9"/>
        <v>0</v>
      </c>
      <c r="AF27" s="27">
        <f t="shared" si="10"/>
        <v>-3323223361</v>
      </c>
      <c r="AG27" s="28" t="str">
        <f>VLOOKUP(Indicador!E50,[1]Diccionario!C$1:AC$150,27,0)</f>
        <v>https://growdatasas.sharepoint.com/:x:/r/sites/Gestiondocumental/Administrativa/GD/Financiera/_layouts/15/Doc.aspx?sourcedoc=%7B453B6AA8-B631-4722-B916-8323F8C43E87%7D&amp;file=315%20CORP%20COLOMBIA%20DIGITAL%20FNA%20AE.xlsm&amp;action=default&amp;mobileredirect=true</v>
      </c>
      <c r="AH27" s="28">
        <v>1</v>
      </c>
      <c r="AI27" s="28">
        <v>1</v>
      </c>
      <c r="AJ27" s="28"/>
      <c r="AK27" s="28"/>
    </row>
    <row r="28" spans="1:37" ht="18.75" customHeight="1" x14ac:dyDescent="0.25">
      <c r="A28" s="11">
        <v>2024</v>
      </c>
      <c r="B28" s="12" t="s">
        <v>37</v>
      </c>
      <c r="C28" s="10" t="s">
        <v>58</v>
      </c>
      <c r="D28" s="29">
        <v>45307.653436655091</v>
      </c>
      <c r="E28" s="15" t="s">
        <v>59</v>
      </c>
      <c r="F28" s="10" t="s">
        <v>60</v>
      </c>
      <c r="G28" s="28" t="s">
        <v>61</v>
      </c>
      <c r="H28" s="10" t="s">
        <v>62</v>
      </c>
      <c r="I28" s="10" t="s">
        <v>63</v>
      </c>
      <c r="J28" s="30" t="s">
        <v>64</v>
      </c>
      <c r="K28" s="28" t="s">
        <v>65</v>
      </c>
      <c r="L28" s="17">
        <f>VLOOKUP(E28,[1]Diccionario!C$2:AC$150,22,0)</f>
        <v>970233948</v>
      </c>
      <c r="M28" s="18">
        <f>VLOOKUP(E28,[1]Diccionario!C$2:AC$150,24,0)</f>
        <v>45306</v>
      </c>
      <c r="N28" s="19">
        <f>VLOOKUP(E28,[1]Diccionario!C$2:AC$150,25,0)</f>
        <v>45412</v>
      </c>
      <c r="O28" s="20">
        <f>VLOOKUP(E28,[1]Diccionario!C$2:AC$150,26,0)</f>
        <v>3.5</v>
      </c>
      <c r="P28" s="20">
        <f t="shared" si="0"/>
        <v>-2.5</v>
      </c>
      <c r="Q28" s="20">
        <v>1</v>
      </c>
      <c r="R28" s="15">
        <v>4</v>
      </c>
      <c r="S28" s="21">
        <v>0.2</v>
      </c>
      <c r="T28" s="21">
        <v>0.2</v>
      </c>
      <c r="U28" s="22">
        <f>TablaIndicador[[#This Row],[Costo Mensual]]</f>
        <v>0</v>
      </c>
      <c r="V28" s="33"/>
      <c r="W28" s="24">
        <f t="shared" si="1"/>
        <v>194046789.60000002</v>
      </c>
      <c r="X28" s="24">
        <f t="shared" si="2"/>
        <v>194046789.60000002</v>
      </c>
      <c r="Y28" s="24">
        <f t="shared" si="3"/>
        <v>194046789.60000002</v>
      </c>
      <c r="Z28" s="24">
        <f t="shared" si="4"/>
        <v>0</v>
      </c>
      <c r="AA28" s="25" t="str">
        <f t="shared" si="5"/>
        <v>No se realizó gasto en este corte</v>
      </c>
      <c r="AB28" s="26" t="str">
        <f t="shared" si="6"/>
        <v>Costo eficiente: se está gastando menos de lo presupuestado</v>
      </c>
      <c r="AC28" s="26">
        <f t="shared" si="7"/>
        <v>1</v>
      </c>
      <c r="AD28" s="26" t="str">
        <f t="shared" si="8"/>
        <v>Proyecto a tiempo según lo planificado</v>
      </c>
      <c r="AE28" s="27">
        <f t="shared" si="9"/>
        <v>0</v>
      </c>
      <c r="AF28" s="27">
        <f t="shared" si="10"/>
        <v>-970233948</v>
      </c>
      <c r="AG28" s="28" t="str">
        <f>VLOOKUP(Indicador!E51,[1]Diccionario!C$1:AC$150,27,0)</f>
        <v>https://growdatasas.sharepoint.com/:x:/r/sites/Gestiondocumental/Administrativa/GD/Financiera/_layouts/15/Doc.aspx?sourcedoc=%7B453B6AA8-B631-4722-B916-8323F8C43E87%7D&amp;file=315%20CORP%20COLOMBIA%20DIGITAL%20FNA%20AE.xlsm&amp;action=default&amp;mobileredirect=true</v>
      </c>
      <c r="AH28" s="28">
        <v>1</v>
      </c>
      <c r="AI28" s="28">
        <v>1</v>
      </c>
      <c r="AJ28" s="28"/>
      <c r="AK28" s="28" t="s">
        <v>66</v>
      </c>
    </row>
    <row r="29" spans="1:37" ht="18.75" customHeight="1" x14ac:dyDescent="0.25">
      <c r="A29" s="11">
        <v>2024</v>
      </c>
      <c r="B29" s="12" t="s">
        <v>47</v>
      </c>
      <c r="C29" s="10" t="s">
        <v>58</v>
      </c>
      <c r="D29" s="29">
        <v>45307.653436655091</v>
      </c>
      <c r="E29" s="15" t="s">
        <v>59</v>
      </c>
      <c r="F29" s="10" t="s">
        <v>60</v>
      </c>
      <c r="G29" s="28" t="s">
        <v>61</v>
      </c>
      <c r="H29" s="10" t="s">
        <v>62</v>
      </c>
      <c r="I29" s="10" t="s">
        <v>63</v>
      </c>
      <c r="J29" s="30" t="s">
        <v>64</v>
      </c>
      <c r="K29" s="28" t="s">
        <v>65</v>
      </c>
      <c r="L29" s="17">
        <f>VLOOKUP(E29,[1]Diccionario!C$2:AC$150,22,0)</f>
        <v>970233948</v>
      </c>
      <c r="M29" s="18">
        <f>VLOOKUP(E29,[1]Diccionario!C$2:AC$150,24,0)</f>
        <v>45306</v>
      </c>
      <c r="N29" s="19">
        <f>VLOOKUP(E29,[1]Diccionario!C$2:AC$150,25,0)</f>
        <v>45412</v>
      </c>
      <c r="O29" s="20">
        <f>VLOOKUP(E29,[1]Diccionario!C$2:AC$150,26,0)</f>
        <v>3.5</v>
      </c>
      <c r="P29" s="20">
        <f t="shared" si="0"/>
        <v>-1.5</v>
      </c>
      <c r="Q29" s="20">
        <v>2</v>
      </c>
      <c r="R29" s="15">
        <v>4</v>
      </c>
      <c r="S29" s="21">
        <v>0.6</v>
      </c>
      <c r="T29" s="21">
        <v>0.4</v>
      </c>
      <c r="U29" s="22">
        <f>U28+TablaIndicador[[#This Row],[Costo Mensual]]</f>
        <v>0</v>
      </c>
      <c r="V29" s="33"/>
      <c r="W29" s="24">
        <f t="shared" si="1"/>
        <v>388093579.20000005</v>
      </c>
      <c r="X29" s="24">
        <f t="shared" si="2"/>
        <v>582140368.79999995</v>
      </c>
      <c r="Y29" s="24">
        <f t="shared" si="3"/>
        <v>388093579.20000005</v>
      </c>
      <c r="Z29" s="24">
        <f t="shared" si="4"/>
        <v>-194046789.5999999</v>
      </c>
      <c r="AA29" s="25" t="str">
        <f t="shared" si="5"/>
        <v>No se realizó gasto en este corte</v>
      </c>
      <c r="AB29" s="26" t="str">
        <f t="shared" si="6"/>
        <v>Costo eficiente: se está gastando menos de lo presupuestado</v>
      </c>
      <c r="AC29" s="26">
        <f t="shared" si="7"/>
        <v>0.66666666666666685</v>
      </c>
      <c r="AD29" s="26" t="str">
        <f t="shared" si="8"/>
        <v>Proyecto atrasado con respecto al cronograma</v>
      </c>
      <c r="AE29" s="27">
        <f t="shared" si="9"/>
        <v>0</v>
      </c>
      <c r="AF29" s="27">
        <f t="shared" si="10"/>
        <v>-970233948</v>
      </c>
      <c r="AG29" s="28" t="str">
        <f>VLOOKUP(Indicador!E52,[1]Diccionario!C$1:AC$150,27,0)</f>
        <v>https://growdatasas.sharepoint.com/:x:/r/sites/Gestiondocumental/Administrativa/GD/Financiera/_layouts/15/Doc.aspx?sourcedoc=%7B453B6AA8-B631-4722-B916-8323F8C43E87%7D&amp;file=315%20CORP%20COLOMBIA%20DIGITAL%20FNA%20AE.xlsm&amp;action=default&amp;mobileredirect=true</v>
      </c>
      <c r="AH29" s="28">
        <v>1</v>
      </c>
      <c r="AI29" s="28">
        <v>1</v>
      </c>
      <c r="AJ29" s="28"/>
      <c r="AK29" s="28" t="s">
        <v>66</v>
      </c>
    </row>
    <row r="30" spans="1:37" ht="18.75" customHeight="1" x14ac:dyDescent="0.25">
      <c r="A30" s="11">
        <v>2024</v>
      </c>
      <c r="B30" s="12" t="s">
        <v>48</v>
      </c>
      <c r="C30" s="10" t="s">
        <v>58</v>
      </c>
      <c r="D30" s="29">
        <v>45307.653436655091</v>
      </c>
      <c r="E30" s="15" t="s">
        <v>59</v>
      </c>
      <c r="F30" s="10" t="s">
        <v>60</v>
      </c>
      <c r="G30" s="28" t="s">
        <v>61</v>
      </c>
      <c r="H30" s="10" t="s">
        <v>62</v>
      </c>
      <c r="I30" s="10" t="s">
        <v>63</v>
      </c>
      <c r="J30" s="30" t="s">
        <v>64</v>
      </c>
      <c r="K30" s="28" t="s">
        <v>65</v>
      </c>
      <c r="L30" s="17">
        <f>VLOOKUP(E30,[1]Diccionario!C$2:AC$150,22,0)</f>
        <v>970233948</v>
      </c>
      <c r="M30" s="18">
        <f>VLOOKUP(E30,[1]Diccionario!C$2:AC$150,24,0)</f>
        <v>45306</v>
      </c>
      <c r="N30" s="19">
        <f>VLOOKUP(E30,[1]Diccionario!C$2:AC$150,25,0)</f>
        <v>45412</v>
      </c>
      <c r="O30" s="20">
        <f>VLOOKUP(E30,[1]Diccionario!C$2:AC$150,26,0)</f>
        <v>3.5</v>
      </c>
      <c r="P30" s="20">
        <f t="shared" si="0"/>
        <v>-0.5</v>
      </c>
      <c r="Q30" s="20">
        <v>3</v>
      </c>
      <c r="R30" s="15">
        <v>4</v>
      </c>
      <c r="S30" s="21">
        <v>0.8</v>
      </c>
      <c r="T30" s="21">
        <v>0.5</v>
      </c>
      <c r="U30" s="22">
        <f>U29+TablaIndicador[[#This Row],[Costo Mensual]]</f>
        <v>0</v>
      </c>
      <c r="V30" s="33"/>
      <c r="W30" s="24">
        <f t="shared" si="1"/>
        <v>485116974</v>
      </c>
      <c r="X30" s="24">
        <f t="shared" si="2"/>
        <v>776187158.4000001</v>
      </c>
      <c r="Y30" s="24">
        <f t="shared" si="3"/>
        <v>485116974</v>
      </c>
      <c r="Z30" s="24">
        <f t="shared" si="4"/>
        <v>-291070184.4000001</v>
      </c>
      <c r="AA30" s="25" t="str">
        <f t="shared" si="5"/>
        <v>No se realizó gasto en este corte</v>
      </c>
      <c r="AB30" s="26" t="str">
        <f t="shared" si="6"/>
        <v>Costo eficiente: se está gastando menos de lo presupuestado</v>
      </c>
      <c r="AC30" s="26">
        <f t="shared" si="7"/>
        <v>0.62499999999999989</v>
      </c>
      <c r="AD30" s="26" t="str">
        <f t="shared" si="8"/>
        <v>Proyecto atrasado con respecto al cronograma</v>
      </c>
      <c r="AE30" s="27">
        <f t="shared" si="9"/>
        <v>0</v>
      </c>
      <c r="AF30" s="27">
        <f t="shared" si="10"/>
        <v>-970233948</v>
      </c>
      <c r="AG30" s="28" t="str">
        <f>VLOOKUP(Indicador!E53,[1]Diccionario!C$1:AC$150,27,0)</f>
        <v>https://growdatasas.sharepoint.com/:x:/r/sites/Gestiondocumental/Administrativa/GD/Financiera/_layouts/15/Doc.aspx?sourcedoc=%7B06FB1484-E2DE-40DA-83E0-D97F6AF0AE9B%7D&amp;file=MODELO%20FINANCIERO%20REFERENCIA%20V7%20MS%2020240130.xlsx&amp;action=default&amp;mobileredirect=true</v>
      </c>
      <c r="AH30" s="28">
        <v>1</v>
      </c>
      <c r="AI30" s="28">
        <v>1</v>
      </c>
      <c r="AJ30" s="28"/>
      <c r="AK30" s="28" t="s">
        <v>66</v>
      </c>
    </row>
    <row r="31" spans="1:37" ht="18.75" customHeight="1" x14ac:dyDescent="0.25">
      <c r="A31" s="11">
        <v>2024</v>
      </c>
      <c r="B31" s="12" t="s">
        <v>49</v>
      </c>
      <c r="C31" s="10" t="s">
        <v>58</v>
      </c>
      <c r="D31" s="29">
        <v>45307.653436655091</v>
      </c>
      <c r="E31" s="15" t="s">
        <v>59</v>
      </c>
      <c r="F31" s="10" t="s">
        <v>60</v>
      </c>
      <c r="G31" s="28" t="s">
        <v>61</v>
      </c>
      <c r="H31" s="10" t="s">
        <v>62</v>
      </c>
      <c r="I31" s="10" t="s">
        <v>63</v>
      </c>
      <c r="J31" s="30" t="s">
        <v>64</v>
      </c>
      <c r="K31" s="28" t="s">
        <v>65</v>
      </c>
      <c r="L31" s="17">
        <f>VLOOKUP(E31,[1]Diccionario!C$2:AC$150,22,0)</f>
        <v>970233948</v>
      </c>
      <c r="M31" s="18">
        <f>VLOOKUP(E31,[1]Diccionario!C$2:AC$150,24,0)</f>
        <v>45306</v>
      </c>
      <c r="N31" s="19">
        <f>VLOOKUP(E31,[1]Diccionario!C$2:AC$150,25,0)</f>
        <v>45412</v>
      </c>
      <c r="O31" s="20">
        <f>VLOOKUP(E31,[1]Diccionario!C$2:AC$150,26,0)</f>
        <v>3.5</v>
      </c>
      <c r="P31" s="20">
        <f t="shared" si="0"/>
        <v>0.5</v>
      </c>
      <c r="Q31" s="20">
        <v>4</v>
      </c>
      <c r="R31" s="15">
        <v>4</v>
      </c>
      <c r="S31" s="21">
        <v>1</v>
      </c>
      <c r="T31" s="21">
        <v>0.6</v>
      </c>
      <c r="U31" s="22">
        <f>U30+TablaIndicador[[#This Row],[Costo Mensual]]</f>
        <v>0</v>
      </c>
      <c r="V31" s="33"/>
      <c r="W31" s="24">
        <f t="shared" si="1"/>
        <v>582140368.79999995</v>
      </c>
      <c r="X31" s="24">
        <f t="shared" si="2"/>
        <v>970233948</v>
      </c>
      <c r="Y31" s="24">
        <f t="shared" si="3"/>
        <v>582140368.79999995</v>
      </c>
      <c r="Z31" s="24">
        <f t="shared" si="4"/>
        <v>-388093579.20000005</v>
      </c>
      <c r="AA31" s="25" t="str">
        <f t="shared" si="5"/>
        <v>No se realizó gasto en este corte</v>
      </c>
      <c r="AB31" s="26" t="str">
        <f t="shared" si="6"/>
        <v>Costo eficiente: se está gastando menos de lo presupuestado</v>
      </c>
      <c r="AC31" s="26">
        <f t="shared" si="7"/>
        <v>0.6</v>
      </c>
      <c r="AD31" s="26" t="str">
        <f t="shared" si="8"/>
        <v>Proyecto atrasado con respecto al cronograma</v>
      </c>
      <c r="AE31" s="27">
        <f t="shared" si="9"/>
        <v>0</v>
      </c>
      <c r="AF31" s="27">
        <f t="shared" si="10"/>
        <v>-970233948</v>
      </c>
      <c r="AG31" s="28" t="str">
        <f>VLOOKUP(Indicador!E54,[1]Diccionario!C$1:AC$150,27,0)</f>
        <v>https://growdatasas.sharepoint.com/:x:/r/sites/Gestiondocumental/Administrativa/GD/Financiera/_layouts/15/Doc.aspx?sourcedoc=%7B06FB1484-E2DE-40DA-83E0-D97F6AF0AE9B%7D&amp;file=MODELO%20FINANCIERO%20REFERENCIA%20V7%20MS%2020240130.xlsx&amp;action=default&amp;mobileredirect=true</v>
      </c>
      <c r="AH31" s="28">
        <v>1</v>
      </c>
      <c r="AI31" s="28">
        <v>1</v>
      </c>
      <c r="AJ31" s="28"/>
      <c r="AK31" s="28" t="s">
        <v>66</v>
      </c>
    </row>
    <row r="32" spans="1:37" ht="18.75" customHeight="1" x14ac:dyDescent="0.25">
      <c r="A32" s="11">
        <v>2024</v>
      </c>
      <c r="B32" s="12" t="s">
        <v>50</v>
      </c>
      <c r="C32" s="10" t="s">
        <v>58</v>
      </c>
      <c r="D32" s="29">
        <v>45307.653436655091</v>
      </c>
      <c r="E32" s="15" t="s">
        <v>59</v>
      </c>
      <c r="F32" s="10" t="s">
        <v>60</v>
      </c>
      <c r="G32" s="28" t="s">
        <v>61</v>
      </c>
      <c r="H32" s="10" t="s">
        <v>62</v>
      </c>
      <c r="I32" s="10" t="s">
        <v>63</v>
      </c>
      <c r="J32" s="30" t="s">
        <v>64</v>
      </c>
      <c r="K32" s="28" t="s">
        <v>65</v>
      </c>
      <c r="L32" s="17">
        <f>VLOOKUP(E32,[1]Diccionario!C$2:AC$150,22,0)</f>
        <v>970233948</v>
      </c>
      <c r="M32" s="18">
        <f>VLOOKUP(E32,[1]Diccionario!C$2:AC$150,24,0)</f>
        <v>45306</v>
      </c>
      <c r="N32" s="19">
        <f>VLOOKUP(E32,[1]Diccionario!C$2:AC$150,25,0)</f>
        <v>45412</v>
      </c>
      <c r="O32" s="20">
        <f>VLOOKUP(E32,[1]Diccionario!C$2:AC$150,26,0)</f>
        <v>3.5</v>
      </c>
      <c r="P32" s="20">
        <f t="shared" si="0"/>
        <v>1.5</v>
      </c>
      <c r="Q32" s="20">
        <v>5</v>
      </c>
      <c r="R32" s="15">
        <v>4</v>
      </c>
      <c r="S32" s="21">
        <v>1</v>
      </c>
      <c r="T32" s="21">
        <v>0.8</v>
      </c>
      <c r="U32" s="22">
        <f>U31+TablaIndicador[[#This Row],[Costo Mensual]]</f>
        <v>0</v>
      </c>
      <c r="V32" s="31"/>
      <c r="W32" s="24">
        <f t="shared" si="1"/>
        <v>776187158.4000001</v>
      </c>
      <c r="X32" s="24">
        <f t="shared" si="2"/>
        <v>970233948</v>
      </c>
      <c r="Y32" s="24">
        <f t="shared" si="3"/>
        <v>776187158.4000001</v>
      </c>
      <c r="Z32" s="24">
        <f t="shared" si="4"/>
        <v>-194046789.5999999</v>
      </c>
      <c r="AA32" s="25" t="str">
        <f t="shared" si="5"/>
        <v>No se realizó gasto en este corte</v>
      </c>
      <c r="AB32" s="26" t="str">
        <f t="shared" si="6"/>
        <v>Costo eficiente: se está gastando menos de lo presupuestado</v>
      </c>
      <c r="AC32" s="26">
        <f t="shared" si="7"/>
        <v>0.8</v>
      </c>
      <c r="AD32" s="26" t="str">
        <f t="shared" si="8"/>
        <v>Proyecto atrasado con respecto al cronograma</v>
      </c>
      <c r="AE32" s="27">
        <f t="shared" si="9"/>
        <v>0</v>
      </c>
      <c r="AF32" s="27">
        <f t="shared" si="10"/>
        <v>-970233948</v>
      </c>
      <c r="AG32" s="28" t="str">
        <f>VLOOKUP(Indicador!E55,[1]Diccionario!C$1:AC$150,27,0)</f>
        <v>https://growdatasas.sharepoint.com/:x:/r/sites/Gestiondocumental/Administrativa/GD/Financiera/_layouts/15/Doc.aspx?sourcedoc=%7B06FB1484-E2DE-40DA-83E0-D97F6AF0AE9B%7D&amp;file=MODELO%20FINANCIERO%20REFERENCIA%20V7%20MS%2020240130.xlsx&amp;action=default&amp;mobileredirect=true</v>
      </c>
      <c r="AH32" s="28">
        <v>1</v>
      </c>
      <c r="AI32" s="28">
        <v>1</v>
      </c>
      <c r="AJ32" s="28"/>
      <c r="AK32" s="28" t="s">
        <v>66</v>
      </c>
    </row>
    <row r="33" spans="1:37" ht="18.75" customHeight="1" x14ac:dyDescent="0.25">
      <c r="A33" s="11">
        <v>2024</v>
      </c>
      <c r="B33" s="12" t="s">
        <v>51</v>
      </c>
      <c r="C33" s="10" t="s">
        <v>58</v>
      </c>
      <c r="D33" s="29">
        <v>45307.653436655091</v>
      </c>
      <c r="E33" s="15" t="s">
        <v>59</v>
      </c>
      <c r="F33" s="10" t="s">
        <v>60</v>
      </c>
      <c r="G33" s="28" t="s">
        <v>61</v>
      </c>
      <c r="H33" s="10" t="s">
        <v>62</v>
      </c>
      <c r="I33" s="10" t="s">
        <v>63</v>
      </c>
      <c r="J33" s="30" t="s">
        <v>64</v>
      </c>
      <c r="K33" s="28" t="s">
        <v>65</v>
      </c>
      <c r="L33" s="17">
        <f>VLOOKUP(E33,[1]Diccionario!C$2:AC$150,22,0)</f>
        <v>970233948</v>
      </c>
      <c r="M33" s="18">
        <f>VLOOKUP(E33,[1]Diccionario!C$2:AC$150,24,0)</f>
        <v>45306</v>
      </c>
      <c r="N33" s="19">
        <f>VLOOKUP(E33,[1]Diccionario!C$2:AC$150,25,0)</f>
        <v>45412</v>
      </c>
      <c r="O33" s="20">
        <f>VLOOKUP(E33,[1]Diccionario!C$2:AC$150,26,0)</f>
        <v>3.5</v>
      </c>
      <c r="P33" s="20">
        <f t="shared" si="0"/>
        <v>2.5</v>
      </c>
      <c r="Q33" s="20">
        <v>6</v>
      </c>
      <c r="R33" s="15">
        <v>4</v>
      </c>
      <c r="S33" s="21">
        <v>1</v>
      </c>
      <c r="T33" s="21">
        <v>1</v>
      </c>
      <c r="U33" s="22">
        <f>U32+TablaIndicador[[#This Row],[Costo Mensual]]</f>
        <v>0</v>
      </c>
      <c r="V33" s="31"/>
      <c r="W33" s="24">
        <f t="shared" si="1"/>
        <v>970233948</v>
      </c>
      <c r="X33" s="24">
        <f t="shared" si="2"/>
        <v>970233948</v>
      </c>
      <c r="Y33" s="24">
        <f t="shared" si="3"/>
        <v>970233948</v>
      </c>
      <c r="Z33" s="24">
        <f t="shared" si="4"/>
        <v>0</v>
      </c>
      <c r="AA33" s="25" t="str">
        <f t="shared" si="5"/>
        <v>No se realizó gasto en este corte</v>
      </c>
      <c r="AB33" s="26" t="str">
        <f t="shared" si="6"/>
        <v>Costo eficiente: se está gastando menos de lo presupuestado</v>
      </c>
      <c r="AC33" s="26">
        <f t="shared" si="7"/>
        <v>1</v>
      </c>
      <c r="AD33" s="26" t="str">
        <f t="shared" si="8"/>
        <v>Proyecto a tiempo según lo planificado</v>
      </c>
      <c r="AE33" s="27">
        <f t="shared" si="9"/>
        <v>0</v>
      </c>
      <c r="AF33" s="27">
        <f t="shared" si="10"/>
        <v>-970233948</v>
      </c>
      <c r="AG33" s="28" t="str">
        <f>VLOOKUP(Indicador!E56,[1]Diccionario!C$1:AC$150,27,0)</f>
        <v>https://growdatasas.sharepoint.com/:x:/r/sites/Gestiondocumental/Administrativa/GD/Financiera/_layouts/15/Doc.aspx?sourcedoc=%7B29DCF375-0847-4DAD-9B9A-9F9E84ABD4DE%7D&amp;file=322.%20MINTRANSPORTE.xlsx&amp;action=default&amp;mobileredirect=true</v>
      </c>
      <c r="AH33" s="28">
        <v>1</v>
      </c>
      <c r="AI33" s="28">
        <v>1</v>
      </c>
      <c r="AJ33" s="28"/>
      <c r="AK33" s="28" t="s">
        <v>66</v>
      </c>
    </row>
    <row r="34" spans="1:37" ht="18.75" customHeight="1" x14ac:dyDescent="0.25">
      <c r="A34" s="11">
        <v>2024</v>
      </c>
      <c r="B34" s="12" t="s">
        <v>37</v>
      </c>
      <c r="C34" s="10" t="s">
        <v>67</v>
      </c>
      <c r="D34" s="29">
        <v>45307.664935879628</v>
      </c>
      <c r="E34" s="15" t="s">
        <v>68</v>
      </c>
      <c r="F34" s="10" t="s">
        <v>69</v>
      </c>
      <c r="G34" s="10" t="s">
        <v>70</v>
      </c>
      <c r="H34" s="10" t="s">
        <v>71</v>
      </c>
      <c r="I34" s="10" t="s">
        <v>63</v>
      </c>
      <c r="J34" s="30" t="s">
        <v>72</v>
      </c>
      <c r="K34" s="28" t="s">
        <v>73</v>
      </c>
      <c r="L34" s="17">
        <f>VLOOKUP(E34,[1]Diccionario!C$2:AC$150,22,0)</f>
        <v>5280083724</v>
      </c>
      <c r="M34" s="18">
        <f>VLOOKUP(E34,[1]Diccionario!C$2:AC$150,24,0)</f>
        <v>45300</v>
      </c>
      <c r="N34" s="19">
        <f>VLOOKUP(E34,[1]Diccionario!C$2:AC$150,25,0)</f>
        <v>45473</v>
      </c>
      <c r="O34" s="20">
        <f>VLOOKUP(E34,[1]Diccionario!C$2:AC$150,26,0)</f>
        <v>5.7</v>
      </c>
      <c r="P34" s="20">
        <f t="shared" si="0"/>
        <v>-4.7</v>
      </c>
      <c r="Q34" s="34">
        <v>1</v>
      </c>
      <c r="R34" s="15">
        <v>6</v>
      </c>
      <c r="S34" s="21">
        <v>0.2</v>
      </c>
      <c r="T34" s="21">
        <v>0.25</v>
      </c>
      <c r="U34" s="22">
        <f>TablaIndicador[[#This Row],[Costo Mensual]]</f>
        <v>0</v>
      </c>
      <c r="V34" s="33"/>
      <c r="W34" s="24">
        <f t="shared" si="1"/>
        <v>1320020931</v>
      </c>
      <c r="X34" s="24">
        <f t="shared" si="2"/>
        <v>1056016744.8000001</v>
      </c>
      <c r="Y34" s="24">
        <f t="shared" si="3"/>
        <v>1320020931</v>
      </c>
      <c r="Z34" s="24">
        <f t="shared" si="4"/>
        <v>264004186.19999993</v>
      </c>
      <c r="AA34" s="25" t="str">
        <f t="shared" si="5"/>
        <v>No se realizó gasto en este corte</v>
      </c>
      <c r="AB34" s="26" t="str">
        <f t="shared" si="6"/>
        <v>Costo eficiente: se está gastando menos de lo presupuestado</v>
      </c>
      <c r="AC34" s="26">
        <f t="shared" si="7"/>
        <v>1.25</v>
      </c>
      <c r="AD34" s="26" t="str">
        <f t="shared" si="8"/>
        <v>Proyecto adelantado respecto al cronograma</v>
      </c>
      <c r="AE34" s="27">
        <f t="shared" si="9"/>
        <v>0</v>
      </c>
      <c r="AF34" s="27">
        <f t="shared" si="10"/>
        <v>-5280083724</v>
      </c>
      <c r="AG34" s="28" t="str">
        <f>VLOOKUP(Indicador!E17,[1]Diccionario!C$1:AC$150,27,0)</f>
        <v>https://growdatasas.sharepoint.com/:x:/r/sites/Gestiondocumental/Administrativa/GD/Financiera/_layouts/15/Doc.aspx?sourcedoc=%7BC3EFE0E2-C211-45B0-905D-ECEF11221767%7D&amp;file=299.%20DEFENSORIA_ERP.xlsm&amp;action=default&amp;mobileredirect=true</v>
      </c>
      <c r="AH34" s="28">
        <v>1</v>
      </c>
      <c r="AI34" s="28">
        <v>1</v>
      </c>
      <c r="AJ34" s="28" t="s">
        <v>46</v>
      </c>
      <c r="AK34" s="28"/>
    </row>
    <row r="35" spans="1:37" ht="18.75" customHeight="1" x14ac:dyDescent="0.25">
      <c r="A35" s="11">
        <v>2024</v>
      </c>
      <c r="B35" s="12" t="s">
        <v>47</v>
      </c>
      <c r="C35" s="10" t="s">
        <v>67</v>
      </c>
      <c r="D35" s="29">
        <v>45307.664935879628</v>
      </c>
      <c r="E35" s="15" t="s">
        <v>68</v>
      </c>
      <c r="F35" s="10" t="s">
        <v>69</v>
      </c>
      <c r="G35" s="10" t="s">
        <v>70</v>
      </c>
      <c r="H35" s="10" t="s">
        <v>71</v>
      </c>
      <c r="I35" s="10" t="s">
        <v>63</v>
      </c>
      <c r="J35" s="30" t="s">
        <v>72</v>
      </c>
      <c r="K35" s="28" t="s">
        <v>73</v>
      </c>
      <c r="L35" s="17">
        <f>VLOOKUP(E35,[1]Diccionario!C$2:AC$150,22,0)</f>
        <v>5280083724</v>
      </c>
      <c r="M35" s="18">
        <f>VLOOKUP(E35,[1]Diccionario!C$2:AC$150,24,0)</f>
        <v>45300</v>
      </c>
      <c r="N35" s="19">
        <f>VLOOKUP(E35,[1]Diccionario!C$2:AC$150,25,0)</f>
        <v>45473</v>
      </c>
      <c r="O35" s="20">
        <f>VLOOKUP(E35,[1]Diccionario!C$2:AC$150,26,0)</f>
        <v>5.7</v>
      </c>
      <c r="P35" s="20">
        <f t="shared" si="0"/>
        <v>-3.7</v>
      </c>
      <c r="Q35" s="34">
        <v>2</v>
      </c>
      <c r="R35" s="15">
        <v>6</v>
      </c>
      <c r="S35" s="21">
        <v>0.45</v>
      </c>
      <c r="T35" s="21">
        <v>0.35</v>
      </c>
      <c r="U35" s="22">
        <f>U34+TablaIndicador[[#This Row],[Costo Mensual]]</f>
        <v>0</v>
      </c>
      <c r="V35" s="23"/>
      <c r="W35" s="24">
        <f t="shared" si="1"/>
        <v>1848029303.3999999</v>
      </c>
      <c r="X35" s="24">
        <f t="shared" si="2"/>
        <v>2376037675.8000002</v>
      </c>
      <c r="Y35" s="24">
        <f t="shared" si="3"/>
        <v>1848029303.3999999</v>
      </c>
      <c r="Z35" s="24">
        <f t="shared" si="4"/>
        <v>-528008372.40000033</v>
      </c>
      <c r="AA35" s="25" t="str">
        <f t="shared" si="5"/>
        <v>No se realizó gasto en este corte</v>
      </c>
      <c r="AB35" s="26" t="str">
        <f t="shared" si="6"/>
        <v>Costo eficiente: se está gastando menos de lo presupuestado</v>
      </c>
      <c r="AC35" s="26">
        <f t="shared" si="7"/>
        <v>0.77777777777777768</v>
      </c>
      <c r="AD35" s="26" t="str">
        <f t="shared" si="8"/>
        <v>Proyecto atrasado con respecto al cronograma</v>
      </c>
      <c r="AE35" s="27">
        <f t="shared" si="9"/>
        <v>0</v>
      </c>
      <c r="AF35" s="27">
        <f t="shared" si="10"/>
        <v>-5280083724</v>
      </c>
      <c r="AG35" s="28" t="str">
        <f>VLOOKUP(Indicador!E18,[1]Diccionario!C$1:AC$150,27,0)</f>
        <v>https://growdatasas.sharepoint.com/:x:/r/sites/Gestiondocumental/Administrativa/GD/Financiera/_layouts/15/Doc.aspx?sourcedoc=%7BC3EFE0E2-C211-45B0-905D-ECEF11221767%7D&amp;file=299.%20DEFENSORIA_ERP.xlsm&amp;action=default&amp;mobileredirect=true</v>
      </c>
      <c r="AH35" s="28">
        <v>1</v>
      </c>
      <c r="AI35" s="28">
        <v>1</v>
      </c>
      <c r="AJ35" s="28" t="s">
        <v>46</v>
      </c>
      <c r="AK35" s="28"/>
    </row>
    <row r="36" spans="1:37" ht="18.75" customHeight="1" x14ac:dyDescent="0.25">
      <c r="A36" s="11">
        <v>2024</v>
      </c>
      <c r="B36" s="12" t="s">
        <v>48</v>
      </c>
      <c r="C36" s="10" t="s">
        <v>67</v>
      </c>
      <c r="D36" s="29">
        <v>45307.664935879628</v>
      </c>
      <c r="E36" s="15" t="s">
        <v>68</v>
      </c>
      <c r="F36" s="10" t="s">
        <v>69</v>
      </c>
      <c r="G36" s="10" t="s">
        <v>70</v>
      </c>
      <c r="H36" s="10" t="s">
        <v>71</v>
      </c>
      <c r="I36" s="10" t="s">
        <v>63</v>
      </c>
      <c r="J36" s="30" t="s">
        <v>72</v>
      </c>
      <c r="K36" s="28" t="s">
        <v>73</v>
      </c>
      <c r="L36" s="17">
        <f>VLOOKUP(E36,[1]Diccionario!C$2:AC$150,22,0)</f>
        <v>5280083724</v>
      </c>
      <c r="M36" s="18">
        <f>VLOOKUP(E36,[1]Diccionario!C$2:AC$150,24,0)</f>
        <v>45300</v>
      </c>
      <c r="N36" s="19">
        <f>VLOOKUP(E36,[1]Diccionario!C$2:AC$150,25,0)</f>
        <v>45473</v>
      </c>
      <c r="O36" s="20">
        <f>VLOOKUP(E36,[1]Diccionario!C$2:AC$150,26,0)</f>
        <v>5.7</v>
      </c>
      <c r="P36" s="20">
        <f t="shared" si="0"/>
        <v>-2.7</v>
      </c>
      <c r="Q36" s="34">
        <v>3</v>
      </c>
      <c r="R36" s="15">
        <v>6</v>
      </c>
      <c r="S36" s="21">
        <v>0.6</v>
      </c>
      <c r="T36" s="21">
        <v>0.38</v>
      </c>
      <c r="U36" s="22">
        <f>U35+TablaIndicador[[#This Row],[Costo Mensual]]</f>
        <v>0</v>
      </c>
      <c r="V36" s="31"/>
      <c r="W36" s="24">
        <f t="shared" si="1"/>
        <v>2006431815.1200001</v>
      </c>
      <c r="X36" s="24">
        <f t="shared" si="2"/>
        <v>3168050234.4000001</v>
      </c>
      <c r="Y36" s="24">
        <f t="shared" si="3"/>
        <v>2006431815.1200001</v>
      </c>
      <c r="Z36" s="24">
        <f t="shared" si="4"/>
        <v>-1161618419.28</v>
      </c>
      <c r="AA36" s="25" t="str">
        <f t="shared" si="5"/>
        <v>No se realizó gasto en este corte</v>
      </c>
      <c r="AB36" s="26" t="str">
        <f t="shared" si="6"/>
        <v>Costo eficiente: se está gastando menos de lo presupuestado</v>
      </c>
      <c r="AC36" s="26">
        <f t="shared" si="7"/>
        <v>0.6333333333333333</v>
      </c>
      <c r="AD36" s="26" t="str">
        <f t="shared" si="8"/>
        <v>Proyecto atrasado con respecto al cronograma</v>
      </c>
      <c r="AE36" s="27">
        <f t="shared" si="9"/>
        <v>0</v>
      </c>
      <c r="AF36" s="27">
        <f t="shared" si="10"/>
        <v>-5280083724</v>
      </c>
      <c r="AG36" s="28" t="str">
        <f>VLOOKUP(Indicador!E19,[1]Diccionario!C$1:AC$150,27,0)</f>
        <v>https://growdatasas.sharepoint.com/:x:/r/sites/Gestiondocumental/Administrativa/GD/Financiera/_layouts/15/Doc.aspx?sourcedoc=%7BC3EFE0E2-C211-45B0-905D-ECEF11221767%7D&amp;file=299.%20DEFENSORIA_ERP.xlsm&amp;action=default&amp;mobileredirect=true</v>
      </c>
      <c r="AH36" s="28">
        <v>1</v>
      </c>
      <c r="AI36" s="28">
        <v>1</v>
      </c>
      <c r="AJ36" s="28" t="s">
        <v>46</v>
      </c>
      <c r="AK36" s="28"/>
    </row>
    <row r="37" spans="1:37" ht="18.75" customHeight="1" x14ac:dyDescent="0.25">
      <c r="A37" s="32">
        <v>2024</v>
      </c>
      <c r="B37" s="12" t="s">
        <v>49</v>
      </c>
      <c r="C37" s="10" t="s">
        <v>67</v>
      </c>
      <c r="D37" s="29">
        <v>45307.664935879628</v>
      </c>
      <c r="E37" s="15" t="s">
        <v>68</v>
      </c>
      <c r="F37" s="10" t="s">
        <v>69</v>
      </c>
      <c r="G37" s="10" t="s">
        <v>70</v>
      </c>
      <c r="H37" s="10" t="s">
        <v>71</v>
      </c>
      <c r="I37" s="10" t="s">
        <v>63</v>
      </c>
      <c r="J37" s="30" t="s">
        <v>72</v>
      </c>
      <c r="K37" s="28" t="s">
        <v>73</v>
      </c>
      <c r="L37" s="17">
        <f>VLOOKUP(E37,[1]Diccionario!C$2:AC$150,22,0)</f>
        <v>5280083724</v>
      </c>
      <c r="M37" s="18">
        <f>VLOOKUP(E37,[1]Diccionario!C$2:AC$150,24,0)</f>
        <v>45300</v>
      </c>
      <c r="N37" s="19">
        <f>VLOOKUP(E37,[1]Diccionario!C$2:AC$150,25,0)</f>
        <v>45473</v>
      </c>
      <c r="O37" s="20">
        <f>VLOOKUP(E37,[1]Diccionario!C$2:AC$150,26,0)</f>
        <v>5.7</v>
      </c>
      <c r="P37" s="20">
        <f t="shared" si="0"/>
        <v>-1.7000000000000002</v>
      </c>
      <c r="Q37" s="34">
        <v>4</v>
      </c>
      <c r="R37" s="15">
        <v>6</v>
      </c>
      <c r="S37" s="21">
        <v>0.75</v>
      </c>
      <c r="T37" s="21">
        <v>0.49</v>
      </c>
      <c r="U37" s="22">
        <f>U36+TablaIndicador[[#This Row],[Costo Mensual]]</f>
        <v>0</v>
      </c>
      <c r="V37" s="24"/>
      <c r="W37" s="24">
        <f t="shared" si="1"/>
        <v>2587241024.7599998</v>
      </c>
      <c r="X37" s="24">
        <f t="shared" si="2"/>
        <v>3960062793</v>
      </c>
      <c r="Y37" s="24">
        <f t="shared" si="3"/>
        <v>2587241024.7599998</v>
      </c>
      <c r="Z37" s="24">
        <f t="shared" si="4"/>
        <v>-1372821768.2400002</v>
      </c>
      <c r="AA37" s="25" t="str">
        <f t="shared" si="5"/>
        <v>No se realizó gasto en este corte</v>
      </c>
      <c r="AB37" s="26" t="str">
        <f t="shared" si="6"/>
        <v>Costo eficiente: se está gastando menos de lo presupuestado</v>
      </c>
      <c r="AC37" s="26">
        <f t="shared" si="7"/>
        <v>0.65333333333333332</v>
      </c>
      <c r="AD37" s="26" t="str">
        <f t="shared" si="8"/>
        <v>Proyecto atrasado con respecto al cronograma</v>
      </c>
      <c r="AE37" s="27">
        <f t="shared" si="9"/>
        <v>0</v>
      </c>
      <c r="AF37" s="27">
        <f t="shared" si="10"/>
        <v>-5280083724</v>
      </c>
      <c r="AG37" s="28" t="str">
        <f>VLOOKUP(Indicador!E20,[1]Diccionario!C$1:AC$150,27,0)</f>
        <v>https://growdatasas.sharepoint.com/:x:/r/sites/Gestiondocumental/Administrativa/GD/Financiera/_layouts/15/Doc.aspx?sourcedoc=%7BC3EFE0E2-C211-45B0-905D-ECEF11221767%7D&amp;file=299.%20DEFENSORIA_ERP.xlsm&amp;action=default&amp;mobileredirect=true</v>
      </c>
      <c r="AH37" s="28">
        <v>1</v>
      </c>
      <c r="AI37" s="28">
        <v>1</v>
      </c>
      <c r="AJ37" s="28" t="s">
        <v>46</v>
      </c>
      <c r="AK37" s="28"/>
    </row>
    <row r="38" spans="1:37" ht="18.75" customHeight="1" x14ac:dyDescent="0.25">
      <c r="A38" s="32">
        <v>2024</v>
      </c>
      <c r="B38" s="12" t="s">
        <v>50</v>
      </c>
      <c r="C38" s="10" t="s">
        <v>67</v>
      </c>
      <c r="D38" s="29">
        <v>45307.664935879628</v>
      </c>
      <c r="E38" s="15" t="s">
        <v>68</v>
      </c>
      <c r="F38" s="10" t="s">
        <v>69</v>
      </c>
      <c r="G38" s="10" t="s">
        <v>70</v>
      </c>
      <c r="H38" s="10" t="s">
        <v>71</v>
      </c>
      <c r="I38" s="10" t="s">
        <v>63</v>
      </c>
      <c r="J38" s="30" t="s">
        <v>72</v>
      </c>
      <c r="K38" s="28" t="s">
        <v>73</v>
      </c>
      <c r="L38" s="17">
        <f>VLOOKUP(E38,[1]Diccionario!C$2:AC$150,22,0)</f>
        <v>5280083724</v>
      </c>
      <c r="M38" s="18">
        <f>VLOOKUP(E38,[1]Diccionario!C$2:AC$150,24,0)</f>
        <v>45300</v>
      </c>
      <c r="N38" s="19">
        <f>VLOOKUP(E38,[1]Diccionario!C$2:AC$150,25,0)</f>
        <v>45473</v>
      </c>
      <c r="O38" s="20">
        <f>VLOOKUP(E38,[1]Diccionario!C$2:AC$150,26,0)</f>
        <v>5.7</v>
      </c>
      <c r="P38" s="20">
        <f t="shared" si="0"/>
        <v>-0.70000000000000018</v>
      </c>
      <c r="Q38" s="34">
        <v>5</v>
      </c>
      <c r="R38" s="15">
        <v>6</v>
      </c>
      <c r="S38" s="21">
        <v>0.8</v>
      </c>
      <c r="T38" s="21">
        <v>0.6</v>
      </c>
      <c r="U38" s="22">
        <f>U37+TablaIndicador[[#This Row],[Costo Mensual]]</f>
        <v>0</v>
      </c>
      <c r="V38" s="24"/>
      <c r="W38" s="24">
        <f t="shared" si="1"/>
        <v>3168050234.4000001</v>
      </c>
      <c r="X38" s="24">
        <f t="shared" si="2"/>
        <v>4224066979.2000003</v>
      </c>
      <c r="Y38" s="24">
        <f t="shared" si="3"/>
        <v>3168050234.4000001</v>
      </c>
      <c r="Z38" s="24">
        <f t="shared" si="4"/>
        <v>-1056016744.8000002</v>
      </c>
      <c r="AA38" s="25" t="str">
        <f t="shared" si="5"/>
        <v>No se realizó gasto en este corte</v>
      </c>
      <c r="AB38" s="26" t="str">
        <f t="shared" si="6"/>
        <v>Costo eficiente: se está gastando menos de lo presupuestado</v>
      </c>
      <c r="AC38" s="26">
        <f t="shared" si="7"/>
        <v>0.75</v>
      </c>
      <c r="AD38" s="26" t="str">
        <f t="shared" si="8"/>
        <v>Proyecto atrasado con respecto al cronograma</v>
      </c>
      <c r="AE38" s="27">
        <f t="shared" si="9"/>
        <v>0</v>
      </c>
      <c r="AF38" s="27">
        <f t="shared" si="10"/>
        <v>-5280083724</v>
      </c>
      <c r="AG38" s="28" t="str">
        <f>VLOOKUP(Indicador!E21,[1]Diccionario!C$1:AC$150,27,0)</f>
        <v>https://growdatasas.sharepoint.com/:x:/r/sites/Gestiondocumental/Administrativa/GD/Financiera/_layouts/15/Doc.aspx?sourcedoc=%7BC3EFE0E2-C211-45B0-905D-ECEF11221767%7D&amp;file=299.%20DEFENSORIA_ERP.xlsm&amp;action=default&amp;mobileredirect=true</v>
      </c>
      <c r="AH38" s="28">
        <v>1</v>
      </c>
      <c r="AI38" s="28">
        <v>1</v>
      </c>
      <c r="AJ38" s="28" t="s">
        <v>46</v>
      </c>
      <c r="AK38" s="28"/>
    </row>
    <row r="39" spans="1:37" ht="18.75" customHeight="1" x14ac:dyDescent="0.25">
      <c r="A39" s="32">
        <v>2024</v>
      </c>
      <c r="B39" s="12" t="s">
        <v>51</v>
      </c>
      <c r="C39" s="10" t="s">
        <v>67</v>
      </c>
      <c r="D39" s="29">
        <v>45307.664935879628</v>
      </c>
      <c r="E39" s="15" t="s">
        <v>68</v>
      </c>
      <c r="F39" s="10" t="s">
        <v>69</v>
      </c>
      <c r="G39" s="10" t="s">
        <v>70</v>
      </c>
      <c r="H39" s="10" t="s">
        <v>71</v>
      </c>
      <c r="I39" s="10" t="s">
        <v>63</v>
      </c>
      <c r="J39" s="30" t="s">
        <v>72</v>
      </c>
      <c r="K39" s="28" t="s">
        <v>73</v>
      </c>
      <c r="L39" s="17">
        <f>VLOOKUP(E39,[1]Diccionario!C$2:AC$150,22,0)</f>
        <v>5280083724</v>
      </c>
      <c r="M39" s="18">
        <f>VLOOKUP(E39,[1]Diccionario!C$2:AC$150,24,0)</f>
        <v>45300</v>
      </c>
      <c r="N39" s="19">
        <f>VLOOKUP(E39,[1]Diccionario!C$2:AC$150,25,0)</f>
        <v>45473</v>
      </c>
      <c r="O39" s="20">
        <f>VLOOKUP(E39,[1]Diccionario!C$2:AC$150,26,0)</f>
        <v>5.7</v>
      </c>
      <c r="P39" s="20">
        <f t="shared" si="0"/>
        <v>0.29999999999999982</v>
      </c>
      <c r="Q39" s="34">
        <v>6</v>
      </c>
      <c r="R39" s="15">
        <v>6</v>
      </c>
      <c r="S39" s="21">
        <v>1</v>
      </c>
      <c r="T39" s="21">
        <v>0.78</v>
      </c>
      <c r="U39" s="22">
        <f>U38+TablaIndicador[[#This Row],[Costo Mensual]]</f>
        <v>0</v>
      </c>
      <c r="V39" s="23"/>
      <c r="W39" s="24">
        <f t="shared" si="1"/>
        <v>4118465304.7200003</v>
      </c>
      <c r="X39" s="24">
        <f t="shared" si="2"/>
        <v>5280083724</v>
      </c>
      <c r="Y39" s="24">
        <f t="shared" si="3"/>
        <v>4118465304.7200003</v>
      </c>
      <c r="Z39" s="24">
        <f t="shared" si="4"/>
        <v>-1161618419.2799997</v>
      </c>
      <c r="AA39" s="25" t="str">
        <f t="shared" si="5"/>
        <v>No se realizó gasto en este corte</v>
      </c>
      <c r="AB39" s="26" t="str">
        <f t="shared" si="6"/>
        <v>Costo eficiente: se está gastando menos de lo presupuestado</v>
      </c>
      <c r="AC39" s="26">
        <f t="shared" si="7"/>
        <v>0.78</v>
      </c>
      <c r="AD39" s="26" t="str">
        <f t="shared" si="8"/>
        <v>Proyecto atrasado con respecto al cronograma</v>
      </c>
      <c r="AE39" s="27">
        <f t="shared" si="9"/>
        <v>0</v>
      </c>
      <c r="AF39" s="27">
        <f t="shared" si="10"/>
        <v>-5280083724</v>
      </c>
      <c r="AG39" s="28" t="str">
        <f>VLOOKUP(Indicador!E22,[1]Diccionario!C$1:AC$150,27,0)</f>
        <v>https://growdatasas.sharepoint.com/:x:/r/sites/Gestiondocumental/Administrativa/GD/Financiera/_layouts/15/Doc.aspx?sourcedoc=%7BC3EFE0E2-C211-45B0-905D-ECEF11221767%7D&amp;file=299.%20DEFENSORIA_ERP.xlsm&amp;action=default&amp;mobileredirect=true</v>
      </c>
      <c r="AH39" s="28">
        <v>1</v>
      </c>
      <c r="AI39" s="28">
        <v>1</v>
      </c>
      <c r="AJ39" s="28" t="s">
        <v>46</v>
      </c>
      <c r="AK39" s="28"/>
    </row>
    <row r="40" spans="1:37" ht="18.75" customHeight="1" x14ac:dyDescent="0.25">
      <c r="A40" s="32">
        <v>2024</v>
      </c>
      <c r="B40" s="12" t="s">
        <v>52</v>
      </c>
      <c r="C40" s="10" t="s">
        <v>67</v>
      </c>
      <c r="D40" s="29">
        <v>45307.664935879628</v>
      </c>
      <c r="E40" s="15" t="s">
        <v>68</v>
      </c>
      <c r="F40" s="10" t="s">
        <v>69</v>
      </c>
      <c r="G40" s="10" t="s">
        <v>70</v>
      </c>
      <c r="H40" s="10" t="s">
        <v>71</v>
      </c>
      <c r="I40" s="10" t="s">
        <v>63</v>
      </c>
      <c r="J40" s="30" t="s">
        <v>72</v>
      </c>
      <c r="K40" s="28" t="s">
        <v>73</v>
      </c>
      <c r="L40" s="17">
        <f>VLOOKUP(E40,[1]Diccionario!C$2:AC$150,22,0)</f>
        <v>5280083724</v>
      </c>
      <c r="M40" s="18">
        <f>VLOOKUP(E40,[1]Diccionario!C$2:AC$150,24,0)</f>
        <v>45300</v>
      </c>
      <c r="N40" s="19">
        <f>VLOOKUP(E40,[1]Diccionario!C$2:AC$150,25,0)</f>
        <v>45473</v>
      </c>
      <c r="O40" s="20">
        <f>VLOOKUP(E40,[1]Diccionario!C$2:AC$150,26,0)</f>
        <v>5.7</v>
      </c>
      <c r="P40" s="20">
        <f t="shared" si="0"/>
        <v>1.2999999999999998</v>
      </c>
      <c r="Q40" s="34">
        <v>7</v>
      </c>
      <c r="R40" s="15">
        <v>6</v>
      </c>
      <c r="S40" s="21">
        <v>1</v>
      </c>
      <c r="T40" s="21">
        <v>0.9</v>
      </c>
      <c r="U40" s="22">
        <f>U39+TablaIndicador[[#This Row],[Costo Mensual]]</f>
        <v>0</v>
      </c>
      <c r="V40" s="24"/>
      <c r="W40" s="24">
        <f t="shared" si="1"/>
        <v>4752075351.6000004</v>
      </c>
      <c r="X40" s="24">
        <f t="shared" si="2"/>
        <v>5280083724</v>
      </c>
      <c r="Y40" s="24">
        <f t="shared" si="3"/>
        <v>4752075351.6000004</v>
      </c>
      <c r="Z40" s="24">
        <f t="shared" si="4"/>
        <v>-528008372.39999962</v>
      </c>
      <c r="AA40" s="25" t="str">
        <f t="shared" si="5"/>
        <v>No se realizó gasto en este corte</v>
      </c>
      <c r="AB40" s="26" t="str">
        <f t="shared" si="6"/>
        <v>Costo eficiente: se está gastando menos de lo presupuestado</v>
      </c>
      <c r="AC40" s="26">
        <f t="shared" si="7"/>
        <v>0.9</v>
      </c>
      <c r="AD40" s="26" t="str">
        <f t="shared" si="8"/>
        <v>Proyecto atrasado con respecto al cronograma</v>
      </c>
      <c r="AE40" s="27">
        <f t="shared" si="9"/>
        <v>0</v>
      </c>
      <c r="AF40" s="27">
        <f t="shared" si="10"/>
        <v>-5280083724</v>
      </c>
      <c r="AG40" s="28" t="str">
        <f>VLOOKUP(Indicador!E23,[1]Diccionario!C$1:AC$150,27,0)</f>
        <v>https://growdatasas.sharepoint.com/:x:/r/sites/Gestiondocumental/Administrativa/GD/Financiera/_layouts/15/Doc.aspx?sourcedoc=%7BC3EFE0E2-C211-45B0-905D-ECEF11221767%7D&amp;file=299.%20DEFENSORIA_ERP.xlsm&amp;action=default&amp;mobileredirect=true</v>
      </c>
      <c r="AH40" s="28">
        <v>1</v>
      </c>
      <c r="AI40" s="28">
        <v>1</v>
      </c>
      <c r="AJ40" s="28" t="s">
        <v>46</v>
      </c>
      <c r="AK40" s="28"/>
    </row>
    <row r="41" spans="1:37" ht="18.75" customHeight="1" x14ac:dyDescent="0.25">
      <c r="A41" s="32">
        <v>2024</v>
      </c>
      <c r="B41" s="12" t="s">
        <v>53</v>
      </c>
      <c r="C41" s="10" t="s">
        <v>67</v>
      </c>
      <c r="D41" s="29">
        <v>45307.664935879628</v>
      </c>
      <c r="E41" s="15" t="s">
        <v>68</v>
      </c>
      <c r="F41" s="10" t="s">
        <v>69</v>
      </c>
      <c r="G41" s="10" t="s">
        <v>70</v>
      </c>
      <c r="H41" s="10" t="s">
        <v>71</v>
      </c>
      <c r="I41" s="10" t="s">
        <v>63</v>
      </c>
      <c r="J41" s="30" t="s">
        <v>72</v>
      </c>
      <c r="K41" s="28" t="s">
        <v>73</v>
      </c>
      <c r="L41" s="17">
        <f>VLOOKUP(E41,[1]Diccionario!C$2:AC$150,22,0)</f>
        <v>5280083724</v>
      </c>
      <c r="M41" s="18">
        <f>VLOOKUP(E41,[1]Diccionario!C$2:AC$150,24,0)</f>
        <v>45300</v>
      </c>
      <c r="N41" s="19">
        <f>VLOOKUP(E41,[1]Diccionario!C$2:AC$150,25,0)</f>
        <v>45473</v>
      </c>
      <c r="O41" s="20">
        <f>VLOOKUP(E41,[1]Diccionario!C$2:AC$150,26,0)</f>
        <v>5.7</v>
      </c>
      <c r="P41" s="20">
        <f t="shared" si="0"/>
        <v>2.2999999999999998</v>
      </c>
      <c r="Q41" s="34">
        <v>8</v>
      </c>
      <c r="R41" s="15">
        <v>6</v>
      </c>
      <c r="S41" s="21">
        <v>1</v>
      </c>
      <c r="T41" s="21">
        <v>1</v>
      </c>
      <c r="U41" s="22">
        <f>U40+TablaIndicador[[#This Row],[Costo Mensual]]</f>
        <v>0</v>
      </c>
      <c r="V41" s="24"/>
      <c r="W41" s="24">
        <f t="shared" si="1"/>
        <v>5280083724</v>
      </c>
      <c r="X41" s="24">
        <f t="shared" si="2"/>
        <v>5280083724</v>
      </c>
      <c r="Y41" s="24">
        <f t="shared" si="3"/>
        <v>5280083724</v>
      </c>
      <c r="Z41" s="24">
        <f t="shared" si="4"/>
        <v>0</v>
      </c>
      <c r="AA41" s="25" t="str">
        <f t="shared" si="5"/>
        <v>No se realizó gasto en este corte</v>
      </c>
      <c r="AB41" s="26" t="str">
        <f t="shared" si="6"/>
        <v>Costo eficiente: se está gastando menos de lo presupuestado</v>
      </c>
      <c r="AC41" s="26">
        <f t="shared" si="7"/>
        <v>1</v>
      </c>
      <c r="AD41" s="26" t="str">
        <f t="shared" si="8"/>
        <v>Proyecto a tiempo según lo planificado</v>
      </c>
      <c r="AE41" s="27">
        <f t="shared" si="9"/>
        <v>0</v>
      </c>
      <c r="AF41" s="27">
        <f t="shared" si="10"/>
        <v>-5280083724</v>
      </c>
      <c r="AG41" s="28" t="str">
        <f>VLOOKUP(Indicador!E24,[1]Diccionario!C$1:AC$150,27,0)</f>
        <v>https://growdatasas.sharepoint.com/:x:/r/sites/Gestiondocumental/Administrativa/GD/Financiera/_layouts/15/Doc.aspx?sourcedoc=%7BC3EFE0E2-C211-45B0-905D-ECEF11221767%7D&amp;file=299.%20DEFENSORIA_ERP.xlsm&amp;action=default&amp;mobileredirect=true</v>
      </c>
      <c r="AH41" s="28">
        <v>1</v>
      </c>
      <c r="AI41" s="28">
        <v>1</v>
      </c>
      <c r="AJ41" s="28" t="s">
        <v>46</v>
      </c>
      <c r="AK41" s="28"/>
    </row>
    <row r="42" spans="1:37" ht="18.75" customHeight="1" x14ac:dyDescent="0.25">
      <c r="A42" s="32">
        <v>2024</v>
      </c>
      <c r="B42" s="12" t="s">
        <v>37</v>
      </c>
      <c r="C42" s="10" t="s">
        <v>74</v>
      </c>
      <c r="D42" s="29">
        <v>45323.90036605324</v>
      </c>
      <c r="E42" s="15" t="s">
        <v>75</v>
      </c>
      <c r="F42" s="10" t="s">
        <v>40</v>
      </c>
      <c r="G42" s="10" t="s">
        <v>76</v>
      </c>
      <c r="H42" s="10" t="s">
        <v>77</v>
      </c>
      <c r="I42" s="10" t="s">
        <v>78</v>
      </c>
      <c r="J42" s="10" t="s">
        <v>79</v>
      </c>
      <c r="K42" s="10" t="s">
        <v>80</v>
      </c>
      <c r="L42" s="17">
        <f>VLOOKUP(E42,[1]Diccionario!C$2:AC$150,22,0)</f>
        <v>1422409157</v>
      </c>
      <c r="M42" s="18">
        <f>VLOOKUP(E42,[1]Diccionario!C$2:AC$150,24,0)</f>
        <v>45292</v>
      </c>
      <c r="N42" s="19">
        <f>VLOOKUP(E42,[1]Diccionario!C$2:AC$150,25,0)</f>
        <v>45534</v>
      </c>
      <c r="O42" s="20">
        <f>VLOOKUP(E42,[1]Diccionario!C$2:AC$150,26,0)</f>
        <v>7.97</v>
      </c>
      <c r="P42" s="20">
        <f t="shared" si="0"/>
        <v>-6.97</v>
      </c>
      <c r="Q42" s="20">
        <v>1</v>
      </c>
      <c r="R42" s="15">
        <v>8</v>
      </c>
      <c r="S42" s="21">
        <v>0.1</v>
      </c>
      <c r="T42" s="21">
        <v>0.08</v>
      </c>
      <c r="U42" s="22">
        <f>TablaIndicador[[#This Row],[Costo Mensual]]</f>
        <v>0</v>
      </c>
      <c r="V42" s="22"/>
      <c r="W42" s="24">
        <f t="shared" si="1"/>
        <v>113792732.56</v>
      </c>
      <c r="X42" s="24">
        <f t="shared" si="2"/>
        <v>142240915.70000002</v>
      </c>
      <c r="Y42" s="24">
        <f t="shared" si="3"/>
        <v>113792732.56</v>
      </c>
      <c r="Z42" s="24">
        <f t="shared" si="4"/>
        <v>-28448183.140000015</v>
      </c>
      <c r="AA42" s="25" t="str">
        <f t="shared" si="5"/>
        <v>No se realizó gasto en este corte</v>
      </c>
      <c r="AB42" s="26" t="str">
        <f t="shared" si="6"/>
        <v>Costo eficiente: se está gastando menos de lo presupuestado</v>
      </c>
      <c r="AC42" s="26">
        <f t="shared" si="7"/>
        <v>0.79999999999999993</v>
      </c>
      <c r="AD42" s="26" t="str">
        <f t="shared" si="8"/>
        <v>Proyecto atrasado con respecto al cronograma</v>
      </c>
      <c r="AE42" s="27">
        <f t="shared" si="9"/>
        <v>0</v>
      </c>
      <c r="AF42" s="27">
        <f t="shared" si="10"/>
        <v>-1422409157</v>
      </c>
      <c r="AG42" s="28" t="str">
        <f>VLOOKUP(Indicador!E6,[1]Diccionario!C$1:AC$150,27,0)</f>
        <v>https://growdatasas.sharepoint.com/:x:/r/sites/Gestiondocumental/Administrativa/GD/Financiera/_layouts/15/Doc.aspx?sourcedoc=%7BC3EFE0E2-C211-45B0-905D-ECEF11221767%7D&amp;file=299.%20DEFENSORIA_ERP.xlsm&amp;action=default&amp;mobileredirect=true</v>
      </c>
      <c r="AH42" s="28">
        <v>1</v>
      </c>
      <c r="AI42" s="28">
        <v>1</v>
      </c>
      <c r="AJ42" s="28" t="s">
        <v>46</v>
      </c>
      <c r="AK42" s="28"/>
    </row>
    <row r="43" spans="1:37" ht="18.75" customHeight="1" x14ac:dyDescent="0.25">
      <c r="A43" s="32">
        <v>2024</v>
      </c>
      <c r="B43" s="12" t="s">
        <v>47</v>
      </c>
      <c r="C43" s="10" t="s">
        <v>74</v>
      </c>
      <c r="D43" s="29">
        <v>45323.90036605324</v>
      </c>
      <c r="E43" s="15" t="s">
        <v>75</v>
      </c>
      <c r="F43" s="10" t="s">
        <v>40</v>
      </c>
      <c r="G43" s="10" t="s">
        <v>76</v>
      </c>
      <c r="H43" s="10" t="s">
        <v>77</v>
      </c>
      <c r="I43" s="10" t="s">
        <v>78</v>
      </c>
      <c r="J43" s="10" t="s">
        <v>79</v>
      </c>
      <c r="K43" s="10" t="s">
        <v>80</v>
      </c>
      <c r="L43" s="17">
        <f>VLOOKUP(E43,[1]Diccionario!C$2:AC$150,22,0)</f>
        <v>1422409157</v>
      </c>
      <c r="M43" s="18">
        <f>VLOOKUP(E43,[1]Diccionario!C$2:AC$150,24,0)</f>
        <v>45292</v>
      </c>
      <c r="N43" s="19">
        <f>VLOOKUP(E43,[1]Diccionario!C$2:AC$150,25,0)</f>
        <v>45534</v>
      </c>
      <c r="O43" s="20">
        <f>VLOOKUP(E43,[1]Diccionario!C$2:AC$150,26,0)</f>
        <v>7.97</v>
      </c>
      <c r="P43" s="20">
        <f t="shared" si="0"/>
        <v>-5.97</v>
      </c>
      <c r="Q43" s="20">
        <v>2</v>
      </c>
      <c r="R43" s="15">
        <v>8</v>
      </c>
      <c r="S43" s="21">
        <v>0.2</v>
      </c>
      <c r="T43" s="21">
        <v>0.18</v>
      </c>
      <c r="U43" s="22">
        <f>U42+TablaIndicador[[#This Row],[Costo Mensual]]</f>
        <v>0</v>
      </c>
      <c r="V43" s="22"/>
      <c r="W43" s="24">
        <f t="shared" si="1"/>
        <v>256033648.25999999</v>
      </c>
      <c r="X43" s="24">
        <f t="shared" si="2"/>
        <v>284481831.40000004</v>
      </c>
      <c r="Y43" s="24">
        <f t="shared" si="3"/>
        <v>256033648.25999999</v>
      </c>
      <c r="Z43" s="24">
        <f t="shared" si="4"/>
        <v>-28448183.140000045</v>
      </c>
      <c r="AA43" s="25" t="str">
        <f t="shared" si="5"/>
        <v>No se realizó gasto en este corte</v>
      </c>
      <c r="AB43" s="26" t="str">
        <f t="shared" si="6"/>
        <v>Costo eficiente: se está gastando menos de lo presupuestado</v>
      </c>
      <c r="AC43" s="26">
        <f t="shared" si="7"/>
        <v>0.8999999999999998</v>
      </c>
      <c r="AD43" s="26" t="str">
        <f t="shared" si="8"/>
        <v>Proyecto atrasado con respecto al cronograma</v>
      </c>
      <c r="AE43" s="27">
        <f t="shared" si="9"/>
        <v>0</v>
      </c>
      <c r="AF43" s="27">
        <f t="shared" si="10"/>
        <v>-1422409157</v>
      </c>
      <c r="AG43" s="28" t="str">
        <f>VLOOKUP(Indicador!E7,[1]Diccionario!C$1:AC$150,27,0)</f>
        <v>https://growdatasas.sharepoint.com/:x:/r/sites/Gestiondocumental/Administrativa/GD/Financiera/_layouts/15/Doc.aspx?sourcedoc=%7BC3EFE0E2-C211-45B0-905D-ECEF11221767%7D&amp;file=299.%20DEFENSORIA_ERP.xlsm&amp;action=default&amp;mobileredirect=true</v>
      </c>
      <c r="AH43" s="28">
        <v>1</v>
      </c>
      <c r="AI43" s="28">
        <v>1</v>
      </c>
      <c r="AJ43" s="28" t="s">
        <v>46</v>
      </c>
      <c r="AK43" s="28"/>
    </row>
    <row r="44" spans="1:37" ht="18.75" customHeight="1" x14ac:dyDescent="0.25">
      <c r="A44" s="32">
        <v>2024</v>
      </c>
      <c r="B44" s="12" t="s">
        <v>48</v>
      </c>
      <c r="C44" s="10" t="s">
        <v>74</v>
      </c>
      <c r="D44" s="29">
        <v>45323.90036605324</v>
      </c>
      <c r="E44" s="15" t="s">
        <v>75</v>
      </c>
      <c r="F44" s="10" t="s">
        <v>40</v>
      </c>
      <c r="G44" s="10" t="s">
        <v>76</v>
      </c>
      <c r="H44" s="10" t="s">
        <v>77</v>
      </c>
      <c r="I44" s="10" t="s">
        <v>78</v>
      </c>
      <c r="J44" s="10" t="s">
        <v>79</v>
      </c>
      <c r="K44" s="10" t="s">
        <v>80</v>
      </c>
      <c r="L44" s="17">
        <f>VLOOKUP(E44,[1]Diccionario!C$2:AC$150,22,0)</f>
        <v>1422409157</v>
      </c>
      <c r="M44" s="18">
        <f>VLOOKUP(E44,[1]Diccionario!C$2:AC$150,24,0)</f>
        <v>45292</v>
      </c>
      <c r="N44" s="19">
        <f>VLOOKUP(E44,[1]Diccionario!C$2:AC$150,25,0)</f>
        <v>45534</v>
      </c>
      <c r="O44" s="20">
        <f>VLOOKUP(E44,[1]Diccionario!C$2:AC$150,26,0)</f>
        <v>7.97</v>
      </c>
      <c r="P44" s="20">
        <f t="shared" si="0"/>
        <v>-4.97</v>
      </c>
      <c r="Q44" s="20">
        <v>3</v>
      </c>
      <c r="R44" s="15">
        <v>8</v>
      </c>
      <c r="S44" s="21">
        <v>0.3</v>
      </c>
      <c r="T44" s="21">
        <v>0.32</v>
      </c>
      <c r="U44" s="22">
        <f>U43+TablaIndicador[[#This Row],[Costo Mensual]]</f>
        <v>0</v>
      </c>
      <c r="V44" s="22"/>
      <c r="W44" s="24">
        <f t="shared" si="1"/>
        <v>455170930.24000001</v>
      </c>
      <c r="X44" s="24">
        <f t="shared" si="2"/>
        <v>426722747.09999996</v>
      </c>
      <c r="Y44" s="24">
        <f t="shared" si="3"/>
        <v>455170930.24000001</v>
      </c>
      <c r="Z44" s="24">
        <f t="shared" si="4"/>
        <v>28448183.140000045</v>
      </c>
      <c r="AA44" s="25" t="str">
        <f t="shared" si="5"/>
        <v>No se realizó gasto en este corte</v>
      </c>
      <c r="AB44" s="26" t="str">
        <f t="shared" si="6"/>
        <v>Costo eficiente: se está gastando menos de lo presupuestado</v>
      </c>
      <c r="AC44" s="26">
        <f t="shared" si="7"/>
        <v>1.0666666666666669</v>
      </c>
      <c r="AD44" s="26" t="str">
        <f t="shared" si="8"/>
        <v>Proyecto adelantado respecto al cronograma</v>
      </c>
      <c r="AE44" s="27">
        <f t="shared" si="9"/>
        <v>0</v>
      </c>
      <c r="AF44" s="27">
        <f t="shared" si="10"/>
        <v>-1422409157</v>
      </c>
      <c r="AG44" s="28" t="str">
        <f>VLOOKUP(Indicador!E8,[1]Diccionario!C$1:AC$150,27,0)</f>
        <v>https://growdatasas.sharepoint.com/:x:/r/sites/Gestiondocumental/Administrativa/GD/Financiera/_layouts/15/Doc.aspx?sourcedoc=%7BC3EFE0E2-C211-45B0-905D-ECEF11221767%7D&amp;file=299.%20DEFENSORIA_ERP.xlsm&amp;action=default&amp;mobileredirect=true</v>
      </c>
      <c r="AH44" s="28">
        <v>1</v>
      </c>
      <c r="AI44" s="28">
        <v>1</v>
      </c>
      <c r="AJ44" s="28" t="s">
        <v>46</v>
      </c>
      <c r="AK44" s="28"/>
    </row>
    <row r="45" spans="1:37" ht="18.75" customHeight="1" x14ac:dyDescent="0.25">
      <c r="A45" s="32">
        <v>2024</v>
      </c>
      <c r="B45" s="12" t="s">
        <v>49</v>
      </c>
      <c r="C45" s="10" t="s">
        <v>74</v>
      </c>
      <c r="D45" s="29">
        <v>45323.90036605324</v>
      </c>
      <c r="E45" s="15" t="s">
        <v>75</v>
      </c>
      <c r="F45" s="10" t="s">
        <v>40</v>
      </c>
      <c r="G45" s="10" t="s">
        <v>76</v>
      </c>
      <c r="H45" s="10" t="s">
        <v>77</v>
      </c>
      <c r="I45" s="10" t="s">
        <v>78</v>
      </c>
      <c r="J45" s="10" t="s">
        <v>79</v>
      </c>
      <c r="K45" s="10" t="s">
        <v>80</v>
      </c>
      <c r="L45" s="17">
        <f>VLOOKUP(E45,[1]Diccionario!C$2:AC$150,22,0)</f>
        <v>1422409157</v>
      </c>
      <c r="M45" s="18">
        <f>VLOOKUP(E45,[1]Diccionario!C$2:AC$150,24,0)</f>
        <v>45292</v>
      </c>
      <c r="N45" s="19">
        <f>VLOOKUP(E45,[1]Diccionario!C$2:AC$150,25,0)</f>
        <v>45534</v>
      </c>
      <c r="O45" s="20">
        <f>VLOOKUP(E45,[1]Diccionario!C$2:AC$150,26,0)</f>
        <v>7.97</v>
      </c>
      <c r="P45" s="20">
        <f t="shared" si="0"/>
        <v>-3.9699999999999998</v>
      </c>
      <c r="Q45" s="20">
        <v>4</v>
      </c>
      <c r="R45" s="15">
        <v>8</v>
      </c>
      <c r="S45" s="21">
        <v>0.5</v>
      </c>
      <c r="T45" s="21">
        <v>0.51</v>
      </c>
      <c r="U45" s="22">
        <f>U44+TablaIndicador[[#This Row],[Costo Mensual]]</f>
        <v>0</v>
      </c>
      <c r="V45" s="22"/>
      <c r="W45" s="24">
        <f t="shared" si="1"/>
        <v>725428670.07000005</v>
      </c>
      <c r="X45" s="24">
        <f t="shared" si="2"/>
        <v>711204578.5</v>
      </c>
      <c r="Y45" s="24">
        <f t="shared" si="3"/>
        <v>725428670.07000005</v>
      </c>
      <c r="Z45" s="24">
        <f t="shared" si="4"/>
        <v>14224091.570000052</v>
      </c>
      <c r="AA45" s="25" t="str">
        <f t="shared" si="5"/>
        <v>No se realizó gasto en este corte</v>
      </c>
      <c r="AB45" s="26" t="str">
        <f t="shared" si="6"/>
        <v>Costo eficiente: se está gastando menos de lo presupuestado</v>
      </c>
      <c r="AC45" s="26">
        <f t="shared" si="7"/>
        <v>1.02</v>
      </c>
      <c r="AD45" s="26" t="str">
        <f t="shared" si="8"/>
        <v>Proyecto adelantado respecto al cronograma</v>
      </c>
      <c r="AE45" s="27">
        <f t="shared" si="9"/>
        <v>0</v>
      </c>
      <c r="AF45" s="27">
        <f t="shared" si="10"/>
        <v>-1422409157</v>
      </c>
      <c r="AG45" s="28" t="str">
        <f>VLOOKUP(Indicador!E9,[1]Diccionario!C$1:AC$150,27,0)</f>
        <v>https://growdatasas.sharepoint.com/:x:/r/sites/Gestiondocumental/Administrativa/GD/Financiera/_layouts/15/Doc.aspx?sourcedoc=%7BC3EFE0E2-C211-45B0-905D-ECEF11221767%7D&amp;file=299.%20DEFENSORIA_ERP.xlsm&amp;action=default&amp;mobileredirect=true</v>
      </c>
      <c r="AH45" s="28">
        <v>1</v>
      </c>
      <c r="AI45" s="28">
        <v>1</v>
      </c>
      <c r="AJ45" s="28" t="s">
        <v>46</v>
      </c>
      <c r="AK45" s="28"/>
    </row>
    <row r="46" spans="1:37" ht="18.75" customHeight="1" x14ac:dyDescent="0.25">
      <c r="A46" s="32">
        <v>2024</v>
      </c>
      <c r="B46" s="12" t="s">
        <v>50</v>
      </c>
      <c r="C46" s="10" t="s">
        <v>74</v>
      </c>
      <c r="D46" s="29">
        <v>45323.90036605324</v>
      </c>
      <c r="E46" s="15" t="s">
        <v>75</v>
      </c>
      <c r="F46" s="10" t="s">
        <v>40</v>
      </c>
      <c r="G46" s="10" t="s">
        <v>76</v>
      </c>
      <c r="H46" s="10" t="s">
        <v>77</v>
      </c>
      <c r="I46" s="10" t="s">
        <v>78</v>
      </c>
      <c r="J46" s="10" t="s">
        <v>79</v>
      </c>
      <c r="K46" s="10" t="s">
        <v>80</v>
      </c>
      <c r="L46" s="17">
        <f>VLOOKUP(E46,[1]Diccionario!C$2:AC$150,22,0)</f>
        <v>1422409157</v>
      </c>
      <c r="M46" s="18">
        <f>VLOOKUP(E46,[1]Diccionario!C$2:AC$150,24,0)</f>
        <v>45292</v>
      </c>
      <c r="N46" s="19">
        <f>VLOOKUP(E46,[1]Diccionario!C$2:AC$150,25,0)</f>
        <v>45534</v>
      </c>
      <c r="O46" s="20">
        <f>VLOOKUP(E46,[1]Diccionario!C$2:AC$150,26,0)</f>
        <v>7.97</v>
      </c>
      <c r="P46" s="20">
        <f t="shared" si="0"/>
        <v>-2.9699999999999998</v>
      </c>
      <c r="Q46" s="20">
        <v>5</v>
      </c>
      <c r="R46" s="15">
        <v>8</v>
      </c>
      <c r="S46" s="21">
        <v>0.6</v>
      </c>
      <c r="T46" s="21">
        <v>0.6</v>
      </c>
      <c r="U46" s="22">
        <f>U45+TablaIndicador[[#This Row],[Costo Mensual]]</f>
        <v>0</v>
      </c>
      <c r="V46" s="22"/>
      <c r="W46" s="24">
        <f t="shared" si="1"/>
        <v>853445494.19999993</v>
      </c>
      <c r="X46" s="24">
        <f t="shared" si="2"/>
        <v>853445494.19999993</v>
      </c>
      <c r="Y46" s="24">
        <f t="shared" si="3"/>
        <v>853445494.19999993</v>
      </c>
      <c r="Z46" s="24">
        <f t="shared" si="4"/>
        <v>0</v>
      </c>
      <c r="AA46" s="25" t="str">
        <f t="shared" si="5"/>
        <v>No se realizó gasto en este corte</v>
      </c>
      <c r="AB46" s="26" t="str">
        <f t="shared" si="6"/>
        <v>Costo eficiente: se está gastando menos de lo presupuestado</v>
      </c>
      <c r="AC46" s="26">
        <f t="shared" si="7"/>
        <v>1</v>
      </c>
      <c r="AD46" s="26" t="str">
        <f t="shared" si="8"/>
        <v>Proyecto a tiempo según lo planificado</v>
      </c>
      <c r="AE46" s="27">
        <f t="shared" si="9"/>
        <v>0</v>
      </c>
      <c r="AF46" s="27">
        <f t="shared" si="10"/>
        <v>-1422409157</v>
      </c>
      <c r="AG46" s="28" t="str">
        <f>VLOOKUP(Indicador!E10,[1]Diccionario!C$1:AC$150,27,0)</f>
        <v>https://growdatasas.sharepoint.com/:x:/r/sites/Gestiondocumental/Administrativa/GD/Financiera/_layouts/15/Doc.aspx?sourcedoc=%7BC3EFE0E2-C211-45B0-905D-ECEF11221767%7D&amp;file=299.%20DEFENSORIA_ERP.xlsm&amp;action=default&amp;mobileredirect=true</v>
      </c>
      <c r="AH46" s="28">
        <v>1</v>
      </c>
      <c r="AI46" s="28">
        <v>1</v>
      </c>
      <c r="AJ46" s="28" t="s">
        <v>46</v>
      </c>
      <c r="AK46" s="28"/>
    </row>
    <row r="47" spans="1:37" ht="18.75" customHeight="1" x14ac:dyDescent="0.25">
      <c r="A47" s="32">
        <v>2024</v>
      </c>
      <c r="B47" s="12" t="s">
        <v>51</v>
      </c>
      <c r="C47" s="10" t="s">
        <v>74</v>
      </c>
      <c r="D47" s="29">
        <v>45323.90036605324</v>
      </c>
      <c r="E47" s="15" t="s">
        <v>75</v>
      </c>
      <c r="F47" s="10" t="s">
        <v>40</v>
      </c>
      <c r="G47" s="10" t="s">
        <v>76</v>
      </c>
      <c r="H47" s="10" t="s">
        <v>77</v>
      </c>
      <c r="I47" s="10" t="s">
        <v>78</v>
      </c>
      <c r="J47" s="10" t="s">
        <v>79</v>
      </c>
      <c r="K47" s="10" t="s">
        <v>80</v>
      </c>
      <c r="L47" s="17">
        <f>VLOOKUP(E47,[1]Diccionario!C$2:AC$150,22,0)</f>
        <v>1422409157</v>
      </c>
      <c r="M47" s="18">
        <f>VLOOKUP(E47,[1]Diccionario!C$2:AC$150,24,0)</f>
        <v>45292</v>
      </c>
      <c r="N47" s="19">
        <f>VLOOKUP(E47,[1]Diccionario!C$2:AC$150,25,0)</f>
        <v>45534</v>
      </c>
      <c r="O47" s="20">
        <f>VLOOKUP(E47,[1]Diccionario!C$2:AC$150,26,0)</f>
        <v>7.97</v>
      </c>
      <c r="P47" s="20">
        <f t="shared" si="0"/>
        <v>-1.9699999999999998</v>
      </c>
      <c r="Q47" s="20">
        <v>6</v>
      </c>
      <c r="R47" s="15">
        <v>8</v>
      </c>
      <c r="S47" s="21">
        <v>0.75</v>
      </c>
      <c r="T47" s="21">
        <v>0.73</v>
      </c>
      <c r="U47" s="22">
        <f>U46+TablaIndicador[[#This Row],[Costo Mensual]]</f>
        <v>0</v>
      </c>
      <c r="V47" s="22"/>
      <c r="W47" s="24">
        <f t="shared" si="1"/>
        <v>1038358684.61</v>
      </c>
      <c r="X47" s="24">
        <f t="shared" si="2"/>
        <v>1066806867.75</v>
      </c>
      <c r="Y47" s="24">
        <f t="shared" si="3"/>
        <v>1038358684.61</v>
      </c>
      <c r="Z47" s="24">
        <f t="shared" si="4"/>
        <v>-28448183.139999986</v>
      </c>
      <c r="AA47" s="25" t="str">
        <f t="shared" si="5"/>
        <v>No se realizó gasto en este corte</v>
      </c>
      <c r="AB47" s="26" t="str">
        <f t="shared" si="6"/>
        <v>Costo eficiente: se está gastando menos de lo presupuestado</v>
      </c>
      <c r="AC47" s="26">
        <f t="shared" si="7"/>
        <v>0.97333333333333338</v>
      </c>
      <c r="AD47" s="26" t="str">
        <f t="shared" si="8"/>
        <v>Proyecto atrasado con respecto al cronograma</v>
      </c>
      <c r="AE47" s="27">
        <f t="shared" si="9"/>
        <v>0</v>
      </c>
      <c r="AF47" s="27">
        <f t="shared" si="10"/>
        <v>-1422409157</v>
      </c>
      <c r="AG47" s="28" t="str">
        <f>VLOOKUP(Indicador!E11,[1]Diccionario!C$1:AC$150,27,0)</f>
        <v>https://growdatasas.sharepoint.com/:x:/r/sites/Gestiondocumental/Administrativa/GD/Financiera/_layouts/15/Doc.aspx?sourcedoc=%7BC3EFE0E2-C211-45B0-905D-ECEF11221767%7D&amp;file=299.%20DEFENSORIA_ERP.xlsm&amp;action=default&amp;mobileredirect=true</v>
      </c>
      <c r="AH47" s="28">
        <v>1</v>
      </c>
      <c r="AI47" s="28">
        <v>1</v>
      </c>
      <c r="AJ47" s="28" t="s">
        <v>46</v>
      </c>
      <c r="AK47" s="28"/>
    </row>
    <row r="48" spans="1:37" ht="18.75" customHeight="1" x14ac:dyDescent="0.25">
      <c r="A48" s="32">
        <v>2024</v>
      </c>
      <c r="B48" s="12" t="s">
        <v>52</v>
      </c>
      <c r="C48" s="10" t="s">
        <v>74</v>
      </c>
      <c r="D48" s="29">
        <v>45323.90036605324</v>
      </c>
      <c r="E48" s="15" t="s">
        <v>75</v>
      </c>
      <c r="F48" s="10" t="s">
        <v>40</v>
      </c>
      <c r="G48" s="10" t="s">
        <v>76</v>
      </c>
      <c r="H48" s="10" t="s">
        <v>77</v>
      </c>
      <c r="I48" s="10" t="s">
        <v>78</v>
      </c>
      <c r="J48" s="10" t="s">
        <v>79</v>
      </c>
      <c r="K48" s="10" t="s">
        <v>80</v>
      </c>
      <c r="L48" s="17">
        <f>VLOOKUP(E48,[1]Diccionario!C$2:AC$150,22,0)</f>
        <v>1422409157</v>
      </c>
      <c r="M48" s="18">
        <f>VLOOKUP(E48,[1]Diccionario!C$2:AC$150,24,0)</f>
        <v>45292</v>
      </c>
      <c r="N48" s="19">
        <f>VLOOKUP(E48,[1]Diccionario!C$2:AC$150,25,0)</f>
        <v>45534</v>
      </c>
      <c r="O48" s="20">
        <f>VLOOKUP(E48,[1]Diccionario!C$2:AC$150,26,0)</f>
        <v>7.97</v>
      </c>
      <c r="P48" s="20">
        <f t="shared" si="0"/>
        <v>-0.96999999999999975</v>
      </c>
      <c r="Q48" s="20">
        <v>7</v>
      </c>
      <c r="R48" s="15">
        <v>8</v>
      </c>
      <c r="S48" s="21">
        <v>0.8</v>
      </c>
      <c r="T48" s="21">
        <v>0.82</v>
      </c>
      <c r="U48" s="22">
        <f>U47+TablaIndicador[[#This Row],[Costo Mensual]]</f>
        <v>0</v>
      </c>
      <c r="V48" s="22"/>
      <c r="W48" s="24">
        <f t="shared" si="1"/>
        <v>1166375508.74</v>
      </c>
      <c r="X48" s="24">
        <f t="shared" si="2"/>
        <v>1137927325.6000001</v>
      </c>
      <c r="Y48" s="24">
        <f t="shared" si="3"/>
        <v>1166375508.74</v>
      </c>
      <c r="Z48" s="24">
        <f t="shared" si="4"/>
        <v>28448183.139999866</v>
      </c>
      <c r="AA48" s="25" t="str">
        <f t="shared" si="5"/>
        <v>No se realizó gasto en este corte</v>
      </c>
      <c r="AB48" s="26" t="str">
        <f t="shared" si="6"/>
        <v>Costo eficiente: se está gastando menos de lo presupuestado</v>
      </c>
      <c r="AC48" s="26">
        <f t="shared" si="7"/>
        <v>1.0249999999999999</v>
      </c>
      <c r="AD48" s="26" t="str">
        <f t="shared" si="8"/>
        <v>Proyecto adelantado respecto al cronograma</v>
      </c>
      <c r="AE48" s="27">
        <f t="shared" si="9"/>
        <v>0</v>
      </c>
      <c r="AF48" s="27">
        <f t="shared" si="10"/>
        <v>-1422409157</v>
      </c>
      <c r="AG48" s="28" t="str">
        <f>VLOOKUP(Indicador!E12,[1]Diccionario!C$1:AC$150,27,0)</f>
        <v>https://growdatasas.sharepoint.com/:x:/r/sites/Gestiondocumental/Administrativa/GD/Financiera/_layouts/15/Doc.aspx?sourcedoc=%7BC3EFE0E2-C211-45B0-905D-ECEF11221767%7D&amp;file=299.%20DEFENSORIA_ERP.xlsm&amp;action=default&amp;mobileredirect=true</v>
      </c>
      <c r="AH48" s="28">
        <v>1</v>
      </c>
      <c r="AI48" s="28">
        <v>1</v>
      </c>
      <c r="AJ48" s="28" t="s">
        <v>46</v>
      </c>
      <c r="AK48" s="28"/>
    </row>
    <row r="49" spans="1:37" ht="18.75" customHeight="1" x14ac:dyDescent="0.25">
      <c r="A49" s="32">
        <v>2024</v>
      </c>
      <c r="B49" s="12" t="s">
        <v>53</v>
      </c>
      <c r="C49" s="10" t="s">
        <v>74</v>
      </c>
      <c r="D49" s="29">
        <v>45323.90036605324</v>
      </c>
      <c r="E49" s="15" t="s">
        <v>75</v>
      </c>
      <c r="F49" s="10" t="s">
        <v>40</v>
      </c>
      <c r="G49" s="10" t="s">
        <v>76</v>
      </c>
      <c r="H49" s="10" t="s">
        <v>77</v>
      </c>
      <c r="I49" s="10" t="s">
        <v>78</v>
      </c>
      <c r="J49" s="10" t="s">
        <v>79</v>
      </c>
      <c r="K49" s="10" t="s">
        <v>80</v>
      </c>
      <c r="L49" s="35">
        <f>VLOOKUP(E49,[1]Diccionario!C$2:AC$150,22,0)</f>
        <v>1422409157</v>
      </c>
      <c r="M49" s="18">
        <f>VLOOKUP(E49,[1]Diccionario!C$2:AC$150,24,0)</f>
        <v>45292</v>
      </c>
      <c r="N49" s="19">
        <f>VLOOKUP(E49,[1]Diccionario!C$2:AC$150,25,0)</f>
        <v>45534</v>
      </c>
      <c r="O49" s="20">
        <f>VLOOKUP(E49,[1]Diccionario!C$2:AC$150,26,0)</f>
        <v>7.97</v>
      </c>
      <c r="P49" s="20">
        <f t="shared" si="0"/>
        <v>3.0000000000000249E-2</v>
      </c>
      <c r="Q49" s="20">
        <v>8</v>
      </c>
      <c r="R49" s="15">
        <v>8</v>
      </c>
      <c r="S49" s="21">
        <v>1</v>
      </c>
      <c r="T49" s="21">
        <v>1</v>
      </c>
      <c r="U49" s="22">
        <f>U48+TablaIndicador[[#This Row],[Costo Mensual]]</f>
        <v>0</v>
      </c>
      <c r="V49" s="22"/>
      <c r="W49" s="24">
        <f t="shared" si="1"/>
        <v>1422409157</v>
      </c>
      <c r="X49" s="24">
        <f t="shared" si="2"/>
        <v>1422409157</v>
      </c>
      <c r="Y49" s="24">
        <f t="shared" si="3"/>
        <v>1422409157</v>
      </c>
      <c r="Z49" s="24">
        <f t="shared" si="4"/>
        <v>0</v>
      </c>
      <c r="AA49" s="25" t="str">
        <f t="shared" si="5"/>
        <v>No se realizó gasto en este corte</v>
      </c>
      <c r="AB49" s="26" t="str">
        <f t="shared" si="6"/>
        <v>Costo eficiente: se está gastando menos de lo presupuestado</v>
      </c>
      <c r="AC49" s="26">
        <f t="shared" si="7"/>
        <v>1</v>
      </c>
      <c r="AD49" s="26" t="str">
        <f t="shared" si="8"/>
        <v>Proyecto a tiempo según lo planificado</v>
      </c>
      <c r="AE49" s="27">
        <f t="shared" si="9"/>
        <v>0</v>
      </c>
      <c r="AF49" s="27">
        <f t="shared" si="10"/>
        <v>-1422409157</v>
      </c>
      <c r="AG49" s="28" t="str">
        <f>VLOOKUP(Indicador!E13,[1]Diccionario!C$1:AC$150,27,0)</f>
        <v>https://growdatasas.sharepoint.com/:x:/r/sites/Gestiondocumental/Administrativa/GD/Financiera/_layouts/15/Doc.aspx?sourcedoc=%7BC3EFE0E2-C211-45B0-905D-ECEF11221767%7D&amp;file=299.%20DEFENSORIA_ERP.xlsm&amp;action=default&amp;mobileredirect=true</v>
      </c>
      <c r="AH49" s="28">
        <v>1</v>
      </c>
      <c r="AI49" s="28">
        <v>1</v>
      </c>
      <c r="AJ49" s="28" t="s">
        <v>46</v>
      </c>
      <c r="AK49" s="28"/>
    </row>
    <row r="50" spans="1:37" ht="18.75" customHeight="1" x14ac:dyDescent="0.25">
      <c r="A50" s="32">
        <v>2024</v>
      </c>
      <c r="B50" s="12" t="s">
        <v>53</v>
      </c>
      <c r="C50" s="10" t="s">
        <v>74</v>
      </c>
      <c r="D50" s="29">
        <v>45323.90036605324</v>
      </c>
      <c r="E50" s="15" t="s">
        <v>75</v>
      </c>
      <c r="F50" s="10" t="s">
        <v>40</v>
      </c>
      <c r="G50" s="10" t="s">
        <v>76</v>
      </c>
      <c r="H50" s="10" t="s">
        <v>77</v>
      </c>
      <c r="I50" s="10" t="s">
        <v>78</v>
      </c>
      <c r="J50" s="10" t="s">
        <v>79</v>
      </c>
      <c r="K50" s="10" t="s">
        <v>80</v>
      </c>
      <c r="L50" s="35">
        <f>VLOOKUP(E50,[1]Diccionario!C$2:AC$150,22,0)</f>
        <v>1422409157</v>
      </c>
      <c r="M50" s="18">
        <f>VLOOKUP(E50,[1]Diccionario!C$2:AC$150,24,0)</f>
        <v>45292</v>
      </c>
      <c r="N50" s="19">
        <f>VLOOKUP(E50,[1]Diccionario!C$2:AC$150,25,0)</f>
        <v>45534</v>
      </c>
      <c r="O50" s="20">
        <f>VLOOKUP(E50,[1]Diccionario!C$2:AC$150,26,0)</f>
        <v>7.97</v>
      </c>
      <c r="P50" s="20">
        <f t="shared" si="0"/>
        <v>3.0000000000000249E-2</v>
      </c>
      <c r="Q50" s="20">
        <v>8</v>
      </c>
      <c r="R50" s="15">
        <v>8</v>
      </c>
      <c r="S50" s="21">
        <v>1</v>
      </c>
      <c r="T50" s="21">
        <v>1</v>
      </c>
      <c r="U50" s="22">
        <f>U49+TablaIndicador[[#This Row],[Costo Mensual]]</f>
        <v>0</v>
      </c>
      <c r="V50" s="23"/>
      <c r="W50" s="24">
        <f t="shared" si="1"/>
        <v>1422409157</v>
      </c>
      <c r="X50" s="24">
        <f t="shared" si="2"/>
        <v>1422409157</v>
      </c>
      <c r="Y50" s="24">
        <f t="shared" si="3"/>
        <v>1422409157</v>
      </c>
      <c r="Z50" s="24">
        <f t="shared" si="4"/>
        <v>0</v>
      </c>
      <c r="AA50" s="25" t="str">
        <f t="shared" si="5"/>
        <v>No se realizó gasto en este corte</v>
      </c>
      <c r="AB50" s="26" t="str">
        <f t="shared" si="6"/>
        <v>Costo eficiente: se está gastando menos de lo presupuestado</v>
      </c>
      <c r="AC50" s="26">
        <f t="shared" si="7"/>
        <v>1</v>
      </c>
      <c r="AD50" s="26" t="str">
        <f t="shared" si="8"/>
        <v>Proyecto a tiempo según lo planificado</v>
      </c>
      <c r="AE50" s="27">
        <f t="shared" si="9"/>
        <v>0</v>
      </c>
      <c r="AF50" s="27">
        <f t="shared" si="10"/>
        <v>-1422409157</v>
      </c>
      <c r="AG50" s="28" t="str">
        <f>VLOOKUP(Indicador!E14,[1]Diccionario!C$1:AC$150,27,0)</f>
        <v>https://growdatasas.sharepoint.com/:x:/r/sites/Gestiondocumental/Administrativa/GD/Financiera/_layouts/15/Doc.aspx?sourcedoc=%7BC3EFE0E2-C211-45B0-905D-ECEF11221767%7D&amp;file=299.%20DEFENSORIA_ERP.xlsm&amp;action=default&amp;mobileredirect=true</v>
      </c>
      <c r="AH50" s="28">
        <v>1</v>
      </c>
      <c r="AI50" s="28">
        <v>1</v>
      </c>
      <c r="AJ50" s="28" t="s">
        <v>46</v>
      </c>
      <c r="AK50" s="28"/>
    </row>
    <row r="51" spans="1:37" ht="18.75" customHeight="1" x14ac:dyDescent="0.25">
      <c r="A51" s="11">
        <v>2024</v>
      </c>
      <c r="B51" s="12" t="s">
        <v>53</v>
      </c>
      <c r="C51" s="10" t="s">
        <v>74</v>
      </c>
      <c r="D51" s="29">
        <v>45323.90036605324</v>
      </c>
      <c r="E51" s="15" t="s">
        <v>75</v>
      </c>
      <c r="F51" s="10" t="s">
        <v>40</v>
      </c>
      <c r="G51" s="13" t="s">
        <v>76</v>
      </c>
      <c r="H51" s="10" t="s">
        <v>77</v>
      </c>
      <c r="I51" s="10" t="s">
        <v>78</v>
      </c>
      <c r="J51" s="10" t="s">
        <v>79</v>
      </c>
      <c r="K51" s="13" t="s">
        <v>80</v>
      </c>
      <c r="L51" s="35">
        <f>VLOOKUP(E51,[1]Diccionario!C$2:AC$150,22,0)</f>
        <v>1422409157</v>
      </c>
      <c r="M51" s="18">
        <f>VLOOKUP(E51,[1]Diccionario!C$2:AC$150,24,0)</f>
        <v>45292</v>
      </c>
      <c r="N51" s="19">
        <f>VLOOKUP(E51,[1]Diccionario!C$2:AC$150,25,0)</f>
        <v>45534</v>
      </c>
      <c r="O51" s="20">
        <f>VLOOKUP(E51,[1]Diccionario!C$2:AC$150,26,0)</f>
        <v>7.97</v>
      </c>
      <c r="P51" s="20">
        <f t="shared" si="0"/>
        <v>3.0000000000000249E-2</v>
      </c>
      <c r="Q51" s="20">
        <v>8</v>
      </c>
      <c r="R51" s="15">
        <v>8</v>
      </c>
      <c r="S51" s="21">
        <v>1</v>
      </c>
      <c r="T51" s="21">
        <v>1</v>
      </c>
      <c r="U51" s="22">
        <f>U50+TablaIndicador[[#This Row],[Costo Mensual]]</f>
        <v>0</v>
      </c>
      <c r="V51" s="33"/>
      <c r="W51" s="24">
        <f t="shared" si="1"/>
        <v>1422409157</v>
      </c>
      <c r="X51" s="24">
        <f t="shared" si="2"/>
        <v>1422409157</v>
      </c>
      <c r="Y51" s="24">
        <f t="shared" si="3"/>
        <v>1422409157</v>
      </c>
      <c r="Z51" s="24">
        <f t="shared" si="4"/>
        <v>0</v>
      </c>
      <c r="AA51" s="25" t="str">
        <f t="shared" si="5"/>
        <v>No se realizó gasto en este corte</v>
      </c>
      <c r="AB51" s="26" t="str">
        <f t="shared" si="6"/>
        <v>Costo eficiente: se está gastando menos de lo presupuestado</v>
      </c>
      <c r="AC51" s="26">
        <f t="shared" si="7"/>
        <v>1</v>
      </c>
      <c r="AD51" s="26" t="str">
        <f t="shared" si="8"/>
        <v>Proyecto a tiempo según lo planificado</v>
      </c>
      <c r="AE51" s="27">
        <f t="shared" si="9"/>
        <v>0</v>
      </c>
      <c r="AF51" s="27">
        <f t="shared" si="10"/>
        <v>-1422409157</v>
      </c>
      <c r="AG51" s="28" t="str">
        <f>VLOOKUP(Indicador!E15,[1]Diccionario!C$1:AC$150,27,0)</f>
        <v>https://growdatasas.sharepoint.com/:x:/r/sites/Gestiondocumental/Administrativa/GD/Financiera/_layouts/15/Doc.aspx?sourcedoc=%7BC3EFE0E2-C211-45B0-905D-ECEF11221767%7D&amp;file=299.%20DEFENSORIA_ERP.xlsm&amp;action=default&amp;mobileredirect=true</v>
      </c>
      <c r="AH51" s="28">
        <v>1</v>
      </c>
      <c r="AI51" s="28">
        <v>1</v>
      </c>
      <c r="AJ51" s="28" t="s">
        <v>46</v>
      </c>
      <c r="AK51" s="28"/>
    </row>
    <row r="52" spans="1:37" ht="18.75" customHeight="1" x14ac:dyDescent="0.25">
      <c r="A52" s="11">
        <v>2024</v>
      </c>
      <c r="B52" s="12" t="s">
        <v>53</v>
      </c>
      <c r="C52" s="10" t="s">
        <v>74</v>
      </c>
      <c r="D52" s="29">
        <v>45323.90036605324</v>
      </c>
      <c r="E52" s="15" t="s">
        <v>75</v>
      </c>
      <c r="F52" s="10" t="s">
        <v>40</v>
      </c>
      <c r="G52" s="13" t="s">
        <v>76</v>
      </c>
      <c r="H52" s="10" t="s">
        <v>77</v>
      </c>
      <c r="I52" s="10" t="s">
        <v>78</v>
      </c>
      <c r="J52" s="10" t="s">
        <v>79</v>
      </c>
      <c r="K52" s="13" t="s">
        <v>80</v>
      </c>
      <c r="L52" s="35">
        <f>VLOOKUP(E52,[1]Diccionario!C$2:AC$150,22,0)</f>
        <v>1422409157</v>
      </c>
      <c r="M52" s="18">
        <f>VLOOKUP(E52,[1]Diccionario!C$2:AC$150,24,0)</f>
        <v>45292</v>
      </c>
      <c r="N52" s="19">
        <f>VLOOKUP(E52,[1]Diccionario!C$2:AC$150,25,0)</f>
        <v>45534</v>
      </c>
      <c r="O52" s="20">
        <f>VLOOKUP(E52,[1]Diccionario!C$2:AC$150,26,0)</f>
        <v>7.97</v>
      </c>
      <c r="P52" s="20">
        <f t="shared" si="0"/>
        <v>3.0000000000000249E-2</v>
      </c>
      <c r="Q52" s="20">
        <v>8</v>
      </c>
      <c r="R52" s="15">
        <v>8</v>
      </c>
      <c r="S52" s="21">
        <v>1</v>
      </c>
      <c r="T52" s="21">
        <v>1</v>
      </c>
      <c r="U52" s="22">
        <f>U51+TablaIndicador[[#This Row],[Costo Mensual]]</f>
        <v>0</v>
      </c>
      <c r="V52" s="33"/>
      <c r="W52" s="24">
        <f t="shared" si="1"/>
        <v>1422409157</v>
      </c>
      <c r="X52" s="24">
        <f t="shared" si="2"/>
        <v>1422409157</v>
      </c>
      <c r="Y52" s="24">
        <f t="shared" si="3"/>
        <v>1422409157</v>
      </c>
      <c r="Z52" s="24">
        <f t="shared" si="4"/>
        <v>0</v>
      </c>
      <c r="AA52" s="25" t="str">
        <f t="shared" si="5"/>
        <v>No se realizó gasto en este corte</v>
      </c>
      <c r="AB52" s="26" t="str">
        <f t="shared" si="6"/>
        <v>Costo eficiente: se está gastando menos de lo presupuestado</v>
      </c>
      <c r="AC52" s="26">
        <f t="shared" si="7"/>
        <v>1</v>
      </c>
      <c r="AD52" s="26" t="str">
        <f t="shared" si="8"/>
        <v>Proyecto a tiempo según lo planificado</v>
      </c>
      <c r="AE52" s="27">
        <f t="shared" si="9"/>
        <v>0</v>
      </c>
      <c r="AF52" s="27">
        <f t="shared" si="10"/>
        <v>-1422409157</v>
      </c>
      <c r="AG52" s="28" t="str">
        <f>VLOOKUP(Indicador!E16,[1]Diccionario!C$1:AC$150,27,0)</f>
        <v>https://growdatasas.sharepoint.com/:x:/r/sites/Gestiondocumental/Administrativa/GD/Financiera/_layouts/15/Doc.aspx?sourcedoc=%7BC3EFE0E2-C211-45B0-905D-ECEF11221767%7D&amp;file=299.%20DEFENSORIA_ERP.xlsm&amp;action=default&amp;mobileredirect=true</v>
      </c>
      <c r="AH52" s="28">
        <v>1</v>
      </c>
      <c r="AI52" s="28">
        <v>1</v>
      </c>
      <c r="AJ52" s="28" t="s">
        <v>46</v>
      </c>
      <c r="AK52" s="28"/>
    </row>
    <row r="53" spans="1:37" ht="18.75" customHeight="1" x14ac:dyDescent="0.25">
      <c r="A53" s="11">
        <v>2024</v>
      </c>
      <c r="B53" s="12" t="s">
        <v>37</v>
      </c>
      <c r="C53" s="28" t="s">
        <v>81</v>
      </c>
      <c r="D53" s="36">
        <v>45348.736015659721</v>
      </c>
      <c r="E53" s="15" t="s">
        <v>82</v>
      </c>
      <c r="F53" s="28" t="s">
        <v>83</v>
      </c>
      <c r="G53" s="15" t="s">
        <v>84</v>
      </c>
      <c r="H53" s="28" t="s">
        <v>85</v>
      </c>
      <c r="I53" s="28" t="s">
        <v>63</v>
      </c>
      <c r="J53" s="28" t="s">
        <v>86</v>
      </c>
      <c r="K53" s="15" t="s">
        <v>73</v>
      </c>
      <c r="L53" s="17">
        <f>VLOOKUP(E53,[1]Diccionario!C$2:AC$150,22,0)</f>
        <v>13344287960</v>
      </c>
      <c r="M53" s="18">
        <f>VLOOKUP(E53,[1]Diccionario!C$2:AC$150,24,0)</f>
        <v>45292</v>
      </c>
      <c r="N53" s="19">
        <f>VLOOKUP(E53,[1]Diccionario!C$2:AC$150,25,0)</f>
        <v>45381</v>
      </c>
      <c r="O53" s="20">
        <f>VLOOKUP(E53,[1]Diccionario!C$2:AC$150,26,0)</f>
        <v>2.97</v>
      </c>
      <c r="P53" s="20">
        <f t="shared" si="0"/>
        <v>-1.9700000000000002</v>
      </c>
      <c r="Q53" s="20">
        <v>1</v>
      </c>
      <c r="R53" s="37">
        <v>3</v>
      </c>
      <c r="S53" s="21">
        <v>0.3</v>
      </c>
      <c r="T53" s="21">
        <v>0.25</v>
      </c>
      <c r="U53" s="22">
        <f>TablaIndicador[[#This Row],[Costo Mensual]]</f>
        <v>0</v>
      </c>
      <c r="V53" s="38"/>
      <c r="W53" s="24">
        <f t="shared" si="1"/>
        <v>3336071990</v>
      </c>
      <c r="X53" s="24">
        <f t="shared" si="2"/>
        <v>4003286388</v>
      </c>
      <c r="Y53" s="24">
        <f t="shared" si="3"/>
        <v>3336071990</v>
      </c>
      <c r="Z53" s="24">
        <f t="shared" si="4"/>
        <v>-667214398</v>
      </c>
      <c r="AA53" s="25" t="str">
        <f t="shared" si="5"/>
        <v>No se realizó gasto en este corte</v>
      </c>
      <c r="AB53" s="26" t="str">
        <f t="shared" si="6"/>
        <v>Costo eficiente: se está gastando menos de lo presupuestado</v>
      </c>
      <c r="AC53" s="26">
        <f t="shared" si="7"/>
        <v>0.83333333333333337</v>
      </c>
      <c r="AD53" s="26" t="str">
        <f t="shared" si="8"/>
        <v>Proyecto atrasado con respecto al cronograma</v>
      </c>
      <c r="AE53" s="27">
        <f t="shared" si="9"/>
        <v>0</v>
      </c>
      <c r="AF53" s="27">
        <f t="shared" si="10"/>
        <v>-13344287960</v>
      </c>
      <c r="AG53" s="28" t="str">
        <f>VLOOKUP(Indicador!E3,[1]Diccionario!C$1:AC$150,27,0)</f>
        <v>https://growdatasas.sharepoint.com/:x:/r/sites/Gestiondocumental/Administrativa/GD/Financiera/_layouts/15/Doc.aspx?sourcedoc=%7BC3EFE0E2-C211-45B0-905D-ECEF11221767%7D&amp;file=299.%20DEFENSORIA_ERP.xlsm&amp;action=default&amp;mobileredirect=true</v>
      </c>
      <c r="AH53" s="28">
        <v>1</v>
      </c>
      <c r="AI53" s="28">
        <v>1</v>
      </c>
      <c r="AJ53" s="28" t="s">
        <v>46</v>
      </c>
      <c r="AK53" s="28"/>
    </row>
    <row r="54" spans="1:37" ht="18.75" customHeight="1" x14ac:dyDescent="0.25">
      <c r="A54" s="11">
        <v>2024</v>
      </c>
      <c r="B54" s="12" t="s">
        <v>47</v>
      </c>
      <c r="C54" s="28" t="s">
        <v>81</v>
      </c>
      <c r="D54" s="36">
        <v>45348.736015659721</v>
      </c>
      <c r="E54" s="15" t="s">
        <v>82</v>
      </c>
      <c r="F54" s="28" t="s">
        <v>83</v>
      </c>
      <c r="G54" s="15" t="s">
        <v>84</v>
      </c>
      <c r="H54" s="28" t="s">
        <v>85</v>
      </c>
      <c r="I54" s="28" t="s">
        <v>63</v>
      </c>
      <c r="J54" s="28" t="s">
        <v>86</v>
      </c>
      <c r="K54" s="15" t="s">
        <v>73</v>
      </c>
      <c r="L54" s="17">
        <f>VLOOKUP(E54,[1]Diccionario!C$2:AC$150,22,0)</f>
        <v>13344287960</v>
      </c>
      <c r="M54" s="18">
        <f>VLOOKUP(E54,[1]Diccionario!C$2:AC$150,24,0)</f>
        <v>45292</v>
      </c>
      <c r="N54" s="19">
        <f>VLOOKUP(E54,[1]Diccionario!C$2:AC$150,25,0)</f>
        <v>45381</v>
      </c>
      <c r="O54" s="20">
        <f>VLOOKUP(E54,[1]Diccionario!C$2:AC$150,26,0)</f>
        <v>2.97</v>
      </c>
      <c r="P54" s="20">
        <f t="shared" si="0"/>
        <v>-0.9700000000000002</v>
      </c>
      <c r="Q54" s="20">
        <v>2</v>
      </c>
      <c r="R54" s="37">
        <v>3</v>
      </c>
      <c r="S54" s="21">
        <v>0.7</v>
      </c>
      <c r="T54" s="21">
        <v>0.65</v>
      </c>
      <c r="U54" s="22">
        <f>U53+TablaIndicador[[#This Row],[Costo Mensual]]</f>
        <v>0</v>
      </c>
      <c r="V54" s="38"/>
      <c r="W54" s="24">
        <f t="shared" si="1"/>
        <v>8673787174</v>
      </c>
      <c r="X54" s="24">
        <f t="shared" si="2"/>
        <v>9341001572</v>
      </c>
      <c r="Y54" s="24">
        <f t="shared" si="3"/>
        <v>8673787174</v>
      </c>
      <c r="Z54" s="24">
        <f t="shared" si="4"/>
        <v>-667214398</v>
      </c>
      <c r="AA54" s="25" t="str">
        <f t="shared" si="5"/>
        <v>No se realizó gasto en este corte</v>
      </c>
      <c r="AB54" s="26" t="str">
        <f t="shared" si="6"/>
        <v>Costo eficiente: se está gastando menos de lo presupuestado</v>
      </c>
      <c r="AC54" s="26">
        <f t="shared" si="7"/>
        <v>0.9285714285714286</v>
      </c>
      <c r="AD54" s="26" t="str">
        <f t="shared" si="8"/>
        <v>Proyecto atrasado con respecto al cronograma</v>
      </c>
      <c r="AE54" s="27">
        <f t="shared" si="9"/>
        <v>0</v>
      </c>
      <c r="AF54" s="27">
        <f t="shared" si="10"/>
        <v>-13344287960</v>
      </c>
      <c r="AG54" s="28" t="str">
        <f>VLOOKUP(Indicador!E4,[1]Diccionario!C$1:AC$150,27,0)</f>
        <v>https://growdatasas.sharepoint.com/:x:/r/sites/Gestiondocumental/Administrativa/GD/Financiera/_layouts/15/Doc.aspx?sourcedoc=%7BC3EFE0E2-C211-45B0-905D-ECEF11221767%7D&amp;file=299.%20DEFENSORIA_ERP.xlsm&amp;action=default&amp;mobileredirect=true</v>
      </c>
      <c r="AH54" s="28">
        <v>1</v>
      </c>
      <c r="AI54" s="28">
        <v>1</v>
      </c>
      <c r="AJ54" s="28" t="s">
        <v>46</v>
      </c>
      <c r="AK54" s="28"/>
    </row>
    <row r="55" spans="1:37" ht="18.75" customHeight="1" x14ac:dyDescent="0.25">
      <c r="A55" s="11">
        <v>2024</v>
      </c>
      <c r="B55" s="12" t="s">
        <v>48</v>
      </c>
      <c r="C55" s="28" t="s">
        <v>81</v>
      </c>
      <c r="D55" s="36">
        <v>45348.736015659721</v>
      </c>
      <c r="E55" s="15" t="s">
        <v>82</v>
      </c>
      <c r="F55" s="28" t="s">
        <v>83</v>
      </c>
      <c r="G55" s="15" t="s">
        <v>84</v>
      </c>
      <c r="H55" s="28" t="s">
        <v>85</v>
      </c>
      <c r="I55" s="28" t="s">
        <v>63</v>
      </c>
      <c r="J55" s="28" t="s">
        <v>86</v>
      </c>
      <c r="K55" s="15" t="s">
        <v>73</v>
      </c>
      <c r="L55" s="17">
        <f>VLOOKUP(E55,[1]Diccionario!C$2:AC$150,22,0)</f>
        <v>13344287960</v>
      </c>
      <c r="M55" s="18">
        <f>VLOOKUP(E55,[1]Diccionario!C$2:AC$150,24,0)</f>
        <v>45292</v>
      </c>
      <c r="N55" s="19">
        <f>VLOOKUP(E55,[1]Diccionario!C$2:AC$150,25,0)</f>
        <v>45381</v>
      </c>
      <c r="O55" s="20">
        <f>VLOOKUP(E55,[1]Diccionario!C$2:AC$150,26,0)</f>
        <v>2.97</v>
      </c>
      <c r="P55" s="20">
        <f t="shared" si="0"/>
        <v>2.9999999999999805E-2</v>
      </c>
      <c r="Q55" s="20">
        <v>3</v>
      </c>
      <c r="R55" s="37">
        <v>3</v>
      </c>
      <c r="S55" s="21">
        <v>1</v>
      </c>
      <c r="T55" s="21">
        <v>1</v>
      </c>
      <c r="U55" s="22">
        <f>U54+TablaIndicador[[#This Row],[Costo Mensual]]</f>
        <v>0</v>
      </c>
      <c r="V55" s="22"/>
      <c r="W55" s="24">
        <f t="shared" si="1"/>
        <v>13344287960</v>
      </c>
      <c r="X55" s="24">
        <f t="shared" si="2"/>
        <v>13344287960</v>
      </c>
      <c r="Y55" s="24">
        <f t="shared" si="3"/>
        <v>13344287960</v>
      </c>
      <c r="Z55" s="24">
        <f t="shared" si="4"/>
        <v>0</v>
      </c>
      <c r="AA55" s="25" t="str">
        <f t="shared" si="5"/>
        <v>No se realizó gasto en este corte</v>
      </c>
      <c r="AB55" s="26" t="str">
        <f t="shared" si="6"/>
        <v>Costo eficiente: se está gastando menos de lo presupuestado</v>
      </c>
      <c r="AC55" s="26">
        <f t="shared" si="7"/>
        <v>1</v>
      </c>
      <c r="AD55" s="26" t="str">
        <f t="shared" si="8"/>
        <v>Proyecto a tiempo según lo planificado</v>
      </c>
      <c r="AE55" s="27">
        <f t="shared" si="9"/>
        <v>0</v>
      </c>
      <c r="AF55" s="27">
        <f t="shared" si="10"/>
        <v>-13344287960</v>
      </c>
      <c r="AG55" s="28" t="str">
        <f>VLOOKUP(Indicador!E5,[1]Diccionario!C$1:AC$150,27,0)</f>
        <v>https://growdatasas.sharepoint.com/:x:/r/sites/Gestiondocumental/Administrativa/GD/Financiera/_layouts/15/Doc.aspx?sourcedoc=%7BC3EFE0E2-C211-45B0-905D-ECEF11221767%7D&amp;file=299.%20DEFENSORIA_ERP.xlsm&amp;action=default&amp;mobileredirect=true</v>
      </c>
      <c r="AH55" s="28">
        <v>1</v>
      </c>
      <c r="AI55" s="28">
        <v>1</v>
      </c>
      <c r="AJ55" s="28" t="s">
        <v>46</v>
      </c>
      <c r="AK55" s="28"/>
    </row>
    <row r="56" spans="1:37" ht="18.75" customHeight="1" x14ac:dyDescent="0.25">
      <c r="A56" s="11">
        <v>2024</v>
      </c>
      <c r="B56" s="12" t="s">
        <v>47</v>
      </c>
      <c r="C56" s="28" t="s">
        <v>87</v>
      </c>
      <c r="D56" s="36">
        <v>45356.825930590276</v>
      </c>
      <c r="E56" s="15" t="s">
        <v>88</v>
      </c>
      <c r="F56" s="28" t="s">
        <v>89</v>
      </c>
      <c r="G56" s="15" t="s">
        <v>90</v>
      </c>
      <c r="H56" s="28" t="s">
        <v>91</v>
      </c>
      <c r="I56" s="28" t="s">
        <v>43</v>
      </c>
      <c r="J56" s="28" t="s">
        <v>92</v>
      </c>
      <c r="K56" s="15" t="s">
        <v>65</v>
      </c>
      <c r="L56" s="17">
        <f>VLOOKUP(E56,[1]Diccionario!C$2:AC$150,22,0)</f>
        <v>4004446789</v>
      </c>
      <c r="M56" s="18">
        <f>VLOOKUP(E56,[1]Diccionario!C$2:AC$150,24,0)</f>
        <v>45345</v>
      </c>
      <c r="N56" s="19">
        <f>VLOOKUP(E56,[1]Diccionario!C$2:AC$150,25,0)</f>
        <v>45587</v>
      </c>
      <c r="O56" s="20">
        <f>VLOOKUP(E56,[1]Diccionario!C$2:AC$150,26,0)</f>
        <v>7.97</v>
      </c>
      <c r="P56" s="20">
        <f t="shared" si="0"/>
        <v>-6.97</v>
      </c>
      <c r="Q56" s="20">
        <v>1</v>
      </c>
      <c r="R56" s="15">
        <v>8</v>
      </c>
      <c r="S56" s="21">
        <v>0.1</v>
      </c>
      <c r="T56" s="21">
        <v>0.09</v>
      </c>
      <c r="U56" s="22"/>
      <c r="V56" s="24"/>
      <c r="W56" s="24">
        <f t="shared" si="1"/>
        <v>360400211.00999999</v>
      </c>
      <c r="X56" s="24">
        <f t="shared" si="2"/>
        <v>400444678.90000004</v>
      </c>
      <c r="Y56" s="24">
        <f t="shared" si="3"/>
        <v>360400211.00999999</v>
      </c>
      <c r="Z56" s="24">
        <f t="shared" si="4"/>
        <v>-40044467.890000045</v>
      </c>
      <c r="AA56" s="25" t="str">
        <f t="shared" si="5"/>
        <v>No se realizó gasto en este corte</v>
      </c>
      <c r="AB56" s="26" t="str">
        <f t="shared" si="6"/>
        <v>Costo eficiente: se está gastando menos de lo presupuestado</v>
      </c>
      <c r="AC56" s="26">
        <f t="shared" si="7"/>
        <v>0.89999999999999991</v>
      </c>
      <c r="AD56" s="26" t="str">
        <f t="shared" si="8"/>
        <v>Proyecto atrasado con respecto al cronograma</v>
      </c>
      <c r="AE56" s="27">
        <f t="shared" si="9"/>
        <v>0</v>
      </c>
      <c r="AF56" s="27">
        <f t="shared" si="10"/>
        <v>-4004446789</v>
      </c>
      <c r="AG56" s="28" t="str">
        <f>VLOOKUP(Indicador!E57,[1]Diccionario!C$1:AC$150,27,0)</f>
        <v>https://growdatasas.sharepoint.com/:x:/r/sites/Gestiondocumental/Administrativa/GD/Financiera/_layouts/15/Doc.aspx?sourcedoc=%7B29DCF375-0847-4DAD-9B9A-9F9E84ABD4DE%7D&amp;file=322.%20MINTRANSPORTE.xlsx&amp;action=default&amp;mobileredirect=true</v>
      </c>
      <c r="AH56" s="28">
        <v>1</v>
      </c>
      <c r="AI56" s="28">
        <v>1</v>
      </c>
      <c r="AJ56" s="28"/>
      <c r="AK56" s="28"/>
    </row>
    <row r="57" spans="1:37" ht="18.75" customHeight="1" x14ac:dyDescent="0.25">
      <c r="A57" s="11">
        <v>2024</v>
      </c>
      <c r="B57" s="12" t="s">
        <v>48</v>
      </c>
      <c r="C57" s="15" t="s">
        <v>87</v>
      </c>
      <c r="D57" s="39">
        <v>45356.825930590276</v>
      </c>
      <c r="E57" s="15" t="s">
        <v>88</v>
      </c>
      <c r="F57" s="15" t="s">
        <v>89</v>
      </c>
      <c r="G57" s="15" t="s">
        <v>90</v>
      </c>
      <c r="H57" s="15" t="s">
        <v>91</v>
      </c>
      <c r="I57" s="15" t="s">
        <v>43</v>
      </c>
      <c r="J57" s="15" t="s">
        <v>92</v>
      </c>
      <c r="K57" s="15" t="s">
        <v>65</v>
      </c>
      <c r="L57" s="17">
        <f>VLOOKUP(E57,[1]Diccionario!C$2:AC$150,22,0)</f>
        <v>4004446789</v>
      </c>
      <c r="M57" s="18">
        <f>VLOOKUP(E57,[1]Diccionario!C$2:AC$150,24,0)</f>
        <v>45345</v>
      </c>
      <c r="N57" s="19">
        <f>VLOOKUP(E57,[1]Diccionario!C$2:AC$150,25,0)</f>
        <v>45587</v>
      </c>
      <c r="O57" s="20">
        <f>VLOOKUP(E57,[1]Diccionario!C$2:AC$150,26,0)</f>
        <v>7.97</v>
      </c>
      <c r="P57" s="20">
        <f t="shared" si="0"/>
        <v>-5.97</v>
      </c>
      <c r="Q57" s="20">
        <f t="shared" ref="Q57:Q63" si="13">Q56+1</f>
        <v>2</v>
      </c>
      <c r="R57" s="15">
        <v>8</v>
      </c>
      <c r="S57" s="21">
        <v>0.2</v>
      </c>
      <c r="T57" s="21">
        <v>0.25</v>
      </c>
      <c r="U57" s="22"/>
      <c r="V57" s="24"/>
      <c r="W57" s="24">
        <f t="shared" si="1"/>
        <v>1001111697.25</v>
      </c>
      <c r="X57" s="24">
        <f t="shared" si="2"/>
        <v>800889357.80000007</v>
      </c>
      <c r="Y57" s="24">
        <f t="shared" si="3"/>
        <v>1001111697.25</v>
      </c>
      <c r="Z57" s="24">
        <f t="shared" si="4"/>
        <v>200222339.44999993</v>
      </c>
      <c r="AA57" s="25" t="str">
        <f t="shared" si="5"/>
        <v>No se realizó gasto en este corte</v>
      </c>
      <c r="AB57" s="26" t="str">
        <f t="shared" si="6"/>
        <v>Costo eficiente: se está gastando menos de lo presupuestado</v>
      </c>
      <c r="AC57" s="26">
        <f t="shared" si="7"/>
        <v>1.2499999999999998</v>
      </c>
      <c r="AD57" s="26" t="str">
        <f t="shared" si="8"/>
        <v>Proyecto adelantado respecto al cronograma</v>
      </c>
      <c r="AE57" s="27">
        <f t="shared" si="9"/>
        <v>0</v>
      </c>
      <c r="AF57" s="27">
        <f t="shared" si="10"/>
        <v>-4004446789</v>
      </c>
      <c r="AG57" s="28" t="str">
        <f>VLOOKUP(Indicador!E58,[1]Diccionario!C$1:AC$150,27,0)</f>
        <v>https://growdatasas.sharepoint.com/:x:/r/sites/Gestiondocumental/Administrativa/GD/Financiera/_layouts/15/Doc.aspx?sourcedoc=%7B29DCF375-0847-4DAD-9B9A-9F9E84ABD4DE%7D&amp;file=322.%20MINTRANSPORTE.xlsx&amp;action=default&amp;mobileredirect=true</v>
      </c>
      <c r="AH57" s="28">
        <v>1</v>
      </c>
      <c r="AI57" s="28">
        <v>1</v>
      </c>
      <c r="AJ57" s="28"/>
      <c r="AK57" s="28"/>
    </row>
    <row r="58" spans="1:37" ht="18.75" customHeight="1" x14ac:dyDescent="0.25">
      <c r="A58" s="11">
        <v>2024</v>
      </c>
      <c r="B58" s="12" t="s">
        <v>49</v>
      </c>
      <c r="C58" s="15" t="s">
        <v>87</v>
      </c>
      <c r="D58" s="39">
        <v>45356.825930590276</v>
      </c>
      <c r="E58" s="15" t="s">
        <v>88</v>
      </c>
      <c r="F58" s="15" t="s">
        <v>89</v>
      </c>
      <c r="G58" s="15" t="s">
        <v>90</v>
      </c>
      <c r="H58" s="15" t="s">
        <v>91</v>
      </c>
      <c r="I58" s="15" t="s">
        <v>43</v>
      </c>
      <c r="J58" s="15" t="s">
        <v>92</v>
      </c>
      <c r="K58" s="15" t="s">
        <v>65</v>
      </c>
      <c r="L58" s="17">
        <f>VLOOKUP(E58,[1]Diccionario!C$2:AC$150,22,0)</f>
        <v>4004446789</v>
      </c>
      <c r="M58" s="18">
        <f>VLOOKUP(E58,[1]Diccionario!C$2:AC$150,24,0)</f>
        <v>45345</v>
      </c>
      <c r="N58" s="19">
        <f>VLOOKUP(E58,[1]Diccionario!C$2:AC$150,25,0)</f>
        <v>45587</v>
      </c>
      <c r="O58" s="20">
        <f>VLOOKUP(E58,[1]Diccionario!C$2:AC$150,26,0)</f>
        <v>7.97</v>
      </c>
      <c r="P58" s="20">
        <f t="shared" si="0"/>
        <v>-4.97</v>
      </c>
      <c r="Q58" s="20">
        <f t="shared" si="13"/>
        <v>3</v>
      </c>
      <c r="R58" s="15">
        <v>8</v>
      </c>
      <c r="S58" s="21">
        <v>0.3</v>
      </c>
      <c r="T58" s="21">
        <v>0.3</v>
      </c>
      <c r="U58" s="22"/>
      <c r="V58" s="24"/>
      <c r="W58" s="24">
        <f t="shared" si="1"/>
        <v>1201334036.7</v>
      </c>
      <c r="X58" s="24">
        <f t="shared" si="2"/>
        <v>1201334036.7</v>
      </c>
      <c r="Y58" s="24">
        <f t="shared" si="3"/>
        <v>1201334036.7</v>
      </c>
      <c r="Z58" s="24">
        <f t="shared" si="4"/>
        <v>0</v>
      </c>
      <c r="AA58" s="25" t="str">
        <f t="shared" si="5"/>
        <v>No se realizó gasto en este corte</v>
      </c>
      <c r="AB58" s="26" t="str">
        <f t="shared" si="6"/>
        <v>Costo eficiente: se está gastando menos de lo presupuestado</v>
      </c>
      <c r="AC58" s="26">
        <f t="shared" si="7"/>
        <v>1</v>
      </c>
      <c r="AD58" s="26" t="str">
        <f t="shared" si="8"/>
        <v>Proyecto a tiempo según lo planificado</v>
      </c>
      <c r="AE58" s="27">
        <f t="shared" si="9"/>
        <v>0</v>
      </c>
      <c r="AF58" s="27">
        <f t="shared" si="10"/>
        <v>-4004446789</v>
      </c>
      <c r="AG58" s="28" t="str">
        <f>VLOOKUP(Indicador!E59,[1]Diccionario!C$1:AC$150,27,0)</f>
        <v>https://growdatasas.sharepoint.com/:x:/r/sites/Gestiondocumental/Administrativa/GD/Financiera/_layouts/15/Doc.aspx?sourcedoc=%7B29DCF375-0847-4DAD-9B9A-9F9E84ABD4DE%7D&amp;file=322.%20MINTRANSPORTE.xlsx&amp;action=default&amp;mobileredirect=true</v>
      </c>
      <c r="AH58" s="28">
        <v>1</v>
      </c>
      <c r="AI58" s="28">
        <v>1</v>
      </c>
      <c r="AJ58" s="28"/>
      <c r="AK58" s="28"/>
    </row>
    <row r="59" spans="1:37" ht="18.75" customHeight="1" x14ac:dyDescent="0.25">
      <c r="A59" s="11">
        <v>2024</v>
      </c>
      <c r="B59" s="12" t="s">
        <v>50</v>
      </c>
      <c r="C59" s="15" t="s">
        <v>87</v>
      </c>
      <c r="D59" s="39">
        <v>45356.825930590276</v>
      </c>
      <c r="E59" s="15" t="s">
        <v>88</v>
      </c>
      <c r="F59" s="15" t="s">
        <v>89</v>
      </c>
      <c r="G59" s="15" t="s">
        <v>90</v>
      </c>
      <c r="H59" s="15" t="s">
        <v>91</v>
      </c>
      <c r="I59" s="15" t="s">
        <v>43</v>
      </c>
      <c r="J59" s="15" t="s">
        <v>92</v>
      </c>
      <c r="K59" s="15" t="s">
        <v>65</v>
      </c>
      <c r="L59" s="17">
        <f>VLOOKUP(E59,[1]Diccionario!C$2:AC$150,22,0)</f>
        <v>4004446789</v>
      </c>
      <c r="M59" s="18">
        <f>VLOOKUP(E59,[1]Diccionario!C$2:AC$150,24,0)</f>
        <v>45345</v>
      </c>
      <c r="N59" s="19">
        <f>VLOOKUP(E59,[1]Diccionario!C$2:AC$150,25,0)</f>
        <v>45587</v>
      </c>
      <c r="O59" s="20">
        <f>VLOOKUP(E59,[1]Diccionario!C$2:AC$150,26,0)</f>
        <v>7.97</v>
      </c>
      <c r="P59" s="20">
        <f t="shared" si="0"/>
        <v>-3.9699999999999998</v>
      </c>
      <c r="Q59" s="20">
        <f t="shared" si="13"/>
        <v>4</v>
      </c>
      <c r="R59" s="15">
        <v>8</v>
      </c>
      <c r="S59" s="21">
        <v>0.45</v>
      </c>
      <c r="T59" s="21">
        <v>0.42</v>
      </c>
      <c r="U59" s="22"/>
      <c r="V59" s="24"/>
      <c r="W59" s="24">
        <f t="shared" si="1"/>
        <v>1681867651.3799999</v>
      </c>
      <c r="X59" s="24">
        <f t="shared" si="2"/>
        <v>1802001055.05</v>
      </c>
      <c r="Y59" s="24">
        <f t="shared" si="3"/>
        <v>1681867651.3799999</v>
      </c>
      <c r="Z59" s="24">
        <f t="shared" si="4"/>
        <v>-120133403.67000008</v>
      </c>
      <c r="AA59" s="25" t="str">
        <f t="shared" si="5"/>
        <v>No se realizó gasto en este corte</v>
      </c>
      <c r="AB59" s="26" t="str">
        <f t="shared" si="6"/>
        <v>Costo eficiente: se está gastando menos de lo presupuestado</v>
      </c>
      <c r="AC59" s="26">
        <f t="shared" si="7"/>
        <v>0.93333333333333324</v>
      </c>
      <c r="AD59" s="26" t="str">
        <f t="shared" si="8"/>
        <v>Proyecto atrasado con respecto al cronograma</v>
      </c>
      <c r="AE59" s="27">
        <f t="shared" si="9"/>
        <v>0</v>
      </c>
      <c r="AF59" s="27">
        <f t="shared" si="10"/>
        <v>-4004446789</v>
      </c>
      <c r="AG59" s="28" t="str">
        <f>VLOOKUP(Indicador!E60,[1]Diccionario!C$1:AC$150,27,0)</f>
        <v>https://growdatasas.sharepoint.com/:x:/r/sites/Gestiondocumental/Administrativa/GD/Financiera/_layouts/15/Doc.aspx?sourcedoc=%7B29DCF375-0847-4DAD-9B9A-9F9E84ABD4DE%7D&amp;file=322.%20MINTRANSPORTE.xlsx&amp;action=default&amp;mobileredirect=true</v>
      </c>
      <c r="AH59" s="28">
        <v>1</v>
      </c>
      <c r="AI59" s="28">
        <v>1</v>
      </c>
      <c r="AJ59" s="28"/>
      <c r="AK59" s="28"/>
    </row>
    <row r="60" spans="1:37" ht="18.75" customHeight="1" x14ac:dyDescent="0.25">
      <c r="A60" s="11">
        <v>2024</v>
      </c>
      <c r="B60" s="12" t="s">
        <v>51</v>
      </c>
      <c r="C60" s="15" t="s">
        <v>87</v>
      </c>
      <c r="D60" s="39">
        <v>45356.825930590276</v>
      </c>
      <c r="E60" s="15" t="s">
        <v>88</v>
      </c>
      <c r="F60" s="15" t="s">
        <v>89</v>
      </c>
      <c r="G60" s="15" t="s">
        <v>90</v>
      </c>
      <c r="H60" s="15" t="s">
        <v>91</v>
      </c>
      <c r="I60" s="15" t="s">
        <v>43</v>
      </c>
      <c r="J60" s="15" t="s">
        <v>92</v>
      </c>
      <c r="K60" s="15" t="s">
        <v>65</v>
      </c>
      <c r="L60" s="17">
        <f>VLOOKUP(E60,[1]Diccionario!C$2:AC$150,22,0)</f>
        <v>4004446789</v>
      </c>
      <c r="M60" s="18">
        <f>VLOOKUP(E60,[1]Diccionario!C$2:AC$150,24,0)</f>
        <v>45345</v>
      </c>
      <c r="N60" s="19">
        <f>VLOOKUP(E60,[1]Diccionario!C$2:AC$150,25,0)</f>
        <v>45587</v>
      </c>
      <c r="O60" s="20">
        <f>VLOOKUP(E60,[1]Diccionario!C$2:AC$150,26,0)</f>
        <v>7.97</v>
      </c>
      <c r="P60" s="20">
        <f t="shared" si="0"/>
        <v>-2.9699999999999998</v>
      </c>
      <c r="Q60" s="20">
        <f t="shared" si="13"/>
        <v>5</v>
      </c>
      <c r="R60" s="15">
        <v>8</v>
      </c>
      <c r="S60" s="21">
        <v>0.55000000000000004</v>
      </c>
      <c r="T60" s="21">
        <v>0.55000000000000004</v>
      </c>
      <c r="U60" s="22"/>
      <c r="V60" s="24"/>
      <c r="W60" s="24">
        <f t="shared" si="1"/>
        <v>2202445733.9500003</v>
      </c>
      <c r="X60" s="24">
        <f t="shared" si="2"/>
        <v>2202445733.9500003</v>
      </c>
      <c r="Y60" s="24">
        <f t="shared" si="3"/>
        <v>2202445733.9500003</v>
      </c>
      <c r="Z60" s="24">
        <f t="shared" si="4"/>
        <v>0</v>
      </c>
      <c r="AA60" s="25" t="str">
        <f t="shared" si="5"/>
        <v>No se realizó gasto en este corte</v>
      </c>
      <c r="AB60" s="26" t="str">
        <f t="shared" si="6"/>
        <v>Costo eficiente: se está gastando menos de lo presupuestado</v>
      </c>
      <c r="AC60" s="26">
        <f t="shared" si="7"/>
        <v>1</v>
      </c>
      <c r="AD60" s="26" t="str">
        <f t="shared" si="8"/>
        <v>Proyecto a tiempo según lo planificado</v>
      </c>
      <c r="AE60" s="27">
        <f t="shared" si="9"/>
        <v>0</v>
      </c>
      <c r="AF60" s="27">
        <f t="shared" si="10"/>
        <v>-4004446789</v>
      </c>
      <c r="AG60" s="28" t="str">
        <f>VLOOKUP(Indicador!E61,[1]Diccionario!C$1:AC$150,27,0)</f>
        <v>https://growdatasas.sharepoint.com/:x:/r/sites/Gestiondocumental/Administrativa/GD/Financiera/_layouts/15/Doc.aspx?sourcedoc=%7B29DCF375-0847-4DAD-9B9A-9F9E84ABD4DE%7D&amp;file=322.%20MINTRANSPORTE.xlsx&amp;action=default&amp;mobileredirect=true</v>
      </c>
      <c r="AH60" s="28">
        <v>1</v>
      </c>
      <c r="AI60" s="28">
        <v>1</v>
      </c>
      <c r="AJ60" s="28"/>
      <c r="AK60" s="28"/>
    </row>
    <row r="61" spans="1:37" ht="18.75" customHeight="1" x14ac:dyDescent="0.25">
      <c r="A61" s="11">
        <v>2024</v>
      </c>
      <c r="B61" s="12" t="s">
        <v>52</v>
      </c>
      <c r="C61" s="15" t="s">
        <v>87</v>
      </c>
      <c r="D61" s="39">
        <v>45356.825930590276</v>
      </c>
      <c r="E61" s="15" t="s">
        <v>88</v>
      </c>
      <c r="F61" s="15" t="s">
        <v>89</v>
      </c>
      <c r="G61" s="15" t="s">
        <v>90</v>
      </c>
      <c r="H61" s="15" t="s">
        <v>91</v>
      </c>
      <c r="I61" s="15" t="s">
        <v>43</v>
      </c>
      <c r="J61" s="15" t="s">
        <v>92</v>
      </c>
      <c r="K61" s="15" t="s">
        <v>65</v>
      </c>
      <c r="L61" s="17">
        <f>VLOOKUP(E61,[1]Diccionario!C$2:AC$150,22,0)</f>
        <v>4004446789</v>
      </c>
      <c r="M61" s="18">
        <f>VLOOKUP(E61,[1]Diccionario!C$2:AC$150,24,0)</f>
        <v>45345</v>
      </c>
      <c r="N61" s="19">
        <f>VLOOKUP(E61,[1]Diccionario!C$2:AC$150,25,0)</f>
        <v>45587</v>
      </c>
      <c r="O61" s="20">
        <f>VLOOKUP(E61,[1]Diccionario!C$2:AC$150,26,0)</f>
        <v>7.97</v>
      </c>
      <c r="P61" s="20">
        <f t="shared" si="0"/>
        <v>-1.9699999999999998</v>
      </c>
      <c r="Q61" s="20">
        <f t="shared" si="13"/>
        <v>6</v>
      </c>
      <c r="R61" s="15">
        <v>8</v>
      </c>
      <c r="S61" s="21">
        <v>0.65</v>
      </c>
      <c r="T61" s="21">
        <v>0.67</v>
      </c>
      <c r="U61" s="22"/>
      <c r="V61" s="24"/>
      <c r="W61" s="24">
        <f t="shared" si="1"/>
        <v>2682979348.6300001</v>
      </c>
      <c r="X61" s="24">
        <f t="shared" si="2"/>
        <v>2602890412.8499999</v>
      </c>
      <c r="Y61" s="24">
        <f t="shared" si="3"/>
        <v>2682979348.6300001</v>
      </c>
      <c r="Z61" s="24">
        <f t="shared" si="4"/>
        <v>80088935.78000021</v>
      </c>
      <c r="AA61" s="25" t="str">
        <f t="shared" si="5"/>
        <v>No se realizó gasto en este corte</v>
      </c>
      <c r="AB61" s="26" t="str">
        <f t="shared" si="6"/>
        <v>Costo eficiente: se está gastando menos de lo presupuestado</v>
      </c>
      <c r="AC61" s="26">
        <f t="shared" si="7"/>
        <v>1.0307692307692309</v>
      </c>
      <c r="AD61" s="26" t="str">
        <f t="shared" si="8"/>
        <v>Proyecto adelantado respecto al cronograma</v>
      </c>
      <c r="AE61" s="27">
        <f t="shared" si="9"/>
        <v>0</v>
      </c>
      <c r="AF61" s="27">
        <f t="shared" si="10"/>
        <v>-4004446789</v>
      </c>
      <c r="AG61" s="28" t="str">
        <f>VLOOKUP(Indicador!E62,[1]Diccionario!C$1:AC$150,27,0)</f>
        <v>https://growdatasas.sharepoint.com/:x:/r/sites/Gestiondocumental/Administrativa/GD/Financiera/_layouts/15/Doc.aspx?sourcedoc=%7B29DCF375-0847-4DAD-9B9A-9F9E84ABD4DE%7D&amp;file=322.%20MINTRANSPORTE.xlsx&amp;action=default&amp;mobileredirect=true</v>
      </c>
      <c r="AH61" s="28">
        <v>1</v>
      </c>
      <c r="AI61" s="28">
        <v>1</v>
      </c>
      <c r="AJ61" s="28"/>
      <c r="AK61" s="28"/>
    </row>
    <row r="62" spans="1:37" ht="18.75" customHeight="1" x14ac:dyDescent="0.25">
      <c r="A62" s="11">
        <v>2024</v>
      </c>
      <c r="B62" s="12" t="s">
        <v>53</v>
      </c>
      <c r="C62" s="15" t="s">
        <v>87</v>
      </c>
      <c r="D62" s="39">
        <v>45356.825930590276</v>
      </c>
      <c r="E62" s="15" t="s">
        <v>88</v>
      </c>
      <c r="F62" s="15" t="s">
        <v>89</v>
      </c>
      <c r="G62" s="15" t="s">
        <v>90</v>
      </c>
      <c r="H62" s="15" t="s">
        <v>91</v>
      </c>
      <c r="I62" s="15" t="s">
        <v>43</v>
      </c>
      <c r="J62" s="15" t="s">
        <v>92</v>
      </c>
      <c r="K62" s="15" t="s">
        <v>65</v>
      </c>
      <c r="L62" s="17">
        <f>VLOOKUP(E62,[1]Diccionario!C$2:AC$150,22,0)</f>
        <v>4004446789</v>
      </c>
      <c r="M62" s="18">
        <f>VLOOKUP(E62,[1]Diccionario!C$2:AC$150,24,0)</f>
        <v>45345</v>
      </c>
      <c r="N62" s="19">
        <f>VLOOKUP(E62,[1]Diccionario!C$2:AC$150,25,0)</f>
        <v>45587</v>
      </c>
      <c r="O62" s="20">
        <f>VLOOKUP(E62,[1]Diccionario!C$2:AC$150,26,0)</f>
        <v>7.97</v>
      </c>
      <c r="P62" s="20">
        <f t="shared" si="0"/>
        <v>-0.96999999999999975</v>
      </c>
      <c r="Q62" s="20">
        <f t="shared" si="13"/>
        <v>7</v>
      </c>
      <c r="R62" s="15">
        <v>8</v>
      </c>
      <c r="S62" s="21">
        <v>0.8</v>
      </c>
      <c r="T62" s="21">
        <v>0.85</v>
      </c>
      <c r="U62" s="22"/>
      <c r="V62" s="24"/>
      <c r="W62" s="24">
        <f t="shared" si="1"/>
        <v>3403779770.6500001</v>
      </c>
      <c r="X62" s="24">
        <f t="shared" si="2"/>
        <v>3203557431.2000003</v>
      </c>
      <c r="Y62" s="24">
        <f t="shared" si="3"/>
        <v>3403779770.6500001</v>
      </c>
      <c r="Z62" s="24">
        <f t="shared" si="4"/>
        <v>200222339.44999981</v>
      </c>
      <c r="AA62" s="25" t="str">
        <f t="shared" si="5"/>
        <v>No se realizó gasto en este corte</v>
      </c>
      <c r="AB62" s="26" t="str">
        <f t="shared" si="6"/>
        <v>Costo eficiente: se está gastando menos de lo presupuestado</v>
      </c>
      <c r="AC62" s="26">
        <f t="shared" si="7"/>
        <v>1.0625</v>
      </c>
      <c r="AD62" s="26" t="str">
        <f t="shared" si="8"/>
        <v>Proyecto adelantado respecto al cronograma</v>
      </c>
      <c r="AE62" s="27">
        <f t="shared" si="9"/>
        <v>0</v>
      </c>
      <c r="AF62" s="27">
        <f t="shared" si="10"/>
        <v>-4004446789</v>
      </c>
      <c r="AG62" s="28" t="str">
        <f>VLOOKUP(Indicador!E63,[1]Diccionario!C$1:AC$150,27,0)</f>
        <v>https://growdatasas.sharepoint.com/:x:/r/sites/Gestiondocumental/Administrativa/GD/Financiera/_layouts/15/Doc.aspx?sourcedoc=%7B29DCF375-0847-4DAD-9B9A-9F9E84ABD4DE%7D&amp;file=322.%20MINTRANSPORTE.xlsx&amp;action=default&amp;mobileredirect=true</v>
      </c>
      <c r="AH62" s="28">
        <v>1</v>
      </c>
      <c r="AI62" s="28">
        <v>1</v>
      </c>
      <c r="AJ62" s="28"/>
      <c r="AK62" s="28"/>
    </row>
    <row r="63" spans="1:37" ht="18.75" customHeight="1" x14ac:dyDescent="0.25">
      <c r="A63" s="11">
        <v>2024</v>
      </c>
      <c r="B63" s="12" t="s">
        <v>54</v>
      </c>
      <c r="C63" s="15" t="s">
        <v>87</v>
      </c>
      <c r="D63" s="39">
        <v>45356.825930590276</v>
      </c>
      <c r="E63" s="15" t="s">
        <v>88</v>
      </c>
      <c r="F63" s="15" t="s">
        <v>89</v>
      </c>
      <c r="G63" s="15" t="s">
        <v>90</v>
      </c>
      <c r="H63" s="15" t="s">
        <v>91</v>
      </c>
      <c r="I63" s="15" t="s">
        <v>43</v>
      </c>
      <c r="J63" s="15" t="s">
        <v>92</v>
      </c>
      <c r="K63" s="15" t="s">
        <v>65</v>
      </c>
      <c r="L63" s="17">
        <f>VLOOKUP(E63,[1]Diccionario!C$2:AC$150,22,0)</f>
        <v>4004446789</v>
      </c>
      <c r="M63" s="18">
        <f>VLOOKUP(E63,[1]Diccionario!C$2:AC$150,24,0)</f>
        <v>45345</v>
      </c>
      <c r="N63" s="19">
        <f>VLOOKUP(E63,[1]Diccionario!C$2:AC$150,25,0)</f>
        <v>45587</v>
      </c>
      <c r="O63" s="20">
        <f>VLOOKUP(E63,[1]Diccionario!C$2:AC$150,26,0)</f>
        <v>7.97</v>
      </c>
      <c r="P63" s="20">
        <f t="shared" si="0"/>
        <v>3.0000000000000249E-2</v>
      </c>
      <c r="Q63" s="20">
        <f t="shared" si="13"/>
        <v>8</v>
      </c>
      <c r="R63" s="15">
        <v>8</v>
      </c>
      <c r="S63" s="21">
        <v>0.9</v>
      </c>
      <c r="T63" s="21">
        <v>1</v>
      </c>
      <c r="U63" s="22"/>
      <c r="V63" s="24"/>
      <c r="W63" s="24">
        <f t="shared" si="1"/>
        <v>4004446789</v>
      </c>
      <c r="X63" s="24">
        <f t="shared" si="2"/>
        <v>3604002110.0999999</v>
      </c>
      <c r="Y63" s="24">
        <f t="shared" si="3"/>
        <v>4004446789</v>
      </c>
      <c r="Z63" s="24">
        <f t="shared" si="4"/>
        <v>400444678.9000001</v>
      </c>
      <c r="AA63" s="25" t="str">
        <f t="shared" si="5"/>
        <v>No se realizó gasto en este corte</v>
      </c>
      <c r="AB63" s="26" t="str">
        <f t="shared" si="6"/>
        <v>Costo eficiente: se está gastando menos de lo presupuestado</v>
      </c>
      <c r="AC63" s="26">
        <f t="shared" si="7"/>
        <v>1.1111111111111112</v>
      </c>
      <c r="AD63" s="26" t="str">
        <f t="shared" si="8"/>
        <v>Proyecto adelantado respecto al cronograma</v>
      </c>
      <c r="AE63" s="27">
        <f t="shared" si="9"/>
        <v>0</v>
      </c>
      <c r="AF63" s="27">
        <f t="shared" si="10"/>
        <v>-4004446789</v>
      </c>
      <c r="AG63" s="28" t="str">
        <f>VLOOKUP(Indicador!E64,[1]Diccionario!C$1:AC$150,27,0)</f>
        <v>https://growdatasas.sharepoint.com/:x:/r/sites/Gestiondocumental/Administrativa/GD/Financiera/_layouts/15/Doc.aspx?sourcedoc=%7B465AB503-754C-43E2-86C3-8E24183E3BBF%7D&amp;file=090424%20324.%20RUNT%202.0%20-%20RUNT%20MDM.xlsx&amp;action=default&amp;mobileredirect=true</v>
      </c>
      <c r="AH63" s="28">
        <v>1</v>
      </c>
      <c r="AI63" s="28">
        <v>1</v>
      </c>
      <c r="AJ63" s="28"/>
      <c r="AK63" s="28"/>
    </row>
    <row r="64" spans="1:37" ht="18.75" customHeight="1" x14ac:dyDescent="0.25">
      <c r="A64" s="11">
        <v>2024</v>
      </c>
      <c r="B64" s="12" t="s">
        <v>48</v>
      </c>
      <c r="C64" s="15" t="s">
        <v>93</v>
      </c>
      <c r="D64" s="39">
        <v>45373.886505289352</v>
      </c>
      <c r="E64" s="15" t="s">
        <v>94</v>
      </c>
      <c r="F64" s="15" t="s">
        <v>95</v>
      </c>
      <c r="G64" s="15" t="s">
        <v>96</v>
      </c>
      <c r="H64" s="15" t="s">
        <v>97</v>
      </c>
      <c r="I64" s="15" t="s">
        <v>43</v>
      </c>
      <c r="J64" s="15" t="s">
        <v>98</v>
      </c>
      <c r="K64" s="15" t="s">
        <v>45</v>
      </c>
      <c r="L64" s="17">
        <f>VLOOKUP(E64,[1]Diccionario!C$2:AC$150,22,0)</f>
        <v>372376516</v>
      </c>
      <c r="M64" s="18">
        <f>VLOOKUP(E64,[1]Diccionario!C$2:AC$150,24,0)</f>
        <v>45352</v>
      </c>
      <c r="N64" s="19">
        <f>VLOOKUP(E64,[1]Diccionario!C$2:AC$150,25,0)</f>
        <v>45534</v>
      </c>
      <c r="O64" s="20">
        <f>VLOOKUP(E64,[1]Diccionario!C$2:AC$150,26,0)</f>
        <v>5.97</v>
      </c>
      <c r="P64" s="20">
        <f t="shared" si="0"/>
        <v>-4.97</v>
      </c>
      <c r="Q64" s="20">
        <v>1</v>
      </c>
      <c r="R64" s="15">
        <v>6</v>
      </c>
      <c r="S64" s="21">
        <v>0.2</v>
      </c>
      <c r="T64" s="21">
        <v>0.15</v>
      </c>
      <c r="U64" s="22"/>
      <c r="V64" s="24"/>
      <c r="W64" s="24">
        <f t="shared" si="1"/>
        <v>55856477.399999999</v>
      </c>
      <c r="X64" s="24">
        <f t="shared" si="2"/>
        <v>74475303.200000003</v>
      </c>
      <c r="Y64" s="24">
        <f t="shared" si="3"/>
        <v>55856477.399999999</v>
      </c>
      <c r="Z64" s="24">
        <f t="shared" si="4"/>
        <v>-18618825.800000004</v>
      </c>
      <c r="AA64" s="25" t="str">
        <f t="shared" si="5"/>
        <v>No se realizó gasto en este corte</v>
      </c>
      <c r="AB64" s="26" t="str">
        <f t="shared" si="6"/>
        <v>Costo eficiente: se está gastando menos de lo presupuestado</v>
      </c>
      <c r="AC64" s="26">
        <f t="shared" si="7"/>
        <v>0.75</v>
      </c>
      <c r="AD64" s="26" t="str">
        <f t="shared" si="8"/>
        <v>Proyecto atrasado con respecto al cronograma</v>
      </c>
      <c r="AE64" s="27">
        <f t="shared" si="9"/>
        <v>0</v>
      </c>
      <c r="AF64" s="27">
        <f t="shared" si="10"/>
        <v>-372376516</v>
      </c>
      <c r="AG64" s="28" t="str">
        <f>VLOOKUP(Indicador!E65,[1]Diccionario!C$1:AC$150,27,0)</f>
        <v>https://growdatasas.sharepoint.com/:x:/r/sites/Gestiondocumental/Administrativa/GD/Financiera/_layouts/15/Doc.aspx?sourcedoc=%7B465AB503-754C-43E2-86C3-8E24183E3BBF%7D&amp;file=090424%20324.%20RUNT%202.0%20-%20RUNT%20MDM.xlsx&amp;action=default&amp;mobileredirect=true</v>
      </c>
      <c r="AH64" s="28">
        <v>1</v>
      </c>
      <c r="AI64" s="28">
        <v>1</v>
      </c>
      <c r="AJ64" s="28"/>
      <c r="AK64" s="28"/>
    </row>
    <row r="65" spans="1:37" ht="18.75" customHeight="1" x14ac:dyDescent="0.25">
      <c r="A65" s="11">
        <v>2024</v>
      </c>
      <c r="B65" s="12" t="s">
        <v>49</v>
      </c>
      <c r="C65" s="15" t="s">
        <v>93</v>
      </c>
      <c r="D65" s="39">
        <v>45373.886505289352</v>
      </c>
      <c r="E65" s="15" t="s">
        <v>94</v>
      </c>
      <c r="F65" s="15" t="s">
        <v>95</v>
      </c>
      <c r="G65" s="15" t="s">
        <v>96</v>
      </c>
      <c r="H65" s="15" t="s">
        <v>97</v>
      </c>
      <c r="I65" s="15" t="s">
        <v>43</v>
      </c>
      <c r="J65" s="15" t="s">
        <v>98</v>
      </c>
      <c r="K65" s="15" t="s">
        <v>45</v>
      </c>
      <c r="L65" s="17">
        <f>VLOOKUP(E65,[1]Diccionario!C$2:AC$150,22,0)</f>
        <v>372376516</v>
      </c>
      <c r="M65" s="18">
        <f>VLOOKUP(E65,[1]Diccionario!C$2:AC$150,24,0)</f>
        <v>45352</v>
      </c>
      <c r="N65" s="19">
        <f>VLOOKUP(E65,[1]Diccionario!C$2:AC$150,25,0)</f>
        <v>45534</v>
      </c>
      <c r="O65" s="20">
        <f>VLOOKUP(E65,[1]Diccionario!C$2:AC$150,26,0)</f>
        <v>5.97</v>
      </c>
      <c r="P65" s="20">
        <f t="shared" si="0"/>
        <v>-3.9699999999999998</v>
      </c>
      <c r="Q65" s="20">
        <v>2</v>
      </c>
      <c r="R65" s="15">
        <v>6</v>
      </c>
      <c r="S65" s="21">
        <v>0.3</v>
      </c>
      <c r="T65" s="21">
        <v>0.2</v>
      </c>
      <c r="U65" s="22"/>
      <c r="V65" s="24"/>
      <c r="W65" s="24">
        <f t="shared" si="1"/>
        <v>74475303.200000003</v>
      </c>
      <c r="X65" s="24">
        <f t="shared" si="2"/>
        <v>111712954.8</v>
      </c>
      <c r="Y65" s="24">
        <f t="shared" si="3"/>
        <v>74475303.200000003</v>
      </c>
      <c r="Z65" s="24">
        <f t="shared" si="4"/>
        <v>-37237651.599999994</v>
      </c>
      <c r="AA65" s="25" t="str">
        <f t="shared" si="5"/>
        <v>No se realizó gasto en este corte</v>
      </c>
      <c r="AB65" s="26" t="str">
        <f t="shared" si="6"/>
        <v>Costo eficiente: se está gastando menos de lo presupuestado</v>
      </c>
      <c r="AC65" s="26">
        <f t="shared" si="7"/>
        <v>0.66666666666666674</v>
      </c>
      <c r="AD65" s="26" t="str">
        <f t="shared" si="8"/>
        <v>Proyecto atrasado con respecto al cronograma</v>
      </c>
      <c r="AE65" s="27">
        <f t="shared" si="9"/>
        <v>0</v>
      </c>
      <c r="AF65" s="27">
        <f t="shared" si="10"/>
        <v>-372376516</v>
      </c>
      <c r="AG65" s="28" t="str">
        <f>VLOOKUP(Indicador!E66,[1]Diccionario!C$1:AC$150,27,0)</f>
        <v>https://growdatasas.sharepoint.com/:x:/r/sites/Gestiondocumental/Administrativa/GD/Financiera/_layouts/15/Doc.aspx?sourcedoc=%7B465AB503-754C-43E2-86C3-8E24183E3BBF%7D&amp;file=090424%20324.%20RUNT%202.0%20-%20RUNT%20MDM.xlsx&amp;action=default&amp;mobileredirect=true</v>
      </c>
      <c r="AH65" s="28">
        <v>1</v>
      </c>
      <c r="AI65" s="28">
        <v>1</v>
      </c>
      <c r="AJ65" s="28"/>
      <c r="AK65" s="28"/>
    </row>
    <row r="66" spans="1:37" ht="18.75" customHeight="1" x14ac:dyDescent="0.25">
      <c r="A66" s="11">
        <v>2024</v>
      </c>
      <c r="B66" s="12" t="s">
        <v>50</v>
      </c>
      <c r="C66" s="15" t="s">
        <v>93</v>
      </c>
      <c r="D66" s="39">
        <v>45373.886505289352</v>
      </c>
      <c r="E66" s="15" t="s">
        <v>94</v>
      </c>
      <c r="F66" s="15" t="s">
        <v>95</v>
      </c>
      <c r="G66" s="15" t="s">
        <v>96</v>
      </c>
      <c r="H66" s="15" t="s">
        <v>97</v>
      </c>
      <c r="I66" s="15" t="s">
        <v>43</v>
      </c>
      <c r="J66" s="15" t="s">
        <v>98</v>
      </c>
      <c r="K66" s="15" t="s">
        <v>45</v>
      </c>
      <c r="L66" s="17">
        <f>VLOOKUP(E66,[1]Diccionario!C$2:AC$150,22,0)</f>
        <v>372376516</v>
      </c>
      <c r="M66" s="18">
        <f>VLOOKUP(E66,[1]Diccionario!C$2:AC$150,24,0)</f>
        <v>45352</v>
      </c>
      <c r="N66" s="19">
        <f>VLOOKUP(E66,[1]Diccionario!C$2:AC$150,25,0)</f>
        <v>45534</v>
      </c>
      <c r="O66" s="20">
        <f>VLOOKUP(E66,[1]Diccionario!C$2:AC$150,26,0)</f>
        <v>5.97</v>
      </c>
      <c r="P66" s="20">
        <f t="shared" ref="P66:P129" si="14">Q66-O66</f>
        <v>-2.9699999999999998</v>
      </c>
      <c r="Q66" s="20">
        <v>3</v>
      </c>
      <c r="R66" s="15">
        <v>6</v>
      </c>
      <c r="S66" s="21">
        <v>0.5</v>
      </c>
      <c r="T66" s="21">
        <v>0.4</v>
      </c>
      <c r="U66" s="22"/>
      <c r="V66" s="24"/>
      <c r="W66" s="24">
        <f t="shared" ref="W66:W129" si="15">IFERROR(T66*L66,0)</f>
        <v>148950606.40000001</v>
      </c>
      <c r="X66" s="24">
        <f t="shared" ref="X66:X129" si="16">S66*L66</f>
        <v>186188258</v>
      </c>
      <c r="Y66" s="24">
        <f t="shared" ref="Y66:Y129" si="17">IFERROR(W66-U66,0)</f>
        <v>148950606.40000001</v>
      </c>
      <c r="Z66" s="24">
        <f t="shared" ref="Z66:Z129" si="18">W66-X66</f>
        <v>-37237651.599999994</v>
      </c>
      <c r="AA66" s="25" t="str">
        <f t="shared" ref="AA66:AA129" si="19">IFERROR(W66/U66,"No se realizó gasto en este corte")</f>
        <v>No se realizó gasto en este corte</v>
      </c>
      <c r="AB66" s="26" t="str">
        <f t="shared" ref="AB66:AB129" si="20">IFERROR(
  IF(OR(AA66="",AA66=0),
    "No calculado",
    IF(AA66&gt;1,"Costo eficiente: se está gastando menos de lo presupuestado",
      IF(AA66=1,"Costo según lo presupuestado",
        "Costo ineficiente: se está gastando más de lo presupuestado"))),
"No calculado")</f>
        <v>Costo eficiente: se está gastando menos de lo presupuestado</v>
      </c>
      <c r="AC66" s="26">
        <f t="shared" ref="AC66:AC129" si="21">IFERROR(W66/X66,0)</f>
        <v>0.8</v>
      </c>
      <c r="AD66" s="26" t="str">
        <f t="shared" ref="AD66:AD129" si="22">IF(OR(AC66="",AC66=0),"Sin Línea Base",
IF(AC66&gt;1,"Proyecto adelantado respecto al cronograma",
IF(AC66=1,"Proyecto a tiempo según lo planificado",
IF(AC66&lt;1,"Proyecto atrasado con respecto al cronograma",
"No calculado"))))</f>
        <v>Proyecto atrasado con respecto al cronograma</v>
      </c>
      <c r="AE66" s="27">
        <f t="shared" ref="AE66:AE129" si="23">IFERROR(L66/AA66,0)</f>
        <v>0</v>
      </c>
      <c r="AF66" s="27">
        <f t="shared" ref="AF66:AF129" si="24">IFERROR(AE66-L66,0)</f>
        <v>-372376516</v>
      </c>
      <c r="AG66" s="28" t="str">
        <f>VLOOKUP(Indicador!E67,[1]Diccionario!C$1:AC$150,27,0)</f>
        <v>https://growdatasas.sharepoint.com/:x:/r/sites/Gestiondocumental/Administrativa/GD/Financiera/_layouts/15/Doc.aspx?sourcedoc=%7B465AB503-754C-43E2-86C3-8E24183E3BBF%7D&amp;file=090424%20324.%20RUNT%202.0%20-%20RUNT%20MDM.xlsx&amp;action=default&amp;mobileredirect=true</v>
      </c>
      <c r="AH66" s="28">
        <v>1</v>
      </c>
      <c r="AI66" s="28">
        <v>1</v>
      </c>
      <c r="AJ66" s="28"/>
      <c r="AK66" s="28"/>
    </row>
    <row r="67" spans="1:37" ht="18.75" customHeight="1" x14ac:dyDescent="0.25">
      <c r="A67" s="11">
        <v>2024</v>
      </c>
      <c r="B67" s="12" t="s">
        <v>51</v>
      </c>
      <c r="C67" s="15" t="s">
        <v>93</v>
      </c>
      <c r="D67" s="39">
        <v>45373.886505289352</v>
      </c>
      <c r="E67" s="15" t="s">
        <v>94</v>
      </c>
      <c r="F67" s="15" t="s">
        <v>95</v>
      </c>
      <c r="G67" s="15" t="s">
        <v>96</v>
      </c>
      <c r="H67" s="15" t="s">
        <v>97</v>
      </c>
      <c r="I67" s="15" t="s">
        <v>43</v>
      </c>
      <c r="J67" s="15" t="s">
        <v>98</v>
      </c>
      <c r="K67" s="15" t="s">
        <v>45</v>
      </c>
      <c r="L67" s="17">
        <f>VLOOKUP(E67,[1]Diccionario!C$2:AC$150,22,0)</f>
        <v>372376516</v>
      </c>
      <c r="M67" s="18">
        <f>VLOOKUP(E67,[1]Diccionario!C$2:AC$150,24,0)</f>
        <v>45352</v>
      </c>
      <c r="N67" s="19">
        <f>VLOOKUP(E67,[1]Diccionario!C$2:AC$150,25,0)</f>
        <v>45534</v>
      </c>
      <c r="O67" s="20">
        <f>VLOOKUP(E67,[1]Diccionario!C$2:AC$150,26,0)</f>
        <v>5.97</v>
      </c>
      <c r="P67" s="20">
        <f t="shared" si="14"/>
        <v>-1.9699999999999998</v>
      </c>
      <c r="Q67" s="20">
        <v>4</v>
      </c>
      <c r="R67" s="15">
        <v>6</v>
      </c>
      <c r="S67" s="21">
        <v>0.75</v>
      </c>
      <c r="T67" s="21">
        <v>0.7</v>
      </c>
      <c r="U67" s="22"/>
      <c r="V67" s="24"/>
      <c r="W67" s="24">
        <f t="shared" si="15"/>
        <v>260663561.19999999</v>
      </c>
      <c r="X67" s="24">
        <f t="shared" si="16"/>
        <v>279282387</v>
      </c>
      <c r="Y67" s="24">
        <f t="shared" si="17"/>
        <v>260663561.19999999</v>
      </c>
      <c r="Z67" s="24">
        <f t="shared" si="18"/>
        <v>-18618825.800000012</v>
      </c>
      <c r="AA67" s="25" t="str">
        <f t="shared" si="19"/>
        <v>No se realizó gasto en este corte</v>
      </c>
      <c r="AB67" s="26" t="str">
        <f t="shared" si="20"/>
        <v>Costo eficiente: se está gastando menos de lo presupuestado</v>
      </c>
      <c r="AC67" s="26">
        <f t="shared" si="21"/>
        <v>0.93333333333333324</v>
      </c>
      <c r="AD67" s="26" t="str">
        <f t="shared" si="22"/>
        <v>Proyecto atrasado con respecto al cronograma</v>
      </c>
      <c r="AE67" s="27">
        <f t="shared" si="23"/>
        <v>0</v>
      </c>
      <c r="AF67" s="27">
        <f t="shared" si="24"/>
        <v>-372376516</v>
      </c>
      <c r="AG67" s="28" t="str">
        <f>VLOOKUP(Indicador!E68,[1]Diccionario!C$1:AC$150,27,0)</f>
        <v>https://growdatasas.sharepoint.com/:x:/r/sites/Gestiondocumental/Administrativa/GD/Financiera/_layouts/15/Doc.aspx?sourcedoc=%7B465AB503-754C-43E2-86C3-8E24183E3BBF%7D&amp;file=090424%20324.%20RUNT%202.0%20-%20RUNT%20MDM.xlsx&amp;action=default&amp;mobileredirect=true</v>
      </c>
      <c r="AH67" s="28">
        <v>1</v>
      </c>
      <c r="AI67" s="28">
        <v>1</v>
      </c>
      <c r="AJ67" s="28"/>
      <c r="AK67" s="28"/>
    </row>
    <row r="68" spans="1:37" ht="18.75" customHeight="1" x14ac:dyDescent="0.25">
      <c r="A68" s="11">
        <v>2024</v>
      </c>
      <c r="B68" s="12" t="s">
        <v>52</v>
      </c>
      <c r="C68" s="15" t="s">
        <v>93</v>
      </c>
      <c r="D68" s="39">
        <v>45373.886505289352</v>
      </c>
      <c r="E68" s="15" t="s">
        <v>94</v>
      </c>
      <c r="F68" s="15" t="s">
        <v>95</v>
      </c>
      <c r="G68" s="15" t="s">
        <v>96</v>
      </c>
      <c r="H68" s="15" t="s">
        <v>97</v>
      </c>
      <c r="I68" s="15" t="s">
        <v>43</v>
      </c>
      <c r="J68" s="15" t="s">
        <v>98</v>
      </c>
      <c r="K68" s="15" t="s">
        <v>45</v>
      </c>
      <c r="L68" s="17">
        <f>VLOOKUP(E68,[1]Diccionario!C$2:AC$150,22,0)</f>
        <v>372376516</v>
      </c>
      <c r="M68" s="18">
        <f>VLOOKUP(E68,[1]Diccionario!C$2:AC$150,24,0)</f>
        <v>45352</v>
      </c>
      <c r="N68" s="19">
        <f>VLOOKUP(E68,[1]Diccionario!C$2:AC$150,25,0)</f>
        <v>45534</v>
      </c>
      <c r="O68" s="20">
        <f>VLOOKUP(E68,[1]Diccionario!C$2:AC$150,26,0)</f>
        <v>5.97</v>
      </c>
      <c r="P68" s="20">
        <f t="shared" si="14"/>
        <v>-0.96999999999999975</v>
      </c>
      <c r="Q68" s="20">
        <v>5</v>
      </c>
      <c r="R68" s="15">
        <v>6</v>
      </c>
      <c r="S68" s="21">
        <v>0.8</v>
      </c>
      <c r="T68" s="21">
        <v>0.79</v>
      </c>
      <c r="U68" s="22"/>
      <c r="V68" s="24"/>
      <c r="W68" s="24">
        <f t="shared" si="15"/>
        <v>294177447.63999999</v>
      </c>
      <c r="X68" s="24">
        <f t="shared" si="16"/>
        <v>297901212.80000001</v>
      </c>
      <c r="Y68" s="24">
        <f t="shared" si="17"/>
        <v>294177447.63999999</v>
      </c>
      <c r="Z68" s="24">
        <f t="shared" si="18"/>
        <v>-3723765.1600000262</v>
      </c>
      <c r="AA68" s="25" t="str">
        <f t="shared" si="19"/>
        <v>No se realizó gasto en este corte</v>
      </c>
      <c r="AB68" s="26" t="str">
        <f t="shared" si="20"/>
        <v>Costo eficiente: se está gastando menos de lo presupuestado</v>
      </c>
      <c r="AC68" s="26">
        <f t="shared" si="21"/>
        <v>0.98749999999999993</v>
      </c>
      <c r="AD68" s="26" t="str">
        <f t="shared" si="22"/>
        <v>Proyecto atrasado con respecto al cronograma</v>
      </c>
      <c r="AE68" s="27">
        <f t="shared" si="23"/>
        <v>0</v>
      </c>
      <c r="AF68" s="27">
        <f t="shared" si="24"/>
        <v>-372376516</v>
      </c>
      <c r="AG68" s="28" t="str">
        <f>VLOOKUP(Indicador!E69,[1]Diccionario!C$1:AC$150,27,0)</f>
        <v>https://growdatasas.sharepoint.com/:x:/r/sites/Gestiondocumental/Administrativa/GD/Financiera/_layouts/15/Doc.aspx?sourcedoc=%7B465AB503-754C-43E2-86C3-8E24183E3BBF%7D&amp;file=090424%20324.%20RUNT%202.0%20-%20RUNT%20MDM.xlsx&amp;action=default&amp;mobileredirect=true</v>
      </c>
      <c r="AH68" s="28">
        <v>1</v>
      </c>
      <c r="AI68" s="28">
        <v>1</v>
      </c>
      <c r="AJ68" s="28"/>
      <c r="AK68" s="28"/>
    </row>
    <row r="69" spans="1:37" ht="18.75" customHeight="1" x14ac:dyDescent="0.25">
      <c r="A69" s="11">
        <v>2024</v>
      </c>
      <c r="B69" s="12" t="s">
        <v>53</v>
      </c>
      <c r="C69" s="15" t="s">
        <v>93</v>
      </c>
      <c r="D69" s="39">
        <v>45373.886505289352</v>
      </c>
      <c r="E69" s="15" t="s">
        <v>94</v>
      </c>
      <c r="F69" s="15" t="s">
        <v>95</v>
      </c>
      <c r="G69" s="15" t="s">
        <v>96</v>
      </c>
      <c r="H69" s="15" t="s">
        <v>97</v>
      </c>
      <c r="I69" s="15" t="s">
        <v>43</v>
      </c>
      <c r="J69" s="15" t="s">
        <v>98</v>
      </c>
      <c r="K69" s="15" t="s">
        <v>45</v>
      </c>
      <c r="L69" s="17">
        <f>VLOOKUP(E69,[1]Diccionario!C$2:AC$150,22,0)</f>
        <v>372376516</v>
      </c>
      <c r="M69" s="18">
        <f>VLOOKUP(E69,[1]Diccionario!C$2:AC$150,24,0)</f>
        <v>45352</v>
      </c>
      <c r="N69" s="19">
        <f>VLOOKUP(E69,[1]Diccionario!C$2:AC$150,25,0)</f>
        <v>45534</v>
      </c>
      <c r="O69" s="20">
        <f>VLOOKUP(E69,[1]Diccionario!C$2:AC$150,26,0)</f>
        <v>5.97</v>
      </c>
      <c r="P69" s="20">
        <f t="shared" si="14"/>
        <v>3.0000000000000249E-2</v>
      </c>
      <c r="Q69" s="20">
        <v>6</v>
      </c>
      <c r="R69" s="15">
        <v>6</v>
      </c>
      <c r="S69" s="21">
        <v>1</v>
      </c>
      <c r="T69" s="21">
        <v>1</v>
      </c>
      <c r="U69" s="22"/>
      <c r="V69" s="24"/>
      <c r="W69" s="24">
        <f t="shared" si="15"/>
        <v>372376516</v>
      </c>
      <c r="X69" s="24">
        <f t="shared" si="16"/>
        <v>372376516</v>
      </c>
      <c r="Y69" s="24">
        <f t="shared" si="17"/>
        <v>372376516</v>
      </c>
      <c r="Z69" s="24">
        <f t="shared" si="18"/>
        <v>0</v>
      </c>
      <c r="AA69" s="25" t="str">
        <f t="shared" si="19"/>
        <v>No se realizó gasto en este corte</v>
      </c>
      <c r="AB69" s="26" t="str">
        <f t="shared" si="20"/>
        <v>Costo eficiente: se está gastando menos de lo presupuestado</v>
      </c>
      <c r="AC69" s="26">
        <f t="shared" si="21"/>
        <v>1</v>
      </c>
      <c r="AD69" s="26" t="str">
        <f t="shared" si="22"/>
        <v>Proyecto a tiempo según lo planificado</v>
      </c>
      <c r="AE69" s="27">
        <f t="shared" si="23"/>
        <v>0</v>
      </c>
      <c r="AF69" s="27">
        <f t="shared" si="24"/>
        <v>-372376516</v>
      </c>
      <c r="AG69" s="28" t="str">
        <f>VLOOKUP(Indicador!E70,[1]Diccionario!C$1:AC$150,27,0)</f>
        <v>https://growdatasas.sharepoint.com/:x:/r/sites/Gestiondocumental/Administrativa/GD/Financiera/_layouts/15/Doc.aspx?sourcedoc=%7B293F42A2-5CA4-4376-950C-5CBFEA13F436%7D&amp;file=327.%20ALDESARROLLO%20-%20ICFES%20-%20SOSTENIBILIDAD.xlsx&amp;action=default&amp;mobileredirect=true</v>
      </c>
      <c r="AH69" s="28">
        <v>1</v>
      </c>
      <c r="AI69" s="28">
        <v>1</v>
      </c>
      <c r="AJ69" s="28"/>
      <c r="AK69" s="28"/>
    </row>
    <row r="70" spans="1:37" ht="18.75" customHeight="1" x14ac:dyDescent="0.25">
      <c r="A70" s="11">
        <v>2024</v>
      </c>
      <c r="B70" s="12" t="s">
        <v>48</v>
      </c>
      <c r="C70" s="15" t="s">
        <v>99</v>
      </c>
      <c r="D70" s="39">
        <v>45405.523599386572</v>
      </c>
      <c r="E70" s="15" t="s">
        <v>100</v>
      </c>
      <c r="F70" s="15" t="s">
        <v>101</v>
      </c>
      <c r="G70" s="15" t="s">
        <v>102</v>
      </c>
      <c r="H70" s="15" t="s">
        <v>103</v>
      </c>
      <c r="I70" s="15" t="s">
        <v>78</v>
      </c>
      <c r="J70" s="15" t="s">
        <v>104</v>
      </c>
      <c r="K70" s="15" t="s">
        <v>45</v>
      </c>
      <c r="L70" s="17">
        <f>VLOOKUP(E70,[1]Diccionario!C$2:AC$150,22,0)</f>
        <v>1087776079</v>
      </c>
      <c r="M70" s="18">
        <f>VLOOKUP(E70,[1]Diccionario!C$2:AC$150,24,0)</f>
        <v>45369</v>
      </c>
      <c r="N70" s="19">
        <f>VLOOKUP(E70,[1]Diccionario!C$2:AC$150,25,0)</f>
        <v>45552</v>
      </c>
      <c r="O70" s="20">
        <f>VLOOKUP(E70,[1]Diccionario!C$2:AC$150,26,0)</f>
        <v>5.97</v>
      </c>
      <c r="P70" s="20">
        <f t="shared" si="14"/>
        <v>-4.97</v>
      </c>
      <c r="Q70" s="20">
        <v>1</v>
      </c>
      <c r="R70" s="15">
        <v>6</v>
      </c>
      <c r="S70" s="21">
        <v>0.3</v>
      </c>
      <c r="T70" s="21">
        <v>0.25</v>
      </c>
      <c r="U70" s="22"/>
      <c r="V70" s="24"/>
      <c r="W70" s="24">
        <f t="shared" si="15"/>
        <v>271944019.75</v>
      </c>
      <c r="X70" s="24">
        <f t="shared" si="16"/>
        <v>326332823.69999999</v>
      </c>
      <c r="Y70" s="24">
        <f t="shared" si="17"/>
        <v>271944019.75</v>
      </c>
      <c r="Z70" s="24">
        <f t="shared" si="18"/>
        <v>-54388803.949999988</v>
      </c>
      <c r="AA70" s="25" t="str">
        <f t="shared" si="19"/>
        <v>No se realizó gasto en este corte</v>
      </c>
      <c r="AB70" s="26" t="str">
        <f t="shared" si="20"/>
        <v>Costo eficiente: se está gastando menos de lo presupuestado</v>
      </c>
      <c r="AC70" s="26">
        <f t="shared" si="21"/>
        <v>0.83333333333333337</v>
      </c>
      <c r="AD70" s="26" t="str">
        <f t="shared" si="22"/>
        <v>Proyecto atrasado con respecto al cronograma</v>
      </c>
      <c r="AE70" s="27">
        <f t="shared" si="23"/>
        <v>0</v>
      </c>
      <c r="AF70" s="27">
        <f t="shared" si="24"/>
        <v>-1087776079</v>
      </c>
      <c r="AG70" s="28" t="str">
        <f>VLOOKUP(Indicador!E71,[1]Diccionario!C$1:AC$150,27,0)</f>
        <v>https://growdatasas.sharepoint.com/:x:/r/sites/Gestiondocumental/Administrativa/GD/Financiera/_layouts/15/Doc.aspx?sourcedoc=%7B293F42A2-5CA4-4376-950C-5CBFEA13F436%7D&amp;file=327.%20ALDESARROLLO%20-%20ICFES%20-%20SOSTENIBILIDAD.xlsx&amp;action=default&amp;mobileredirect=true</v>
      </c>
      <c r="AH70" s="28">
        <v>1</v>
      </c>
      <c r="AI70" s="28">
        <v>1</v>
      </c>
      <c r="AJ70" s="28"/>
      <c r="AK70" s="28"/>
    </row>
    <row r="71" spans="1:37" ht="18.75" customHeight="1" x14ac:dyDescent="0.25">
      <c r="A71" s="11">
        <v>2024</v>
      </c>
      <c r="B71" s="12" t="s">
        <v>49</v>
      </c>
      <c r="C71" s="15" t="s">
        <v>99</v>
      </c>
      <c r="D71" s="39">
        <v>45405.523599386572</v>
      </c>
      <c r="E71" s="15" t="s">
        <v>100</v>
      </c>
      <c r="F71" s="15" t="s">
        <v>101</v>
      </c>
      <c r="G71" s="15" t="s">
        <v>102</v>
      </c>
      <c r="H71" s="15" t="s">
        <v>103</v>
      </c>
      <c r="I71" s="15" t="s">
        <v>78</v>
      </c>
      <c r="J71" s="15" t="s">
        <v>104</v>
      </c>
      <c r="K71" s="15" t="s">
        <v>45</v>
      </c>
      <c r="L71" s="17">
        <f>VLOOKUP(E71,[1]Diccionario!C$2:AC$150,22,0)</f>
        <v>1087776079</v>
      </c>
      <c r="M71" s="18">
        <f>VLOOKUP(E71,[1]Diccionario!C$2:AC$150,24,0)</f>
        <v>45369</v>
      </c>
      <c r="N71" s="19">
        <f>VLOOKUP(E71,[1]Diccionario!C$2:AC$150,25,0)</f>
        <v>45552</v>
      </c>
      <c r="O71" s="20">
        <f>VLOOKUP(E71,[1]Diccionario!C$2:AC$150,26,0)</f>
        <v>5.97</v>
      </c>
      <c r="P71" s="20">
        <f t="shared" si="14"/>
        <v>-3.9699999999999998</v>
      </c>
      <c r="Q71" s="20">
        <v>2</v>
      </c>
      <c r="R71" s="15">
        <v>6</v>
      </c>
      <c r="S71" s="21">
        <v>0.45</v>
      </c>
      <c r="T71" s="21">
        <v>0.45</v>
      </c>
      <c r="U71" s="22"/>
      <c r="V71" s="24"/>
      <c r="W71" s="24">
        <f t="shared" si="15"/>
        <v>489499235.55000001</v>
      </c>
      <c r="X71" s="24">
        <f t="shared" si="16"/>
        <v>489499235.55000001</v>
      </c>
      <c r="Y71" s="24">
        <f t="shared" si="17"/>
        <v>489499235.55000001</v>
      </c>
      <c r="Z71" s="24">
        <f t="shared" si="18"/>
        <v>0</v>
      </c>
      <c r="AA71" s="25" t="str">
        <f t="shared" si="19"/>
        <v>No se realizó gasto en este corte</v>
      </c>
      <c r="AB71" s="26" t="str">
        <f t="shared" si="20"/>
        <v>Costo eficiente: se está gastando menos de lo presupuestado</v>
      </c>
      <c r="AC71" s="26">
        <f t="shared" si="21"/>
        <v>1</v>
      </c>
      <c r="AD71" s="26" t="str">
        <f t="shared" si="22"/>
        <v>Proyecto a tiempo según lo planificado</v>
      </c>
      <c r="AE71" s="27">
        <f t="shared" si="23"/>
        <v>0</v>
      </c>
      <c r="AF71" s="27">
        <f t="shared" si="24"/>
        <v>-1087776079</v>
      </c>
      <c r="AG71" s="28" t="str">
        <f>VLOOKUP(Indicador!E72,[1]Diccionario!C$1:AC$150,27,0)</f>
        <v>https://growdatasas.sharepoint.com/:x:/r/sites/Gestiondocumental/Administrativa/GD/Financiera/_layouts/15/Doc.aspx?sourcedoc=%7B293F42A2-5CA4-4376-950C-5CBFEA13F436%7D&amp;file=327.%20ALDESARROLLO%20-%20ICFES%20-%20SOSTENIBILIDAD.xlsx&amp;action=default&amp;mobileredirect=true</v>
      </c>
      <c r="AH71" s="28">
        <v>1</v>
      </c>
      <c r="AI71" s="28">
        <v>1</v>
      </c>
      <c r="AJ71" s="28"/>
      <c r="AK71" s="28"/>
    </row>
    <row r="72" spans="1:37" ht="18.75" customHeight="1" x14ac:dyDescent="0.25">
      <c r="A72" s="11">
        <v>2024</v>
      </c>
      <c r="B72" s="12" t="s">
        <v>50</v>
      </c>
      <c r="C72" s="15" t="s">
        <v>99</v>
      </c>
      <c r="D72" s="39">
        <v>45405.523599386572</v>
      </c>
      <c r="E72" s="15" t="s">
        <v>100</v>
      </c>
      <c r="F72" s="15" t="s">
        <v>101</v>
      </c>
      <c r="G72" s="15" t="s">
        <v>102</v>
      </c>
      <c r="H72" s="15" t="s">
        <v>103</v>
      </c>
      <c r="I72" s="15" t="s">
        <v>78</v>
      </c>
      <c r="J72" s="15" t="s">
        <v>104</v>
      </c>
      <c r="K72" s="15" t="s">
        <v>45</v>
      </c>
      <c r="L72" s="17">
        <f>VLOOKUP(E72,[1]Diccionario!C$2:AC$150,22,0)</f>
        <v>1087776079</v>
      </c>
      <c r="M72" s="18">
        <f>VLOOKUP(E72,[1]Diccionario!C$2:AC$150,24,0)</f>
        <v>45369</v>
      </c>
      <c r="N72" s="19">
        <f>VLOOKUP(E72,[1]Diccionario!C$2:AC$150,25,0)</f>
        <v>45552</v>
      </c>
      <c r="O72" s="20">
        <f>VLOOKUP(E72,[1]Diccionario!C$2:AC$150,26,0)</f>
        <v>5.97</v>
      </c>
      <c r="P72" s="20">
        <f t="shared" si="14"/>
        <v>-2.9699999999999998</v>
      </c>
      <c r="Q72" s="20">
        <v>3</v>
      </c>
      <c r="R72" s="15">
        <v>6</v>
      </c>
      <c r="S72" s="21">
        <v>0.5</v>
      </c>
      <c r="T72" s="21">
        <v>0.55000000000000004</v>
      </c>
      <c r="U72" s="22"/>
      <c r="V72" s="24"/>
      <c r="W72" s="24">
        <f t="shared" si="15"/>
        <v>598276843.45000005</v>
      </c>
      <c r="X72" s="24">
        <f t="shared" si="16"/>
        <v>543888039.5</v>
      </c>
      <c r="Y72" s="24">
        <f t="shared" si="17"/>
        <v>598276843.45000005</v>
      </c>
      <c r="Z72" s="24">
        <f t="shared" si="18"/>
        <v>54388803.950000048</v>
      </c>
      <c r="AA72" s="25" t="str">
        <f t="shared" si="19"/>
        <v>No se realizó gasto en este corte</v>
      </c>
      <c r="AB72" s="26" t="str">
        <f t="shared" si="20"/>
        <v>Costo eficiente: se está gastando menos de lo presupuestado</v>
      </c>
      <c r="AC72" s="26">
        <f t="shared" si="21"/>
        <v>1.1000000000000001</v>
      </c>
      <c r="AD72" s="26" t="str">
        <f t="shared" si="22"/>
        <v>Proyecto adelantado respecto al cronograma</v>
      </c>
      <c r="AE72" s="27">
        <f t="shared" si="23"/>
        <v>0</v>
      </c>
      <c r="AF72" s="27">
        <f t="shared" si="24"/>
        <v>-1087776079</v>
      </c>
      <c r="AG72" s="28" t="str">
        <f>VLOOKUP(Indicador!E73,[1]Diccionario!C$1:AC$150,27,0)</f>
        <v>https://growdatasas.sharepoint.com/:x:/r/sites/Gestiondocumental/Administrativa/GD/Financiera/_layouts/15/Doc.aspx?sourcedoc=%7B293F42A2-5CA4-4376-950C-5CBFEA13F436%7D&amp;file=327.%20ALDESARROLLO%20-%20ICFES%20-%20SOSTENIBILIDAD.xlsx&amp;action=default&amp;mobileredirect=true</v>
      </c>
      <c r="AH72" s="28">
        <v>1</v>
      </c>
      <c r="AI72" s="28">
        <v>1</v>
      </c>
      <c r="AJ72" s="28"/>
      <c r="AK72" s="28"/>
    </row>
    <row r="73" spans="1:37" ht="18.75" customHeight="1" x14ac:dyDescent="0.25">
      <c r="A73" s="11">
        <v>2024</v>
      </c>
      <c r="B73" s="12" t="s">
        <v>51</v>
      </c>
      <c r="C73" s="15" t="s">
        <v>99</v>
      </c>
      <c r="D73" s="39">
        <v>45405.523599386572</v>
      </c>
      <c r="E73" s="15" t="s">
        <v>100</v>
      </c>
      <c r="F73" s="15" t="s">
        <v>101</v>
      </c>
      <c r="G73" s="15" t="s">
        <v>102</v>
      </c>
      <c r="H73" s="15" t="s">
        <v>103</v>
      </c>
      <c r="I73" s="15" t="s">
        <v>78</v>
      </c>
      <c r="J73" s="15" t="s">
        <v>104</v>
      </c>
      <c r="K73" s="15" t="s">
        <v>45</v>
      </c>
      <c r="L73" s="17">
        <f>VLOOKUP(E73,[1]Diccionario!C$2:AC$150,22,0)</f>
        <v>1087776079</v>
      </c>
      <c r="M73" s="18">
        <f>VLOOKUP(E73,[1]Diccionario!C$2:AC$150,24,0)</f>
        <v>45369</v>
      </c>
      <c r="N73" s="19">
        <f>VLOOKUP(E73,[1]Diccionario!C$2:AC$150,25,0)</f>
        <v>45552</v>
      </c>
      <c r="O73" s="20">
        <f>VLOOKUP(E73,[1]Diccionario!C$2:AC$150,26,0)</f>
        <v>5.97</v>
      </c>
      <c r="P73" s="20">
        <f t="shared" si="14"/>
        <v>-1.9699999999999998</v>
      </c>
      <c r="Q73" s="20">
        <v>4</v>
      </c>
      <c r="R73" s="15">
        <v>6</v>
      </c>
      <c r="S73" s="21">
        <v>0.75</v>
      </c>
      <c r="T73" s="21">
        <v>0.77</v>
      </c>
      <c r="U73" s="22"/>
      <c r="V73" s="24"/>
      <c r="W73" s="24">
        <f t="shared" si="15"/>
        <v>837587580.83000004</v>
      </c>
      <c r="X73" s="24">
        <f t="shared" si="16"/>
        <v>815832059.25</v>
      </c>
      <c r="Y73" s="24">
        <f t="shared" si="17"/>
        <v>837587580.83000004</v>
      </c>
      <c r="Z73" s="24">
        <f t="shared" si="18"/>
        <v>21755521.580000043</v>
      </c>
      <c r="AA73" s="25" t="str">
        <f t="shared" si="19"/>
        <v>No se realizó gasto en este corte</v>
      </c>
      <c r="AB73" s="26" t="str">
        <f t="shared" si="20"/>
        <v>Costo eficiente: se está gastando menos de lo presupuestado</v>
      </c>
      <c r="AC73" s="26">
        <f t="shared" si="21"/>
        <v>1.0266666666666666</v>
      </c>
      <c r="AD73" s="26" t="str">
        <f t="shared" si="22"/>
        <v>Proyecto adelantado respecto al cronograma</v>
      </c>
      <c r="AE73" s="27">
        <f t="shared" si="23"/>
        <v>0</v>
      </c>
      <c r="AF73" s="27">
        <f t="shared" si="24"/>
        <v>-1087776079</v>
      </c>
      <c r="AG73" s="28" t="str">
        <f>VLOOKUP(Indicador!E74,[1]Diccionario!C$1:AC$150,27,0)</f>
        <v>https://growdatasas.sharepoint.com/:x:/r/sites/Gestiondocumental/Administrativa/GD/Financiera/_layouts/15/Doc.aspx?sourcedoc=%7B293F42A2-5CA4-4376-950C-5CBFEA13F436%7D&amp;file=327.%20ALDESARROLLO%20-%20ICFES%20-%20SOSTENIBILIDAD.xlsx&amp;action=default&amp;mobileredirect=true</v>
      </c>
      <c r="AH73" s="28">
        <v>1</v>
      </c>
      <c r="AI73" s="28">
        <v>1</v>
      </c>
      <c r="AJ73" s="28"/>
      <c r="AK73" s="28"/>
    </row>
    <row r="74" spans="1:37" ht="18.75" customHeight="1" x14ac:dyDescent="0.25">
      <c r="A74" s="11">
        <v>2024</v>
      </c>
      <c r="B74" s="12" t="s">
        <v>52</v>
      </c>
      <c r="C74" s="15" t="s">
        <v>99</v>
      </c>
      <c r="D74" s="39">
        <v>45405.523599386572</v>
      </c>
      <c r="E74" s="15" t="s">
        <v>100</v>
      </c>
      <c r="F74" s="15" t="s">
        <v>101</v>
      </c>
      <c r="G74" s="15" t="s">
        <v>102</v>
      </c>
      <c r="H74" s="15" t="s">
        <v>103</v>
      </c>
      <c r="I74" s="15" t="s">
        <v>78</v>
      </c>
      <c r="J74" s="15" t="s">
        <v>104</v>
      </c>
      <c r="K74" s="15" t="s">
        <v>45</v>
      </c>
      <c r="L74" s="17">
        <f>VLOOKUP(E74,[1]Diccionario!C$2:AC$150,22,0)</f>
        <v>1087776079</v>
      </c>
      <c r="M74" s="18">
        <f>VLOOKUP(E74,[1]Diccionario!C$2:AC$150,24,0)</f>
        <v>45369</v>
      </c>
      <c r="N74" s="19">
        <f>VLOOKUP(E74,[1]Diccionario!C$2:AC$150,25,0)</f>
        <v>45552</v>
      </c>
      <c r="O74" s="20">
        <f>VLOOKUP(E74,[1]Diccionario!C$2:AC$150,26,0)</f>
        <v>5.97</v>
      </c>
      <c r="P74" s="20">
        <f t="shared" si="14"/>
        <v>-0.96999999999999975</v>
      </c>
      <c r="Q74" s="20">
        <v>5</v>
      </c>
      <c r="R74" s="15">
        <v>6</v>
      </c>
      <c r="S74" s="21">
        <v>0.8</v>
      </c>
      <c r="T74" s="21">
        <v>0.81</v>
      </c>
      <c r="U74" s="22"/>
      <c r="V74" s="24"/>
      <c r="W74" s="24">
        <f t="shared" si="15"/>
        <v>881098623.99000001</v>
      </c>
      <c r="X74" s="24">
        <f t="shared" si="16"/>
        <v>870220863.20000005</v>
      </c>
      <c r="Y74" s="24">
        <f t="shared" si="17"/>
        <v>881098623.99000001</v>
      </c>
      <c r="Z74" s="24">
        <f t="shared" si="18"/>
        <v>10877760.789999962</v>
      </c>
      <c r="AA74" s="25" t="str">
        <f t="shared" si="19"/>
        <v>No se realizó gasto en este corte</v>
      </c>
      <c r="AB74" s="26" t="str">
        <f t="shared" si="20"/>
        <v>Costo eficiente: se está gastando menos de lo presupuestado</v>
      </c>
      <c r="AC74" s="26">
        <f t="shared" si="21"/>
        <v>1.0125</v>
      </c>
      <c r="AD74" s="26" t="str">
        <f t="shared" si="22"/>
        <v>Proyecto adelantado respecto al cronograma</v>
      </c>
      <c r="AE74" s="27">
        <f t="shared" si="23"/>
        <v>0</v>
      </c>
      <c r="AF74" s="27">
        <f t="shared" si="24"/>
        <v>-1087776079</v>
      </c>
      <c r="AG74" s="28" t="str">
        <f>VLOOKUP(Indicador!E75,[1]Diccionario!C$1:AC$150,27,0)</f>
        <v>https://growdatasas.sharepoint.com/:x:/r/sites/Gestiondocumental/Administrativa/GD/Financiera/_layouts/15/Doc.aspx?sourcedoc=%7B293F42A2-5CA4-4376-950C-5CBFEA13F436%7D&amp;file=327.%20ALDESARROLLO%20-%20ICFES%20-%20SOSTENIBILIDAD.xlsx&amp;action=default&amp;mobileredirect=true</v>
      </c>
      <c r="AH74" s="28">
        <v>1</v>
      </c>
      <c r="AI74" s="28">
        <v>1</v>
      </c>
      <c r="AJ74" s="28"/>
      <c r="AK74" s="28"/>
    </row>
    <row r="75" spans="1:37" ht="18.75" customHeight="1" x14ac:dyDescent="0.25">
      <c r="A75" s="11">
        <v>2024</v>
      </c>
      <c r="B75" s="12" t="s">
        <v>53</v>
      </c>
      <c r="C75" s="15" t="s">
        <v>99</v>
      </c>
      <c r="D75" s="39">
        <v>45405.523599386572</v>
      </c>
      <c r="E75" s="15" t="s">
        <v>100</v>
      </c>
      <c r="F75" s="15" t="s">
        <v>101</v>
      </c>
      <c r="G75" s="15" t="s">
        <v>102</v>
      </c>
      <c r="H75" s="15" t="s">
        <v>103</v>
      </c>
      <c r="I75" s="15" t="s">
        <v>78</v>
      </c>
      <c r="J75" s="15" t="s">
        <v>104</v>
      </c>
      <c r="K75" s="15" t="s">
        <v>45</v>
      </c>
      <c r="L75" s="17">
        <f>VLOOKUP(E75,[1]Diccionario!C$2:AC$150,22,0)</f>
        <v>1087776079</v>
      </c>
      <c r="M75" s="18">
        <f>VLOOKUP(E75,[1]Diccionario!C$2:AC$150,24,0)</f>
        <v>45369</v>
      </c>
      <c r="N75" s="19">
        <f>VLOOKUP(E75,[1]Diccionario!C$2:AC$150,25,0)</f>
        <v>45552</v>
      </c>
      <c r="O75" s="20">
        <f>VLOOKUP(E75,[1]Diccionario!C$2:AC$150,26,0)</f>
        <v>5.97</v>
      </c>
      <c r="P75" s="20">
        <f t="shared" si="14"/>
        <v>3.0000000000000249E-2</v>
      </c>
      <c r="Q75" s="20">
        <v>6</v>
      </c>
      <c r="R75" s="15">
        <v>6</v>
      </c>
      <c r="S75" s="21">
        <v>1</v>
      </c>
      <c r="T75" s="21">
        <v>1</v>
      </c>
      <c r="U75" s="22"/>
      <c r="V75" s="24"/>
      <c r="W75" s="24">
        <f t="shared" si="15"/>
        <v>1087776079</v>
      </c>
      <c r="X75" s="24">
        <f t="shared" si="16"/>
        <v>1087776079</v>
      </c>
      <c r="Y75" s="24">
        <f t="shared" si="17"/>
        <v>1087776079</v>
      </c>
      <c r="Z75" s="24">
        <f t="shared" si="18"/>
        <v>0</v>
      </c>
      <c r="AA75" s="25" t="str">
        <f t="shared" si="19"/>
        <v>No se realizó gasto en este corte</v>
      </c>
      <c r="AB75" s="26" t="str">
        <f t="shared" si="20"/>
        <v>Costo eficiente: se está gastando menos de lo presupuestado</v>
      </c>
      <c r="AC75" s="26">
        <f t="shared" si="21"/>
        <v>1</v>
      </c>
      <c r="AD75" s="26" t="str">
        <f t="shared" si="22"/>
        <v>Proyecto a tiempo según lo planificado</v>
      </c>
      <c r="AE75" s="27">
        <f t="shared" si="23"/>
        <v>0</v>
      </c>
      <c r="AF75" s="27">
        <f t="shared" si="24"/>
        <v>-1087776079</v>
      </c>
      <c r="AG75" s="28" t="str">
        <f>VLOOKUP(Indicador!E76,[1]Diccionario!C$1:AC$150,27,0)</f>
        <v>https://growdatasas.sharepoint.com/:x:/r/sites/Gestiondocumental/Administrativa/GD/Financiera/_layouts/15/Doc.aspx?sourcedoc=%7BB89BD188-BEAD-4E84-BC3B-FF43B34DCCB0%7D&amp;file=326.%20ICFES%20-%20FABRICA%20DE%20SOFTWARE%20PRUEBAS.xlsx&amp;action=default&amp;mobileredirect=true</v>
      </c>
      <c r="AH75" s="28">
        <v>1</v>
      </c>
      <c r="AI75" s="28">
        <v>1</v>
      </c>
      <c r="AJ75" s="28"/>
      <c r="AK75" s="28"/>
    </row>
    <row r="76" spans="1:37" ht="18.75" customHeight="1" x14ac:dyDescent="0.25">
      <c r="A76" s="11">
        <v>2024</v>
      </c>
      <c r="B76" s="12" t="s">
        <v>49</v>
      </c>
      <c r="C76" s="15" t="s">
        <v>105</v>
      </c>
      <c r="D76" s="39">
        <v>45405.824231944447</v>
      </c>
      <c r="E76" s="15" t="s">
        <v>106</v>
      </c>
      <c r="F76" s="15" t="s">
        <v>95</v>
      </c>
      <c r="G76" s="15" t="s">
        <v>107</v>
      </c>
      <c r="H76" s="15" t="s">
        <v>108</v>
      </c>
      <c r="I76" s="15" t="s">
        <v>43</v>
      </c>
      <c r="J76" s="15" t="s">
        <v>109</v>
      </c>
      <c r="K76" s="15" t="s">
        <v>80</v>
      </c>
      <c r="L76" s="17">
        <f>VLOOKUP(E76,[1]Diccionario!C$2:AC$150,22,0)</f>
        <v>1566562163</v>
      </c>
      <c r="M76" s="18">
        <f>VLOOKUP(E76,[1]Diccionario!C$2:AC$150,24,0)</f>
        <v>45402</v>
      </c>
      <c r="N76" s="19">
        <f>VLOOKUP(E76,[1]Diccionario!C$2:AC$150,25,0)</f>
        <v>45656</v>
      </c>
      <c r="O76" s="20">
        <f>VLOOKUP(E76,[1]Diccionario!C$2:AC$150,26,0)</f>
        <v>8.33</v>
      </c>
      <c r="P76" s="20">
        <f t="shared" si="14"/>
        <v>-7.33</v>
      </c>
      <c r="Q76" s="20">
        <v>1</v>
      </c>
      <c r="R76" s="15">
        <v>8</v>
      </c>
      <c r="S76" s="21">
        <v>0.1</v>
      </c>
      <c r="T76" s="21">
        <v>0.12</v>
      </c>
      <c r="U76" s="22"/>
      <c r="V76" s="24"/>
      <c r="W76" s="24">
        <f t="shared" si="15"/>
        <v>187987459.56</v>
      </c>
      <c r="X76" s="24">
        <f t="shared" si="16"/>
        <v>156656216.30000001</v>
      </c>
      <c r="Y76" s="24">
        <f t="shared" si="17"/>
        <v>187987459.56</v>
      </c>
      <c r="Z76" s="24">
        <f t="shared" si="18"/>
        <v>31331243.25999999</v>
      </c>
      <c r="AA76" s="25" t="str">
        <f t="shared" si="19"/>
        <v>No se realizó gasto en este corte</v>
      </c>
      <c r="AB76" s="26" t="str">
        <f t="shared" si="20"/>
        <v>Costo eficiente: se está gastando menos de lo presupuestado</v>
      </c>
      <c r="AC76" s="26">
        <f t="shared" si="21"/>
        <v>1.2</v>
      </c>
      <c r="AD76" s="26" t="str">
        <f t="shared" si="22"/>
        <v>Proyecto adelantado respecto al cronograma</v>
      </c>
      <c r="AE76" s="27">
        <f t="shared" si="23"/>
        <v>0</v>
      </c>
      <c r="AF76" s="27">
        <f t="shared" si="24"/>
        <v>-1566562163</v>
      </c>
      <c r="AG76" s="28" t="str">
        <f>VLOOKUP(Indicador!E78,[1]Diccionario!C$1:AC$150,27,0)</f>
        <v>https://growdatasas.sharepoint.com/:x:/r/sites/Gestiondocumental/Administrativa/GD/Financiera/_layouts/15/Doc.aspx?sourcedoc=%7BB89BD188-BEAD-4E84-BC3B-FF43B34DCCB0%7D&amp;file=326.%20ICFES%20-%20FABRICA%20DE%20SOFTWARE%20PRUEBAS.xlsx&amp;action=default&amp;mobileredirect=true</v>
      </c>
      <c r="AH76" s="28">
        <v>1</v>
      </c>
      <c r="AI76" s="28">
        <v>1</v>
      </c>
      <c r="AJ76" s="28"/>
      <c r="AK76" s="28"/>
    </row>
    <row r="77" spans="1:37" ht="18.75" customHeight="1" x14ac:dyDescent="0.25">
      <c r="A77" s="11">
        <v>2024</v>
      </c>
      <c r="B77" s="12" t="s">
        <v>50</v>
      </c>
      <c r="C77" s="15" t="s">
        <v>105</v>
      </c>
      <c r="D77" s="39">
        <v>45405.824231944447</v>
      </c>
      <c r="E77" s="15" t="s">
        <v>106</v>
      </c>
      <c r="F77" s="15" t="s">
        <v>95</v>
      </c>
      <c r="G77" s="15" t="s">
        <v>107</v>
      </c>
      <c r="H77" s="15" t="s">
        <v>108</v>
      </c>
      <c r="I77" s="15" t="s">
        <v>43</v>
      </c>
      <c r="J77" s="15" t="s">
        <v>109</v>
      </c>
      <c r="K77" s="15" t="s">
        <v>80</v>
      </c>
      <c r="L77" s="17">
        <f>VLOOKUP(E77,[1]Diccionario!C$2:AC$150,22,0)</f>
        <v>1566562163</v>
      </c>
      <c r="M77" s="18">
        <f>VLOOKUP(E77,[1]Diccionario!C$2:AC$150,24,0)</f>
        <v>45402</v>
      </c>
      <c r="N77" s="19">
        <f>VLOOKUP(E77,[1]Diccionario!C$2:AC$150,25,0)</f>
        <v>45656</v>
      </c>
      <c r="O77" s="20">
        <f>VLOOKUP(E77,[1]Diccionario!C$2:AC$150,26,0)</f>
        <v>8.33</v>
      </c>
      <c r="P77" s="20">
        <f t="shared" si="14"/>
        <v>-6.33</v>
      </c>
      <c r="Q77" s="20">
        <v>2</v>
      </c>
      <c r="R77" s="15">
        <v>8</v>
      </c>
      <c r="S77" s="21">
        <v>0.2</v>
      </c>
      <c r="T77" s="21">
        <v>0.25</v>
      </c>
      <c r="U77" s="22"/>
      <c r="V77" s="24"/>
      <c r="W77" s="24">
        <f t="shared" si="15"/>
        <v>391640540.75</v>
      </c>
      <c r="X77" s="24">
        <f t="shared" si="16"/>
        <v>313312432.60000002</v>
      </c>
      <c r="Y77" s="24">
        <f t="shared" si="17"/>
        <v>391640540.75</v>
      </c>
      <c r="Z77" s="24">
        <f t="shared" si="18"/>
        <v>78328108.149999976</v>
      </c>
      <c r="AA77" s="25" t="str">
        <f t="shared" si="19"/>
        <v>No se realizó gasto en este corte</v>
      </c>
      <c r="AB77" s="26" t="str">
        <f t="shared" si="20"/>
        <v>Costo eficiente: se está gastando menos de lo presupuestado</v>
      </c>
      <c r="AC77" s="26">
        <f t="shared" si="21"/>
        <v>1.25</v>
      </c>
      <c r="AD77" s="26" t="str">
        <f t="shared" si="22"/>
        <v>Proyecto adelantado respecto al cronograma</v>
      </c>
      <c r="AE77" s="27">
        <f t="shared" si="23"/>
        <v>0</v>
      </c>
      <c r="AF77" s="27">
        <f t="shared" si="24"/>
        <v>-1566562163</v>
      </c>
      <c r="AG77" s="28" t="str">
        <f>VLOOKUP(Indicador!E79,[1]Diccionario!C$1:AC$150,27,0)</f>
        <v>https://growdatasas.sharepoint.com/:x:/r/sites/Gestiondocumental/Administrativa/GD/Financiera/_layouts/15/Doc.aspx?sourcedoc=%7BB89BD188-BEAD-4E84-BC3B-FF43B34DCCB0%7D&amp;file=326.%20ICFES%20-%20FABRICA%20DE%20SOFTWARE%20PRUEBAS.xlsx&amp;action=default&amp;mobileredirect=true</v>
      </c>
      <c r="AH77" s="28">
        <v>1</v>
      </c>
      <c r="AI77" s="28">
        <v>1</v>
      </c>
      <c r="AJ77" s="28"/>
      <c r="AK77" s="28"/>
    </row>
    <row r="78" spans="1:37" ht="18.75" customHeight="1" x14ac:dyDescent="0.25">
      <c r="A78" s="11">
        <v>2024</v>
      </c>
      <c r="B78" s="12" t="s">
        <v>51</v>
      </c>
      <c r="C78" s="15" t="s">
        <v>105</v>
      </c>
      <c r="D78" s="39">
        <v>45405.824231944447</v>
      </c>
      <c r="E78" s="15" t="s">
        <v>106</v>
      </c>
      <c r="F78" s="15" t="s">
        <v>95</v>
      </c>
      <c r="G78" s="15" t="s">
        <v>107</v>
      </c>
      <c r="H78" s="15" t="s">
        <v>108</v>
      </c>
      <c r="I78" s="15" t="s">
        <v>43</v>
      </c>
      <c r="J78" s="15" t="s">
        <v>109</v>
      </c>
      <c r="K78" s="15" t="s">
        <v>80</v>
      </c>
      <c r="L78" s="17">
        <f>VLOOKUP(E78,[1]Diccionario!C$2:AC$150,22,0)</f>
        <v>1566562163</v>
      </c>
      <c r="M78" s="18">
        <f>VLOOKUP(E78,[1]Diccionario!C$2:AC$150,24,0)</f>
        <v>45402</v>
      </c>
      <c r="N78" s="19">
        <f>VLOOKUP(E78,[1]Diccionario!C$2:AC$150,25,0)</f>
        <v>45656</v>
      </c>
      <c r="O78" s="20">
        <f>VLOOKUP(E78,[1]Diccionario!C$2:AC$150,26,0)</f>
        <v>8.33</v>
      </c>
      <c r="P78" s="20">
        <f t="shared" si="14"/>
        <v>-5.33</v>
      </c>
      <c r="Q78" s="20">
        <v>3</v>
      </c>
      <c r="R78" s="15">
        <v>8</v>
      </c>
      <c r="S78" s="21">
        <v>0.3</v>
      </c>
      <c r="T78" s="21">
        <v>0.32</v>
      </c>
      <c r="U78" s="22"/>
      <c r="V78" s="24"/>
      <c r="W78" s="24">
        <f t="shared" si="15"/>
        <v>501299892.16000003</v>
      </c>
      <c r="X78" s="24">
        <f t="shared" si="16"/>
        <v>469968648.89999998</v>
      </c>
      <c r="Y78" s="24">
        <f t="shared" si="17"/>
        <v>501299892.16000003</v>
      </c>
      <c r="Z78" s="24">
        <f t="shared" si="18"/>
        <v>31331243.26000005</v>
      </c>
      <c r="AA78" s="25" t="str">
        <f t="shared" si="19"/>
        <v>No se realizó gasto en este corte</v>
      </c>
      <c r="AB78" s="26" t="str">
        <f t="shared" si="20"/>
        <v>Costo eficiente: se está gastando menos de lo presupuestado</v>
      </c>
      <c r="AC78" s="26">
        <f t="shared" si="21"/>
        <v>1.0666666666666669</v>
      </c>
      <c r="AD78" s="26" t="str">
        <f t="shared" si="22"/>
        <v>Proyecto adelantado respecto al cronograma</v>
      </c>
      <c r="AE78" s="27">
        <f t="shared" si="23"/>
        <v>0</v>
      </c>
      <c r="AF78" s="27">
        <f t="shared" si="24"/>
        <v>-1566562163</v>
      </c>
      <c r="AG78" s="28" t="str">
        <f>VLOOKUP(Indicador!E80,[1]Diccionario!C$1:AC$150,27,0)</f>
        <v>https://growdatasas.sharepoint.com/:x:/r/sites/Gestiondocumental/Administrativa/GD/Financiera/_layouts/15/Doc.aspx?sourcedoc=%7BB89BD188-BEAD-4E84-BC3B-FF43B34DCCB0%7D&amp;file=326.%20ICFES%20-%20FABRICA%20DE%20SOFTWARE%20PRUEBAS.xlsx&amp;action=default&amp;mobileredirect=true</v>
      </c>
      <c r="AH78" s="28">
        <v>1</v>
      </c>
      <c r="AI78" s="28">
        <v>1</v>
      </c>
      <c r="AJ78" s="28"/>
      <c r="AK78" s="28"/>
    </row>
    <row r="79" spans="1:37" ht="18.75" customHeight="1" x14ac:dyDescent="0.25">
      <c r="A79" s="11">
        <v>2024</v>
      </c>
      <c r="B79" s="12" t="s">
        <v>52</v>
      </c>
      <c r="C79" s="15" t="s">
        <v>105</v>
      </c>
      <c r="D79" s="39">
        <v>45405.824231944447</v>
      </c>
      <c r="E79" s="15" t="s">
        <v>106</v>
      </c>
      <c r="F79" s="15" t="s">
        <v>95</v>
      </c>
      <c r="G79" s="15" t="s">
        <v>107</v>
      </c>
      <c r="H79" s="15" t="s">
        <v>108</v>
      </c>
      <c r="I79" s="15" t="s">
        <v>43</v>
      </c>
      <c r="J79" s="15" t="s">
        <v>109</v>
      </c>
      <c r="K79" s="15" t="s">
        <v>80</v>
      </c>
      <c r="L79" s="17">
        <f>VLOOKUP(E79,[1]Diccionario!C$2:AC$150,22,0)</f>
        <v>1566562163</v>
      </c>
      <c r="M79" s="18">
        <f>VLOOKUP(E79,[1]Diccionario!C$2:AC$150,24,0)</f>
        <v>45402</v>
      </c>
      <c r="N79" s="19">
        <f>VLOOKUP(E79,[1]Diccionario!C$2:AC$150,25,0)</f>
        <v>45656</v>
      </c>
      <c r="O79" s="20">
        <f>VLOOKUP(E79,[1]Diccionario!C$2:AC$150,26,0)</f>
        <v>8.33</v>
      </c>
      <c r="P79" s="20">
        <f t="shared" si="14"/>
        <v>-4.33</v>
      </c>
      <c r="Q79" s="20">
        <v>4</v>
      </c>
      <c r="R79" s="15">
        <v>8</v>
      </c>
      <c r="S79" s="21">
        <v>0.45</v>
      </c>
      <c r="T79" s="21">
        <v>0.42</v>
      </c>
      <c r="U79" s="22"/>
      <c r="V79" s="24"/>
      <c r="W79" s="24">
        <f t="shared" si="15"/>
        <v>657956108.45999992</v>
      </c>
      <c r="X79" s="24">
        <f t="shared" si="16"/>
        <v>704952973.35000002</v>
      </c>
      <c r="Y79" s="24">
        <f t="shared" si="17"/>
        <v>657956108.45999992</v>
      </c>
      <c r="Z79" s="24">
        <f t="shared" si="18"/>
        <v>-46996864.890000105</v>
      </c>
      <c r="AA79" s="25" t="str">
        <f t="shared" si="19"/>
        <v>No se realizó gasto en este corte</v>
      </c>
      <c r="AB79" s="26" t="str">
        <f t="shared" si="20"/>
        <v>Costo eficiente: se está gastando menos de lo presupuestado</v>
      </c>
      <c r="AC79" s="26">
        <f t="shared" si="21"/>
        <v>0.93333333333333324</v>
      </c>
      <c r="AD79" s="26" t="str">
        <f t="shared" si="22"/>
        <v>Proyecto atrasado con respecto al cronograma</v>
      </c>
      <c r="AE79" s="27">
        <f t="shared" si="23"/>
        <v>0</v>
      </c>
      <c r="AF79" s="27">
        <f t="shared" si="24"/>
        <v>-1566562163</v>
      </c>
      <c r="AG79" s="28" t="str">
        <f>VLOOKUP(Indicador!E81,[1]Diccionario!C$1:AC$150,27,0)</f>
        <v>https://growdatasas.sharepoint.com/:x:/r/sites/Gestiondocumental/Administrativa/GD/Financiera/_layouts/15/Doc.aspx?sourcedoc=%7BB89BD188-BEAD-4E84-BC3B-FF43B34DCCB0%7D&amp;file=326.%20ICFES%20-%20FABRICA%20DE%20SOFTWARE%20PRUEBAS.xlsx&amp;action=default&amp;mobileredirect=true</v>
      </c>
      <c r="AH79" s="28">
        <v>1</v>
      </c>
      <c r="AI79" s="28">
        <v>1</v>
      </c>
      <c r="AJ79" s="28"/>
      <c r="AK79" s="28"/>
    </row>
    <row r="80" spans="1:37" ht="18.75" customHeight="1" x14ac:dyDescent="0.25">
      <c r="A80" s="11">
        <v>2024</v>
      </c>
      <c r="B80" s="12" t="s">
        <v>53</v>
      </c>
      <c r="C80" s="15" t="s">
        <v>105</v>
      </c>
      <c r="D80" s="39">
        <v>45405.824231944447</v>
      </c>
      <c r="E80" s="15" t="s">
        <v>106</v>
      </c>
      <c r="F80" s="15" t="s">
        <v>95</v>
      </c>
      <c r="G80" s="15" t="s">
        <v>107</v>
      </c>
      <c r="H80" s="15" t="s">
        <v>108</v>
      </c>
      <c r="I80" s="15" t="s">
        <v>43</v>
      </c>
      <c r="J80" s="15" t="s">
        <v>109</v>
      </c>
      <c r="K80" s="15" t="s">
        <v>80</v>
      </c>
      <c r="L80" s="17">
        <f>VLOOKUP(E80,[1]Diccionario!C$2:AC$150,22,0)</f>
        <v>1566562163</v>
      </c>
      <c r="M80" s="18">
        <f>VLOOKUP(E80,[1]Diccionario!C$2:AC$150,24,0)</f>
        <v>45402</v>
      </c>
      <c r="N80" s="19">
        <f>VLOOKUP(E80,[1]Diccionario!C$2:AC$150,25,0)</f>
        <v>45656</v>
      </c>
      <c r="O80" s="20">
        <f>VLOOKUP(E80,[1]Diccionario!C$2:AC$150,26,0)</f>
        <v>8.33</v>
      </c>
      <c r="P80" s="20">
        <f t="shared" si="14"/>
        <v>-3.33</v>
      </c>
      <c r="Q80" s="20">
        <v>5</v>
      </c>
      <c r="R80" s="15">
        <v>8</v>
      </c>
      <c r="S80" s="21">
        <v>0.55000000000000004</v>
      </c>
      <c r="T80" s="21">
        <v>0.56000000000000005</v>
      </c>
      <c r="U80" s="22"/>
      <c r="V80" s="24"/>
      <c r="W80" s="24">
        <f t="shared" si="15"/>
        <v>877274811.28000009</v>
      </c>
      <c r="X80" s="24">
        <f t="shared" si="16"/>
        <v>861609189.6500001</v>
      </c>
      <c r="Y80" s="24">
        <f t="shared" si="17"/>
        <v>877274811.28000009</v>
      </c>
      <c r="Z80" s="24">
        <f t="shared" si="18"/>
        <v>15665621.629999995</v>
      </c>
      <c r="AA80" s="25" t="str">
        <f t="shared" si="19"/>
        <v>No se realizó gasto en este corte</v>
      </c>
      <c r="AB80" s="26" t="str">
        <f t="shared" si="20"/>
        <v>Costo eficiente: se está gastando menos de lo presupuestado</v>
      </c>
      <c r="AC80" s="26">
        <f t="shared" si="21"/>
        <v>1.0181818181818181</v>
      </c>
      <c r="AD80" s="26" t="str">
        <f t="shared" si="22"/>
        <v>Proyecto adelantado respecto al cronograma</v>
      </c>
      <c r="AE80" s="27">
        <f t="shared" si="23"/>
        <v>0</v>
      </c>
      <c r="AF80" s="27">
        <f t="shared" si="24"/>
        <v>-1566562163</v>
      </c>
      <c r="AG80" s="28" t="str">
        <f>VLOOKUP(Indicador!E82,[1]Diccionario!C$1:AC$150,27,0)</f>
        <v>https://growdatasas.sharepoint.com/:x:/r/sites/Gestiondocumental/Administrativa/GD/Financiera/_layouts/15/Doc.aspx?sourcedoc=%7BB89BD188-BEAD-4E84-BC3B-FF43B34DCCB0%7D&amp;file=326.%20ICFES%20-%20FABRICA%20DE%20SOFTWARE%20PRUEBAS.xlsx&amp;action=default&amp;mobileredirect=true</v>
      </c>
      <c r="AH80" s="28">
        <v>1</v>
      </c>
      <c r="AI80" s="28">
        <v>1</v>
      </c>
      <c r="AJ80" s="28"/>
      <c r="AK80" s="28"/>
    </row>
    <row r="81" spans="1:37" ht="18.75" customHeight="1" x14ac:dyDescent="0.25">
      <c r="A81" s="11">
        <v>2024</v>
      </c>
      <c r="B81" s="12" t="s">
        <v>54</v>
      </c>
      <c r="C81" s="15" t="s">
        <v>105</v>
      </c>
      <c r="D81" s="39">
        <v>45405.824231944447</v>
      </c>
      <c r="E81" s="15" t="s">
        <v>106</v>
      </c>
      <c r="F81" s="15" t="s">
        <v>95</v>
      </c>
      <c r="G81" s="15" t="s">
        <v>107</v>
      </c>
      <c r="H81" s="15" t="s">
        <v>108</v>
      </c>
      <c r="I81" s="15" t="s">
        <v>43</v>
      </c>
      <c r="J81" s="15" t="s">
        <v>109</v>
      </c>
      <c r="K81" s="15" t="s">
        <v>80</v>
      </c>
      <c r="L81" s="17">
        <f>VLOOKUP(E81,[1]Diccionario!C$2:AC$150,22,0)</f>
        <v>1566562163</v>
      </c>
      <c r="M81" s="18">
        <f>VLOOKUP(E81,[1]Diccionario!C$2:AC$150,24,0)</f>
        <v>45402</v>
      </c>
      <c r="N81" s="19">
        <f>VLOOKUP(E81,[1]Diccionario!C$2:AC$150,25,0)</f>
        <v>45656</v>
      </c>
      <c r="O81" s="20">
        <f>VLOOKUP(E81,[1]Diccionario!C$2:AC$150,26,0)</f>
        <v>8.33</v>
      </c>
      <c r="P81" s="20">
        <f t="shared" si="14"/>
        <v>-2.33</v>
      </c>
      <c r="Q81" s="20">
        <v>6</v>
      </c>
      <c r="R81" s="15">
        <v>8</v>
      </c>
      <c r="S81" s="21">
        <v>0.65</v>
      </c>
      <c r="T81" s="21">
        <v>0.67</v>
      </c>
      <c r="U81" s="22"/>
      <c r="V81" s="24"/>
      <c r="W81" s="24">
        <f t="shared" si="15"/>
        <v>1049596649.21</v>
      </c>
      <c r="X81" s="24">
        <f t="shared" si="16"/>
        <v>1018265405.95</v>
      </c>
      <c r="Y81" s="24">
        <f t="shared" si="17"/>
        <v>1049596649.21</v>
      </c>
      <c r="Z81" s="24">
        <f t="shared" si="18"/>
        <v>31331243.25999999</v>
      </c>
      <c r="AA81" s="25" t="str">
        <f t="shared" si="19"/>
        <v>No se realizó gasto en este corte</v>
      </c>
      <c r="AB81" s="26" t="str">
        <f t="shared" si="20"/>
        <v>Costo eficiente: se está gastando menos de lo presupuestado</v>
      </c>
      <c r="AC81" s="26">
        <f t="shared" si="21"/>
        <v>1.0307692307692307</v>
      </c>
      <c r="AD81" s="26" t="str">
        <f t="shared" si="22"/>
        <v>Proyecto adelantado respecto al cronograma</v>
      </c>
      <c r="AE81" s="27">
        <f t="shared" si="23"/>
        <v>0</v>
      </c>
      <c r="AF81" s="27">
        <f t="shared" si="24"/>
        <v>-1566562163</v>
      </c>
      <c r="AG81" s="28" t="str">
        <f>VLOOKUP(Indicador!E83,[1]Diccionario!C$1:AC$150,27,0)</f>
        <v>https://growdatasas.sharepoint.com/:x:/r/sites/Gestiondocumental/Administrativa/GD/Financiera/_layouts/15/Doc.aspx?sourcedoc=%7BB89BD188-BEAD-4E84-BC3B-FF43B34DCCB0%7D&amp;file=326.%20ICFES%20-%20FABRICA%20DE%20SOFTWARE%20PRUEBAS.xlsx&amp;action=default&amp;mobileredirect=true</v>
      </c>
      <c r="AH81" s="28">
        <v>1</v>
      </c>
      <c r="AI81" s="28">
        <v>1</v>
      </c>
      <c r="AJ81" s="28"/>
      <c r="AK81" s="28"/>
    </row>
    <row r="82" spans="1:37" ht="18.75" customHeight="1" x14ac:dyDescent="0.25">
      <c r="A82" s="11">
        <v>2024</v>
      </c>
      <c r="B82" s="12" t="s">
        <v>55</v>
      </c>
      <c r="C82" s="15" t="s">
        <v>105</v>
      </c>
      <c r="D82" s="39">
        <v>45405.824231944447</v>
      </c>
      <c r="E82" s="15" t="s">
        <v>106</v>
      </c>
      <c r="F82" s="15" t="s">
        <v>95</v>
      </c>
      <c r="G82" s="15" t="s">
        <v>107</v>
      </c>
      <c r="H82" s="15" t="s">
        <v>108</v>
      </c>
      <c r="I82" s="15" t="s">
        <v>43</v>
      </c>
      <c r="J82" s="15" t="s">
        <v>109</v>
      </c>
      <c r="K82" s="15" t="s">
        <v>80</v>
      </c>
      <c r="L82" s="17">
        <f>VLOOKUP(E82,[1]Diccionario!C$2:AC$150,22,0)</f>
        <v>1566562163</v>
      </c>
      <c r="M82" s="18">
        <f>VLOOKUP(E82,[1]Diccionario!C$2:AC$150,24,0)</f>
        <v>45402</v>
      </c>
      <c r="N82" s="19">
        <f>VLOOKUP(E82,[1]Diccionario!C$2:AC$150,25,0)</f>
        <v>45656</v>
      </c>
      <c r="O82" s="20">
        <f>VLOOKUP(E82,[1]Diccionario!C$2:AC$150,26,0)</f>
        <v>8.33</v>
      </c>
      <c r="P82" s="20">
        <f t="shared" si="14"/>
        <v>-1.33</v>
      </c>
      <c r="Q82" s="20">
        <v>7</v>
      </c>
      <c r="R82" s="15">
        <v>8</v>
      </c>
      <c r="S82" s="21">
        <v>0.85</v>
      </c>
      <c r="T82" s="21">
        <v>0.85</v>
      </c>
      <c r="U82" s="22"/>
      <c r="V82" s="24"/>
      <c r="W82" s="24">
        <f t="shared" si="15"/>
        <v>1331577838.55</v>
      </c>
      <c r="X82" s="24">
        <f t="shared" si="16"/>
        <v>1331577838.55</v>
      </c>
      <c r="Y82" s="24">
        <f t="shared" si="17"/>
        <v>1331577838.55</v>
      </c>
      <c r="Z82" s="24">
        <f t="shared" si="18"/>
        <v>0</v>
      </c>
      <c r="AA82" s="25" t="str">
        <f t="shared" si="19"/>
        <v>No se realizó gasto en este corte</v>
      </c>
      <c r="AB82" s="26" t="str">
        <f t="shared" si="20"/>
        <v>Costo eficiente: se está gastando menos de lo presupuestado</v>
      </c>
      <c r="AC82" s="26">
        <f t="shared" si="21"/>
        <v>1</v>
      </c>
      <c r="AD82" s="26" t="str">
        <f t="shared" si="22"/>
        <v>Proyecto a tiempo según lo planificado</v>
      </c>
      <c r="AE82" s="27">
        <f t="shared" si="23"/>
        <v>0</v>
      </c>
      <c r="AF82" s="27">
        <f t="shared" si="24"/>
        <v>-1566562163</v>
      </c>
      <c r="AG82" s="28" t="str">
        <f>VLOOKUP(Indicador!E84,[1]Diccionario!C$1:AC$150,27,0)</f>
        <v>https://growdatasas.sharepoint.com/sites/Gestiondocumental/Administrativa/GD/Financiera/Documentos%20compartidos/Forms/AllItems.aspx?id=%2Fsites%2FGestiondocumental%2FAdministrativa%2FGD%2FFinanciera%2FDocumentos%20compartidos%2FAN%C3%81LISIS%20FINANCIERO%2FPMO%20SEGUIMIENTO%20A%20PROYECTOS%2F328%2E%20INFOTIC%20%2D%20ICFES%20%2D%20PRUEBAS%20CSJ&amp;viewid=8ba7db0b%2Dbb48%2D40cc%2Da532%2D9b5bc18760d5</v>
      </c>
      <c r="AH82" s="28">
        <v>1</v>
      </c>
      <c r="AI82" s="28">
        <v>1</v>
      </c>
      <c r="AJ82" s="28"/>
      <c r="AK82" s="28"/>
    </row>
    <row r="83" spans="1:37" ht="18.75" customHeight="1" x14ac:dyDescent="0.25">
      <c r="A83" s="11">
        <v>2024</v>
      </c>
      <c r="B83" s="12" t="s">
        <v>56</v>
      </c>
      <c r="C83" s="15" t="s">
        <v>105</v>
      </c>
      <c r="D83" s="39">
        <v>45405.824231944447</v>
      </c>
      <c r="E83" s="15" t="s">
        <v>106</v>
      </c>
      <c r="F83" s="15" t="s">
        <v>95</v>
      </c>
      <c r="G83" s="15" t="s">
        <v>107</v>
      </c>
      <c r="H83" s="15" t="s">
        <v>108</v>
      </c>
      <c r="I83" s="15" t="s">
        <v>43</v>
      </c>
      <c r="J83" s="15" t="s">
        <v>109</v>
      </c>
      <c r="K83" s="15" t="s">
        <v>80</v>
      </c>
      <c r="L83" s="17">
        <f>VLOOKUP(E83,[1]Diccionario!C$2:AC$150,22,0)</f>
        <v>1566562163</v>
      </c>
      <c r="M83" s="18">
        <f>VLOOKUP(E83,[1]Diccionario!C$2:AC$150,24,0)</f>
        <v>45402</v>
      </c>
      <c r="N83" s="19">
        <f>VLOOKUP(E83,[1]Diccionario!C$2:AC$150,25,0)</f>
        <v>45656</v>
      </c>
      <c r="O83" s="20">
        <f>VLOOKUP(E83,[1]Diccionario!C$2:AC$150,26,0)</f>
        <v>8.33</v>
      </c>
      <c r="P83" s="20">
        <f t="shared" si="14"/>
        <v>-0.33000000000000007</v>
      </c>
      <c r="Q83" s="20">
        <v>8</v>
      </c>
      <c r="R83" s="15">
        <v>8</v>
      </c>
      <c r="S83" s="21">
        <v>1</v>
      </c>
      <c r="T83" s="21">
        <v>1</v>
      </c>
      <c r="U83" s="22"/>
      <c r="V83" s="24"/>
      <c r="W83" s="24">
        <f t="shared" si="15"/>
        <v>1566562163</v>
      </c>
      <c r="X83" s="24">
        <f t="shared" si="16"/>
        <v>1566562163</v>
      </c>
      <c r="Y83" s="24">
        <f t="shared" si="17"/>
        <v>1566562163</v>
      </c>
      <c r="Z83" s="24">
        <f t="shared" si="18"/>
        <v>0</v>
      </c>
      <c r="AA83" s="25" t="str">
        <f t="shared" si="19"/>
        <v>No se realizó gasto en este corte</v>
      </c>
      <c r="AB83" s="26" t="str">
        <f t="shared" si="20"/>
        <v>Costo eficiente: se está gastando menos de lo presupuestado</v>
      </c>
      <c r="AC83" s="26">
        <f t="shared" si="21"/>
        <v>1</v>
      </c>
      <c r="AD83" s="26" t="str">
        <f t="shared" si="22"/>
        <v>Proyecto a tiempo según lo planificado</v>
      </c>
      <c r="AE83" s="27">
        <f t="shared" si="23"/>
        <v>0</v>
      </c>
      <c r="AF83" s="27">
        <f t="shared" si="24"/>
        <v>-1566562163</v>
      </c>
      <c r="AG83" s="28" t="str">
        <f>VLOOKUP(Indicador!E85,[1]Diccionario!C$1:AC$150,27,0)</f>
        <v>https://growdatasas.sharepoint.com/sites/Gestiondocumental/Administrativa/GD/Financiera/Documentos%20compartidos/Forms/AllItems.aspx?id=%2Fsites%2FGestiondocumental%2FAdministrativa%2FGD%2FFinanciera%2FDocumentos%20compartidos%2FAN%C3%81LISIS%20FINANCIERO%2FPMO%20SEGUIMIENTO%20A%20PROYECTOS%2F328%2E%20INFOTIC%20%2D%20ICFES%20%2D%20PRUEBAS%20CSJ&amp;viewid=8ba7db0b%2Dbb48%2D40cc%2Da532%2D9b5bc18760d5</v>
      </c>
      <c r="AH83" s="28">
        <v>1</v>
      </c>
      <c r="AI83" s="28">
        <v>1</v>
      </c>
      <c r="AJ83" s="28"/>
      <c r="AK83" s="28"/>
    </row>
    <row r="84" spans="1:37" ht="18.75" customHeight="1" x14ac:dyDescent="0.25">
      <c r="A84" s="11">
        <v>2024</v>
      </c>
      <c r="B84" s="12" t="s">
        <v>50</v>
      </c>
      <c r="C84" s="15" t="s">
        <v>110</v>
      </c>
      <c r="D84" s="39">
        <v>45422.849828703707</v>
      </c>
      <c r="E84" s="15" t="s">
        <v>111</v>
      </c>
      <c r="F84" s="15" t="s">
        <v>69</v>
      </c>
      <c r="G84" s="15" t="s">
        <v>112</v>
      </c>
      <c r="H84" s="15" t="s">
        <v>113</v>
      </c>
      <c r="I84" s="15" t="s">
        <v>63</v>
      </c>
      <c r="J84" s="15" t="s">
        <v>114</v>
      </c>
      <c r="K84" s="15" t="s">
        <v>80</v>
      </c>
      <c r="L84" s="17">
        <f>VLOOKUP(E84,[1]Diccionario!C$2:AC$150,22,0)</f>
        <v>830180856</v>
      </c>
      <c r="M84" s="18">
        <f>VLOOKUP(E84,[1]Diccionario!C$2:AC$150,24,0)</f>
        <v>45414</v>
      </c>
      <c r="N84" s="19">
        <f>VLOOKUP(E84,[1]Diccionario!C$2:AC$150,25,0)</f>
        <v>45596</v>
      </c>
      <c r="O84" s="20">
        <f>VLOOKUP(E84,[1]Diccionario!C$2:AC$150,26,0)</f>
        <v>5.97</v>
      </c>
      <c r="P84" s="20">
        <f t="shared" ca="1" si="14"/>
        <v>17.03</v>
      </c>
      <c r="Q84" s="20">
        <f t="shared" ref="Q84:Q89" ca="1" si="25">DATEDIF(M84,TODAY(),"m")</f>
        <v>23</v>
      </c>
      <c r="R84" s="15">
        <v>6</v>
      </c>
      <c r="S84" s="21">
        <v>0.2</v>
      </c>
      <c r="T84" s="21">
        <v>0.15</v>
      </c>
      <c r="U84" s="22"/>
      <c r="V84" s="24"/>
      <c r="W84" s="24">
        <f t="shared" si="15"/>
        <v>124527128.39999999</v>
      </c>
      <c r="X84" s="24">
        <f t="shared" si="16"/>
        <v>166036171.20000002</v>
      </c>
      <c r="Y84" s="24">
        <f t="shared" si="17"/>
        <v>124527128.39999999</v>
      </c>
      <c r="Z84" s="24">
        <f t="shared" si="18"/>
        <v>-41509042.800000027</v>
      </c>
      <c r="AA84" s="25" t="str">
        <f t="shared" si="19"/>
        <v>No se realizó gasto en este corte</v>
      </c>
      <c r="AB84" s="26" t="str">
        <f t="shared" si="20"/>
        <v>Costo eficiente: se está gastando menos de lo presupuestado</v>
      </c>
      <c r="AC84" s="26">
        <f t="shared" si="21"/>
        <v>0.74999999999999989</v>
      </c>
      <c r="AD84" s="26" t="str">
        <f t="shared" si="22"/>
        <v>Proyecto atrasado con respecto al cronograma</v>
      </c>
      <c r="AE84" s="27">
        <f t="shared" si="23"/>
        <v>0</v>
      </c>
      <c r="AF84" s="27">
        <f t="shared" si="24"/>
        <v>-830180856</v>
      </c>
      <c r="AG84" s="28" t="str">
        <f>VLOOKUP(Indicador!E91,[1]Diccionario!C$1:AC$150,27,0)</f>
        <v>https://growdatasas.sharepoint.com/:x:/r/sites/Gestiondocumental/Administrativa/GD/Financiera/_layouts/15/Doc.aspx?sourcedoc=%7B0974E3E6-B78B-4C29-8F8A-9CF11A235CF4%7D&amp;file=20240530%20UT%20ENTERRITORIO%202027%20(SERVICIO).xlsm&amp;action=default&amp;mobileredirect=true</v>
      </c>
      <c r="AH84" s="28">
        <v>1</v>
      </c>
      <c r="AI84" s="28">
        <v>1</v>
      </c>
      <c r="AJ84" s="28"/>
      <c r="AK84" s="28"/>
    </row>
    <row r="85" spans="1:37" ht="18.75" customHeight="1" x14ac:dyDescent="0.25">
      <c r="A85" s="11">
        <v>2024</v>
      </c>
      <c r="B85" s="12" t="s">
        <v>51</v>
      </c>
      <c r="C85" s="15" t="s">
        <v>110</v>
      </c>
      <c r="D85" s="39">
        <v>45422.849828703707</v>
      </c>
      <c r="E85" s="15" t="s">
        <v>111</v>
      </c>
      <c r="F85" s="15" t="s">
        <v>69</v>
      </c>
      <c r="G85" s="15" t="s">
        <v>112</v>
      </c>
      <c r="H85" s="15" t="s">
        <v>113</v>
      </c>
      <c r="I85" s="15" t="s">
        <v>63</v>
      </c>
      <c r="J85" s="15" t="s">
        <v>114</v>
      </c>
      <c r="K85" s="15" t="s">
        <v>80</v>
      </c>
      <c r="L85" s="17">
        <f>VLOOKUP(E85,[1]Diccionario!C$2:AC$150,22,0)</f>
        <v>830180856</v>
      </c>
      <c r="M85" s="18">
        <f>VLOOKUP(E85,[1]Diccionario!C$2:AC$150,24,0)</f>
        <v>45414</v>
      </c>
      <c r="N85" s="19">
        <f>VLOOKUP(E85,[1]Diccionario!C$2:AC$150,25,0)</f>
        <v>45596</v>
      </c>
      <c r="O85" s="20">
        <f>VLOOKUP(E85,[1]Diccionario!C$2:AC$150,26,0)</f>
        <v>5.97</v>
      </c>
      <c r="P85" s="20">
        <f t="shared" ca="1" si="14"/>
        <v>17.03</v>
      </c>
      <c r="Q85" s="20">
        <f t="shared" ca="1" si="25"/>
        <v>23</v>
      </c>
      <c r="R85" s="15">
        <v>6</v>
      </c>
      <c r="S85" s="21">
        <v>0.4</v>
      </c>
      <c r="T85" s="21">
        <v>0.35</v>
      </c>
      <c r="U85" s="22"/>
      <c r="V85" s="24"/>
      <c r="W85" s="24">
        <f t="shared" si="15"/>
        <v>290563299.59999996</v>
      </c>
      <c r="X85" s="24">
        <f t="shared" si="16"/>
        <v>332072342.40000004</v>
      </c>
      <c r="Y85" s="24">
        <f t="shared" si="17"/>
        <v>290563299.59999996</v>
      </c>
      <c r="Z85" s="24">
        <f t="shared" si="18"/>
        <v>-41509042.800000072</v>
      </c>
      <c r="AA85" s="25" t="str">
        <f t="shared" si="19"/>
        <v>No se realizó gasto en este corte</v>
      </c>
      <c r="AB85" s="26" t="str">
        <f t="shared" si="20"/>
        <v>Costo eficiente: se está gastando menos de lo presupuestado</v>
      </c>
      <c r="AC85" s="26">
        <f t="shared" si="21"/>
        <v>0.87499999999999978</v>
      </c>
      <c r="AD85" s="26" t="str">
        <f t="shared" si="22"/>
        <v>Proyecto atrasado con respecto al cronograma</v>
      </c>
      <c r="AE85" s="27">
        <f t="shared" si="23"/>
        <v>0</v>
      </c>
      <c r="AF85" s="27">
        <f t="shared" si="24"/>
        <v>-830180856</v>
      </c>
      <c r="AG85" s="28" t="str">
        <f>VLOOKUP(Indicador!E92,[1]Diccionario!C$1:AC$150,27,0)</f>
        <v>https://growdatasas.sharepoint.com/:x:/r/sites/Gestiondocumental/Administrativa/GD/Financiera/_layouts/15/Doc.aspx?sourcedoc=%7B0974E3E6-B78B-4C29-8F8A-9CF11A235CF4%7D&amp;file=20240530%20UT%20ENTERRITORIO%202027%20(SERVICIO).xlsm&amp;action=default&amp;mobileredirect=true</v>
      </c>
      <c r="AH85" s="28">
        <v>1</v>
      </c>
      <c r="AI85" s="28">
        <v>1</v>
      </c>
      <c r="AJ85" s="28"/>
      <c r="AK85" s="28"/>
    </row>
    <row r="86" spans="1:37" ht="18.75" customHeight="1" x14ac:dyDescent="0.25">
      <c r="A86" s="11">
        <v>2024</v>
      </c>
      <c r="B86" s="12" t="s">
        <v>52</v>
      </c>
      <c r="C86" s="15" t="s">
        <v>110</v>
      </c>
      <c r="D86" s="39">
        <v>45422.849828703707</v>
      </c>
      <c r="E86" s="15" t="s">
        <v>111</v>
      </c>
      <c r="F86" s="15" t="s">
        <v>69</v>
      </c>
      <c r="G86" s="15" t="s">
        <v>112</v>
      </c>
      <c r="H86" s="15" t="s">
        <v>113</v>
      </c>
      <c r="I86" s="15" t="s">
        <v>63</v>
      </c>
      <c r="J86" s="15" t="s">
        <v>114</v>
      </c>
      <c r="K86" s="15" t="s">
        <v>80</v>
      </c>
      <c r="L86" s="17">
        <f>VLOOKUP(E86,[1]Diccionario!C$2:AC$150,22,0)</f>
        <v>830180856</v>
      </c>
      <c r="M86" s="18">
        <f>VLOOKUP(E86,[1]Diccionario!C$2:AC$150,24,0)</f>
        <v>45414</v>
      </c>
      <c r="N86" s="19">
        <f>VLOOKUP(E86,[1]Diccionario!C$2:AC$150,25,0)</f>
        <v>45596</v>
      </c>
      <c r="O86" s="20">
        <f>VLOOKUP(E86,[1]Diccionario!C$2:AC$150,26,0)</f>
        <v>5.97</v>
      </c>
      <c r="P86" s="20">
        <f t="shared" ca="1" si="14"/>
        <v>17.03</v>
      </c>
      <c r="Q86" s="20">
        <f t="shared" ca="1" si="25"/>
        <v>23</v>
      </c>
      <c r="R86" s="15">
        <v>6</v>
      </c>
      <c r="S86" s="21">
        <v>0.6</v>
      </c>
      <c r="T86" s="21">
        <v>0.56000000000000005</v>
      </c>
      <c r="U86" s="22"/>
      <c r="V86" s="24"/>
      <c r="W86" s="24">
        <f t="shared" si="15"/>
        <v>464901279.36000007</v>
      </c>
      <c r="X86" s="24">
        <f t="shared" si="16"/>
        <v>498108513.59999996</v>
      </c>
      <c r="Y86" s="24">
        <f t="shared" si="17"/>
        <v>464901279.36000007</v>
      </c>
      <c r="Z86" s="24">
        <f t="shared" si="18"/>
        <v>-33207234.23999989</v>
      </c>
      <c r="AA86" s="25" t="str">
        <f t="shared" si="19"/>
        <v>No se realizó gasto en este corte</v>
      </c>
      <c r="AB86" s="26" t="str">
        <f t="shared" si="20"/>
        <v>Costo eficiente: se está gastando menos de lo presupuestado</v>
      </c>
      <c r="AC86" s="26">
        <f t="shared" si="21"/>
        <v>0.93333333333333357</v>
      </c>
      <c r="AD86" s="26" t="str">
        <f t="shared" si="22"/>
        <v>Proyecto atrasado con respecto al cronograma</v>
      </c>
      <c r="AE86" s="27">
        <f t="shared" si="23"/>
        <v>0</v>
      </c>
      <c r="AF86" s="27">
        <f t="shared" si="24"/>
        <v>-830180856</v>
      </c>
      <c r="AG86" s="28" t="str">
        <f>VLOOKUP(Indicador!E93,[1]Diccionario!C$1:AC$150,27,0)</f>
        <v>https://growdatasas.sharepoint.com/:x:/r/sites/Gestiondocumental/Administrativa/GD/Financiera/_layouts/15/Doc.aspx?sourcedoc=%7B0974E3E6-B78B-4C29-8F8A-9CF11A235CF4%7D&amp;file=20240530%20UT%20ENTERRITORIO%202027%20(SERVICIO).xlsm&amp;action=default&amp;mobileredirect=true</v>
      </c>
      <c r="AH86" s="28">
        <v>1</v>
      </c>
      <c r="AI86" s="28">
        <v>1</v>
      </c>
      <c r="AJ86" s="28"/>
      <c r="AK86" s="28"/>
    </row>
    <row r="87" spans="1:37" ht="18.75" customHeight="1" x14ac:dyDescent="0.25">
      <c r="A87" s="11">
        <v>2024</v>
      </c>
      <c r="B87" s="12" t="s">
        <v>53</v>
      </c>
      <c r="C87" s="15" t="s">
        <v>110</v>
      </c>
      <c r="D87" s="39">
        <v>45422.849828703707</v>
      </c>
      <c r="E87" s="15" t="s">
        <v>111</v>
      </c>
      <c r="F87" s="15" t="s">
        <v>69</v>
      </c>
      <c r="G87" s="15" t="s">
        <v>112</v>
      </c>
      <c r="H87" s="15" t="s">
        <v>113</v>
      </c>
      <c r="I87" s="15" t="s">
        <v>63</v>
      </c>
      <c r="J87" s="15" t="s">
        <v>114</v>
      </c>
      <c r="K87" s="15" t="s">
        <v>80</v>
      </c>
      <c r="L87" s="17">
        <f>VLOOKUP(E87,[1]Diccionario!C$2:AC$150,22,0)</f>
        <v>830180856</v>
      </c>
      <c r="M87" s="18">
        <f>VLOOKUP(E87,[1]Diccionario!C$2:AC$150,24,0)</f>
        <v>45414</v>
      </c>
      <c r="N87" s="19">
        <f>VLOOKUP(E87,[1]Diccionario!C$2:AC$150,25,0)</f>
        <v>45596</v>
      </c>
      <c r="O87" s="20">
        <f>VLOOKUP(E87,[1]Diccionario!C$2:AC$150,26,0)</f>
        <v>5.97</v>
      </c>
      <c r="P87" s="20">
        <f t="shared" ca="1" si="14"/>
        <v>17.03</v>
      </c>
      <c r="Q87" s="20">
        <f t="shared" ca="1" si="25"/>
        <v>23</v>
      </c>
      <c r="R87" s="15">
        <v>6</v>
      </c>
      <c r="S87" s="21">
        <v>0.8</v>
      </c>
      <c r="T87" s="21">
        <v>0.67</v>
      </c>
      <c r="U87" s="22"/>
      <c r="V87" s="24"/>
      <c r="W87" s="24">
        <f t="shared" si="15"/>
        <v>556221173.51999998</v>
      </c>
      <c r="X87" s="24">
        <f t="shared" si="16"/>
        <v>664144684.80000007</v>
      </c>
      <c r="Y87" s="24">
        <f t="shared" si="17"/>
        <v>556221173.51999998</v>
      </c>
      <c r="Z87" s="24">
        <f t="shared" si="18"/>
        <v>-107923511.28000009</v>
      </c>
      <c r="AA87" s="25" t="str">
        <f t="shared" si="19"/>
        <v>No se realizó gasto en este corte</v>
      </c>
      <c r="AB87" s="26" t="str">
        <f t="shared" si="20"/>
        <v>Costo eficiente: se está gastando menos de lo presupuestado</v>
      </c>
      <c r="AC87" s="26">
        <f t="shared" si="21"/>
        <v>0.83749999999999991</v>
      </c>
      <c r="AD87" s="26" t="str">
        <f t="shared" si="22"/>
        <v>Proyecto atrasado con respecto al cronograma</v>
      </c>
      <c r="AE87" s="27">
        <f t="shared" si="23"/>
        <v>0</v>
      </c>
      <c r="AF87" s="27">
        <f t="shared" si="24"/>
        <v>-830180856</v>
      </c>
      <c r="AG87" s="28" t="str">
        <f>VLOOKUP(Indicador!E94,[1]Diccionario!C$1:AC$150,27,0)</f>
        <v>https://growdatasas.sharepoint.com/:x:/r/sites/Gestiondocumental/Administrativa/GD/Financiera/_layouts/15/Doc.aspx?sourcedoc=%7B0974E3E6-B78B-4C29-8F8A-9CF11A235CF4%7D&amp;file=20240530%20UT%20ENTERRITORIO%202027%20(SERVICIO).xlsm&amp;action=default&amp;mobileredirect=true</v>
      </c>
      <c r="AH87" s="28">
        <v>1</v>
      </c>
      <c r="AI87" s="28">
        <v>1</v>
      </c>
      <c r="AJ87" s="28"/>
      <c r="AK87" s="28"/>
    </row>
    <row r="88" spans="1:37" ht="18.75" customHeight="1" x14ac:dyDescent="0.25">
      <c r="A88" s="11">
        <v>2024</v>
      </c>
      <c r="B88" s="12" t="s">
        <v>54</v>
      </c>
      <c r="C88" s="15" t="s">
        <v>110</v>
      </c>
      <c r="D88" s="39">
        <v>45422.849828703707</v>
      </c>
      <c r="E88" s="15" t="s">
        <v>111</v>
      </c>
      <c r="F88" s="15" t="s">
        <v>69</v>
      </c>
      <c r="G88" s="15" t="s">
        <v>112</v>
      </c>
      <c r="H88" s="15" t="s">
        <v>113</v>
      </c>
      <c r="I88" s="15" t="s">
        <v>63</v>
      </c>
      <c r="J88" s="15" t="s">
        <v>114</v>
      </c>
      <c r="K88" s="15" t="s">
        <v>80</v>
      </c>
      <c r="L88" s="17">
        <f>VLOOKUP(E88,[1]Diccionario!C$2:AC$150,22,0)</f>
        <v>830180856</v>
      </c>
      <c r="M88" s="18">
        <f>VLOOKUP(E88,[1]Diccionario!C$2:AC$150,24,0)</f>
        <v>45414</v>
      </c>
      <c r="N88" s="19">
        <f>VLOOKUP(E88,[1]Diccionario!C$2:AC$150,25,0)</f>
        <v>45596</v>
      </c>
      <c r="O88" s="20">
        <f>VLOOKUP(E88,[1]Diccionario!C$2:AC$150,26,0)</f>
        <v>5.97</v>
      </c>
      <c r="P88" s="20">
        <f t="shared" ca="1" si="14"/>
        <v>17.03</v>
      </c>
      <c r="Q88" s="20">
        <f t="shared" ca="1" si="25"/>
        <v>23</v>
      </c>
      <c r="R88" s="15">
        <v>6</v>
      </c>
      <c r="S88" s="21">
        <v>0.9</v>
      </c>
      <c r="T88" s="21">
        <v>0.85</v>
      </c>
      <c r="U88" s="22"/>
      <c r="V88" s="24"/>
      <c r="W88" s="24">
        <f t="shared" si="15"/>
        <v>705653727.60000002</v>
      </c>
      <c r="X88" s="24">
        <f t="shared" si="16"/>
        <v>747162770.39999998</v>
      </c>
      <c r="Y88" s="24">
        <f t="shared" si="17"/>
        <v>705653727.60000002</v>
      </c>
      <c r="Z88" s="24">
        <f t="shared" si="18"/>
        <v>-41509042.799999952</v>
      </c>
      <c r="AA88" s="25" t="str">
        <f t="shared" si="19"/>
        <v>No se realizó gasto en este corte</v>
      </c>
      <c r="AB88" s="26" t="str">
        <f t="shared" si="20"/>
        <v>Costo eficiente: se está gastando menos de lo presupuestado</v>
      </c>
      <c r="AC88" s="26">
        <f t="shared" si="21"/>
        <v>0.94444444444444453</v>
      </c>
      <c r="AD88" s="26" t="str">
        <f t="shared" si="22"/>
        <v>Proyecto atrasado con respecto al cronograma</v>
      </c>
      <c r="AE88" s="27">
        <f t="shared" si="23"/>
        <v>0</v>
      </c>
      <c r="AF88" s="27">
        <f t="shared" si="24"/>
        <v>-830180856</v>
      </c>
      <c r="AG88" s="28" t="str">
        <f>VLOOKUP(Indicador!E95,[1]Diccionario!C$1:AC$150,27,0)</f>
        <v>https://growdatasas.sharepoint.com/:x:/r/sites/Gestiondocumental/Administrativa/GD/Financiera/_layouts/15/Doc.aspx?sourcedoc=%7B0974E3E6-B78B-4C29-8F8A-9CF11A235CF4%7D&amp;file=20240530%20UT%20ENTERRITORIO%202027%20(SERVICIO).xlsm&amp;action=default&amp;mobileredirect=true</v>
      </c>
      <c r="AH88" s="28">
        <v>1</v>
      </c>
      <c r="AI88" s="28">
        <v>1</v>
      </c>
      <c r="AJ88" s="28"/>
      <c r="AK88" s="28"/>
    </row>
    <row r="89" spans="1:37" ht="18.75" customHeight="1" x14ac:dyDescent="0.25">
      <c r="A89" s="11">
        <v>2024</v>
      </c>
      <c r="B89" s="12" t="s">
        <v>55</v>
      </c>
      <c r="C89" s="15" t="s">
        <v>110</v>
      </c>
      <c r="D89" s="39">
        <v>45422.849828703707</v>
      </c>
      <c r="E89" s="15" t="s">
        <v>111</v>
      </c>
      <c r="F89" s="15" t="s">
        <v>69</v>
      </c>
      <c r="G89" s="15" t="s">
        <v>112</v>
      </c>
      <c r="H89" s="15" t="s">
        <v>113</v>
      </c>
      <c r="I89" s="15" t="s">
        <v>63</v>
      </c>
      <c r="J89" s="15" t="s">
        <v>114</v>
      </c>
      <c r="K89" s="15" t="s">
        <v>80</v>
      </c>
      <c r="L89" s="17">
        <f>VLOOKUP(E89,[1]Diccionario!C$2:AC$150,22,0)</f>
        <v>830180856</v>
      </c>
      <c r="M89" s="18">
        <f>VLOOKUP(E89,[1]Diccionario!C$2:AC$150,24,0)</f>
        <v>45414</v>
      </c>
      <c r="N89" s="19">
        <f>VLOOKUP(E89,[1]Diccionario!C$2:AC$150,25,0)</f>
        <v>45596</v>
      </c>
      <c r="O89" s="20">
        <f>VLOOKUP(E89,[1]Diccionario!C$2:AC$150,26,0)</f>
        <v>5.97</v>
      </c>
      <c r="P89" s="20">
        <f t="shared" ca="1" si="14"/>
        <v>17.03</v>
      </c>
      <c r="Q89" s="20">
        <f t="shared" ca="1" si="25"/>
        <v>23</v>
      </c>
      <c r="R89" s="15">
        <v>6</v>
      </c>
      <c r="S89" s="21">
        <v>1</v>
      </c>
      <c r="T89" s="21">
        <v>1</v>
      </c>
      <c r="U89" s="22"/>
      <c r="V89" s="24"/>
      <c r="W89" s="24">
        <f t="shared" si="15"/>
        <v>830180856</v>
      </c>
      <c r="X89" s="24">
        <f t="shared" si="16"/>
        <v>830180856</v>
      </c>
      <c r="Y89" s="24">
        <f t="shared" si="17"/>
        <v>830180856</v>
      </c>
      <c r="Z89" s="24">
        <f t="shared" si="18"/>
        <v>0</v>
      </c>
      <c r="AA89" s="25" t="str">
        <f t="shared" si="19"/>
        <v>No se realizó gasto en este corte</v>
      </c>
      <c r="AB89" s="26" t="str">
        <f t="shared" si="20"/>
        <v>Costo eficiente: se está gastando menos de lo presupuestado</v>
      </c>
      <c r="AC89" s="26">
        <f t="shared" si="21"/>
        <v>1</v>
      </c>
      <c r="AD89" s="26" t="str">
        <f t="shared" si="22"/>
        <v>Proyecto a tiempo según lo planificado</v>
      </c>
      <c r="AE89" s="27">
        <f t="shared" si="23"/>
        <v>0</v>
      </c>
      <c r="AF89" s="27">
        <f t="shared" si="24"/>
        <v>-830180856</v>
      </c>
      <c r="AG89" s="28" t="str">
        <f>VLOOKUP(Indicador!E96,[1]Diccionario!C$1:AC$150,27,0)</f>
        <v>https://growdatasas.sharepoint.com/:x:/r/sites/Gestiondocumental/Administrativa/GD/Financiera/_layouts/15/Doc.aspx?sourcedoc=%7B0974E3E6-B78B-4C29-8F8A-9CF11A235CF4%7D&amp;file=20240530%20UT%20ENTERRITORIO%202027%20(SERVICIO).xlsm&amp;action=default&amp;mobileredirect=true</v>
      </c>
      <c r="AH89" s="28">
        <v>1</v>
      </c>
      <c r="AI89" s="28">
        <v>1</v>
      </c>
      <c r="AJ89" s="28"/>
      <c r="AK89" s="28"/>
    </row>
    <row r="90" spans="1:37" ht="18.75" customHeight="1" x14ac:dyDescent="0.25">
      <c r="A90" s="11">
        <v>2024</v>
      </c>
      <c r="B90" s="12" t="s">
        <v>50</v>
      </c>
      <c r="C90" s="15" t="s">
        <v>115</v>
      </c>
      <c r="D90" s="39">
        <v>45443.82223568287</v>
      </c>
      <c r="E90" s="15" t="s">
        <v>116</v>
      </c>
      <c r="F90" s="15" t="s">
        <v>83</v>
      </c>
      <c r="G90" s="15" t="s">
        <v>117</v>
      </c>
      <c r="H90" s="15" t="s">
        <v>118</v>
      </c>
      <c r="I90" s="15" t="s">
        <v>63</v>
      </c>
      <c r="J90" s="15" t="s">
        <v>119</v>
      </c>
      <c r="K90" s="15" t="s">
        <v>45</v>
      </c>
      <c r="L90" s="17">
        <f>VLOOKUP(E90,[1]Diccionario!C$2:AC$150,22,0)</f>
        <v>4504425757</v>
      </c>
      <c r="M90" s="18">
        <f>VLOOKUP(E90,[1]Diccionario!C$2:AC$150,24,0)</f>
        <v>45439</v>
      </c>
      <c r="N90" s="19">
        <f>VLOOKUP(E90,[1]Diccionario!C$2:AC$150,25,0)</f>
        <v>46533</v>
      </c>
      <c r="O90" s="20">
        <f>VLOOKUP(E90,[1]Diccionario!C$2:AC$150,26,0)</f>
        <v>35.97</v>
      </c>
      <c r="P90" s="20">
        <f t="shared" si="14"/>
        <v>-34.97</v>
      </c>
      <c r="Q90" s="20">
        <v>1</v>
      </c>
      <c r="R90" s="15">
        <v>36</v>
      </c>
      <c r="S90" s="21">
        <v>0.02</v>
      </c>
      <c r="T90" s="21">
        <v>0.05</v>
      </c>
      <c r="U90" s="22"/>
      <c r="V90" s="24"/>
      <c r="W90" s="24">
        <f t="shared" si="15"/>
        <v>225221287.85000002</v>
      </c>
      <c r="X90" s="24">
        <f t="shared" si="16"/>
        <v>90088515.140000001</v>
      </c>
      <c r="Y90" s="24">
        <f t="shared" si="17"/>
        <v>225221287.85000002</v>
      </c>
      <c r="Z90" s="24">
        <f t="shared" si="18"/>
        <v>135132772.71000004</v>
      </c>
      <c r="AA90" s="25" t="str">
        <f t="shared" si="19"/>
        <v>No se realizó gasto en este corte</v>
      </c>
      <c r="AB90" s="26" t="str">
        <f t="shared" si="20"/>
        <v>Costo eficiente: se está gastando menos de lo presupuestado</v>
      </c>
      <c r="AC90" s="26">
        <f t="shared" si="21"/>
        <v>2.5000000000000004</v>
      </c>
      <c r="AD90" s="26" t="str">
        <f t="shared" si="22"/>
        <v>Proyecto adelantado respecto al cronograma</v>
      </c>
      <c r="AE90" s="27">
        <f t="shared" si="23"/>
        <v>0</v>
      </c>
      <c r="AF90" s="27">
        <f t="shared" si="24"/>
        <v>-4504425757</v>
      </c>
      <c r="AG90" s="28" t="str">
        <f>VLOOKUP(Indicador!E97,[1]Diccionario!C$1:AC$150,27,0)</f>
        <v>https://growdatasas.sharepoint.com/:x:/r/sites/Gestiondocumental/Administrativa/GD/Financiera/_layouts/15/Doc.aspx?sourcedoc=%7B0974E3E6-B78B-4C29-8F8A-9CF11A235CF4%7D&amp;file=20240530%20UT%20ENTERRITORIO%202027%20(SERVICIO).xlsm&amp;action=default&amp;mobileredirect=true</v>
      </c>
      <c r="AH90" s="28">
        <v>1</v>
      </c>
      <c r="AI90" s="28">
        <v>1</v>
      </c>
      <c r="AJ90" s="28"/>
      <c r="AK90" s="28"/>
    </row>
    <row r="91" spans="1:37" ht="18.75" customHeight="1" x14ac:dyDescent="0.25">
      <c r="A91" s="11">
        <v>2024</v>
      </c>
      <c r="B91" s="12" t="s">
        <v>51</v>
      </c>
      <c r="C91" s="15" t="s">
        <v>115</v>
      </c>
      <c r="D91" s="39">
        <v>45443.82223568287</v>
      </c>
      <c r="E91" s="15" t="s">
        <v>116</v>
      </c>
      <c r="F91" s="15" t="s">
        <v>83</v>
      </c>
      <c r="G91" s="15" t="s">
        <v>117</v>
      </c>
      <c r="H91" s="15" t="s">
        <v>118</v>
      </c>
      <c r="I91" s="15" t="s">
        <v>63</v>
      </c>
      <c r="J91" s="15" t="s">
        <v>119</v>
      </c>
      <c r="K91" s="15" t="s">
        <v>45</v>
      </c>
      <c r="L91" s="17">
        <f>VLOOKUP(E91,[1]Diccionario!C$2:AC$150,22,0)</f>
        <v>4504425757</v>
      </c>
      <c r="M91" s="18">
        <f>VLOOKUP(E91,[1]Diccionario!C$2:AC$150,24,0)</f>
        <v>45439</v>
      </c>
      <c r="N91" s="19">
        <f>VLOOKUP(E91,[1]Diccionario!C$2:AC$150,25,0)</f>
        <v>46533</v>
      </c>
      <c r="O91" s="20">
        <f>VLOOKUP(E91,[1]Diccionario!C$2:AC$150,26,0)</f>
        <v>35.97</v>
      </c>
      <c r="P91" s="20">
        <f t="shared" si="14"/>
        <v>-33.97</v>
      </c>
      <c r="Q91" s="20">
        <f t="shared" ref="Q91:Q126" si="26">Q90+1</f>
        <v>2</v>
      </c>
      <c r="R91" s="15">
        <v>36</v>
      </c>
      <c r="S91" s="21">
        <f t="shared" ref="S91:S116" si="27">S90+0.03</f>
        <v>0.05</v>
      </c>
      <c r="T91" s="21">
        <v>7.0000000000000007E-2</v>
      </c>
      <c r="U91" s="22"/>
      <c r="V91" s="24"/>
      <c r="W91" s="24">
        <f t="shared" si="15"/>
        <v>315309802.99000001</v>
      </c>
      <c r="X91" s="24">
        <f t="shared" si="16"/>
        <v>225221287.85000002</v>
      </c>
      <c r="Y91" s="24">
        <f t="shared" si="17"/>
        <v>315309802.99000001</v>
      </c>
      <c r="Z91" s="24">
        <f t="shared" si="18"/>
        <v>90088515.139999986</v>
      </c>
      <c r="AA91" s="25" t="str">
        <f t="shared" si="19"/>
        <v>No se realizó gasto en este corte</v>
      </c>
      <c r="AB91" s="26" t="str">
        <f t="shared" si="20"/>
        <v>Costo eficiente: se está gastando menos de lo presupuestado</v>
      </c>
      <c r="AC91" s="26">
        <f t="shared" si="21"/>
        <v>1.4</v>
      </c>
      <c r="AD91" s="26" t="str">
        <f t="shared" si="22"/>
        <v>Proyecto adelantado respecto al cronograma</v>
      </c>
      <c r="AE91" s="27">
        <f t="shared" si="23"/>
        <v>0</v>
      </c>
      <c r="AF91" s="27">
        <f t="shared" si="24"/>
        <v>-4504425757</v>
      </c>
      <c r="AG91" s="28" t="str">
        <f>VLOOKUP(Indicador!E98,[1]Diccionario!C$1:AC$150,27,0)</f>
        <v>https://growdatasas.sharepoint.com/:x:/r/sites/Gestiondocumental/Administrativa/GD/Financiera/_layouts/15/Doc.aspx?sourcedoc=%7B0974E3E6-B78B-4C29-8F8A-9CF11A235CF4%7D&amp;file=20240530%20UT%20ENTERRITORIO%202027%20(SERVICIO).xlsm&amp;action=default&amp;mobileredirect=true</v>
      </c>
      <c r="AH91" s="28">
        <v>1</v>
      </c>
      <c r="AI91" s="28">
        <v>1</v>
      </c>
      <c r="AJ91" s="28"/>
      <c r="AK91" s="28"/>
    </row>
    <row r="92" spans="1:37" ht="18.75" customHeight="1" x14ac:dyDescent="0.25">
      <c r="A92" s="11">
        <v>2024</v>
      </c>
      <c r="B92" s="12" t="s">
        <v>52</v>
      </c>
      <c r="C92" s="15" t="s">
        <v>115</v>
      </c>
      <c r="D92" s="39">
        <v>45443.82223568287</v>
      </c>
      <c r="E92" s="15" t="s">
        <v>116</v>
      </c>
      <c r="F92" s="15" t="s">
        <v>83</v>
      </c>
      <c r="G92" s="15" t="s">
        <v>117</v>
      </c>
      <c r="H92" s="15" t="s">
        <v>118</v>
      </c>
      <c r="I92" s="15" t="s">
        <v>63</v>
      </c>
      <c r="J92" s="15" t="s">
        <v>119</v>
      </c>
      <c r="K92" s="15" t="s">
        <v>45</v>
      </c>
      <c r="L92" s="17">
        <f>VLOOKUP(E92,[1]Diccionario!C$2:AC$150,22,0)</f>
        <v>4504425757</v>
      </c>
      <c r="M92" s="18">
        <f>VLOOKUP(E92,[1]Diccionario!C$2:AC$150,24,0)</f>
        <v>45439</v>
      </c>
      <c r="N92" s="19">
        <f>VLOOKUP(E92,[1]Diccionario!C$2:AC$150,25,0)</f>
        <v>46533</v>
      </c>
      <c r="O92" s="20">
        <f>VLOOKUP(E92,[1]Diccionario!C$2:AC$150,26,0)</f>
        <v>35.97</v>
      </c>
      <c r="P92" s="20">
        <f t="shared" si="14"/>
        <v>-32.97</v>
      </c>
      <c r="Q92" s="20">
        <f t="shared" si="26"/>
        <v>3</v>
      </c>
      <c r="R92" s="15">
        <v>36</v>
      </c>
      <c r="S92" s="21">
        <f t="shared" si="27"/>
        <v>0.08</v>
      </c>
      <c r="T92" s="21">
        <v>0.08</v>
      </c>
      <c r="U92" s="22"/>
      <c r="V92" s="24"/>
      <c r="W92" s="24">
        <f t="shared" si="15"/>
        <v>360354060.56</v>
      </c>
      <c r="X92" s="24">
        <f t="shared" si="16"/>
        <v>360354060.56</v>
      </c>
      <c r="Y92" s="24">
        <f t="shared" si="17"/>
        <v>360354060.56</v>
      </c>
      <c r="Z92" s="24">
        <f t="shared" si="18"/>
        <v>0</v>
      </c>
      <c r="AA92" s="25" t="str">
        <f t="shared" si="19"/>
        <v>No se realizó gasto en este corte</v>
      </c>
      <c r="AB92" s="26" t="str">
        <f t="shared" si="20"/>
        <v>Costo eficiente: se está gastando menos de lo presupuestado</v>
      </c>
      <c r="AC92" s="26">
        <f t="shared" si="21"/>
        <v>1</v>
      </c>
      <c r="AD92" s="26" t="str">
        <f t="shared" si="22"/>
        <v>Proyecto a tiempo según lo planificado</v>
      </c>
      <c r="AE92" s="27">
        <f t="shared" si="23"/>
        <v>0</v>
      </c>
      <c r="AF92" s="27">
        <f t="shared" si="24"/>
        <v>-4504425757</v>
      </c>
      <c r="AG92" s="28" t="str">
        <f>VLOOKUP(Indicador!E99,[1]Diccionario!C$1:AC$150,27,0)</f>
        <v>https://growdatasas.sharepoint.com/:x:/r/sites/Gestiondocumental/Administrativa/GD/Financiera/_layouts/15/Doc.aspx?sourcedoc=%7B0974E3E6-B78B-4C29-8F8A-9CF11A235CF4%7D&amp;file=20240530%20UT%20ENTERRITORIO%202027%20(SERVICIO).xlsm&amp;action=default&amp;mobileredirect=true</v>
      </c>
      <c r="AH92" s="28">
        <v>1</v>
      </c>
      <c r="AI92" s="28">
        <v>1</v>
      </c>
      <c r="AJ92" s="28"/>
      <c r="AK92" s="28"/>
    </row>
    <row r="93" spans="1:37" ht="18.75" customHeight="1" x14ac:dyDescent="0.25">
      <c r="A93" s="11">
        <v>2024</v>
      </c>
      <c r="B93" s="12" t="s">
        <v>53</v>
      </c>
      <c r="C93" s="15" t="s">
        <v>115</v>
      </c>
      <c r="D93" s="39">
        <v>45443.82223568287</v>
      </c>
      <c r="E93" s="15" t="s">
        <v>116</v>
      </c>
      <c r="F93" s="15" t="s">
        <v>83</v>
      </c>
      <c r="G93" s="15" t="s">
        <v>117</v>
      </c>
      <c r="H93" s="15" t="s">
        <v>118</v>
      </c>
      <c r="I93" s="15" t="s">
        <v>63</v>
      </c>
      <c r="J93" s="15" t="s">
        <v>119</v>
      </c>
      <c r="K93" s="15" t="s">
        <v>45</v>
      </c>
      <c r="L93" s="17">
        <f>VLOOKUP(E93,[1]Diccionario!C$2:AC$150,22,0)</f>
        <v>4504425757</v>
      </c>
      <c r="M93" s="18">
        <f>VLOOKUP(E93,[1]Diccionario!C$2:AC$150,24,0)</f>
        <v>45439</v>
      </c>
      <c r="N93" s="19">
        <f>VLOOKUP(E93,[1]Diccionario!C$2:AC$150,25,0)</f>
        <v>46533</v>
      </c>
      <c r="O93" s="20">
        <f>VLOOKUP(E93,[1]Diccionario!C$2:AC$150,26,0)</f>
        <v>35.97</v>
      </c>
      <c r="P93" s="20">
        <f t="shared" si="14"/>
        <v>-31.97</v>
      </c>
      <c r="Q93" s="20">
        <f t="shared" si="26"/>
        <v>4</v>
      </c>
      <c r="R93" s="15">
        <v>36</v>
      </c>
      <c r="S93" s="21">
        <f t="shared" si="27"/>
        <v>0.11</v>
      </c>
      <c r="T93" s="21">
        <v>0.11</v>
      </c>
      <c r="U93" s="22"/>
      <c r="V93" s="24"/>
      <c r="W93" s="24">
        <f t="shared" si="15"/>
        <v>495486833.26999998</v>
      </c>
      <c r="X93" s="24">
        <f t="shared" si="16"/>
        <v>495486833.26999998</v>
      </c>
      <c r="Y93" s="24">
        <f t="shared" si="17"/>
        <v>495486833.26999998</v>
      </c>
      <c r="Z93" s="24">
        <f t="shared" si="18"/>
        <v>0</v>
      </c>
      <c r="AA93" s="25" t="str">
        <f t="shared" si="19"/>
        <v>No se realizó gasto en este corte</v>
      </c>
      <c r="AB93" s="26" t="str">
        <f t="shared" si="20"/>
        <v>Costo eficiente: se está gastando menos de lo presupuestado</v>
      </c>
      <c r="AC93" s="26">
        <f t="shared" si="21"/>
        <v>1</v>
      </c>
      <c r="AD93" s="26" t="str">
        <f t="shared" si="22"/>
        <v>Proyecto a tiempo según lo planificado</v>
      </c>
      <c r="AE93" s="27">
        <f t="shared" si="23"/>
        <v>0</v>
      </c>
      <c r="AF93" s="27">
        <f t="shared" si="24"/>
        <v>-4504425757</v>
      </c>
      <c r="AG93" s="28" t="str">
        <f>VLOOKUP(Indicador!E100,[1]Diccionario!C$1:AC$150,27,0)</f>
        <v>https://growdatasas.sharepoint.com/:x:/r/sites/Gestiondocumental/Administrativa/GD/Financiera/_layouts/15/Doc.aspx?sourcedoc=%7B0974E3E6-B78B-4C29-8F8A-9CF11A235CF4%7D&amp;file=20240530%20UT%20ENTERRITORIO%202027%20(SERVICIO).xlsm&amp;action=default&amp;mobileredirect=true</v>
      </c>
      <c r="AH93" s="28">
        <v>1</v>
      </c>
      <c r="AI93" s="28">
        <v>1</v>
      </c>
      <c r="AJ93" s="28"/>
      <c r="AK93" s="28"/>
    </row>
    <row r="94" spans="1:37" ht="18.75" customHeight="1" x14ac:dyDescent="0.25">
      <c r="A94" s="11">
        <v>2024</v>
      </c>
      <c r="B94" s="12" t="s">
        <v>54</v>
      </c>
      <c r="C94" s="15" t="s">
        <v>115</v>
      </c>
      <c r="D94" s="39">
        <v>45443.82223568287</v>
      </c>
      <c r="E94" s="15" t="s">
        <v>116</v>
      </c>
      <c r="F94" s="15" t="s">
        <v>83</v>
      </c>
      <c r="G94" s="15" t="s">
        <v>117</v>
      </c>
      <c r="H94" s="15" t="s">
        <v>118</v>
      </c>
      <c r="I94" s="15" t="s">
        <v>63</v>
      </c>
      <c r="J94" s="15" t="s">
        <v>119</v>
      </c>
      <c r="K94" s="15" t="s">
        <v>45</v>
      </c>
      <c r="L94" s="17">
        <f>VLOOKUP(E94,[1]Diccionario!C$2:AC$150,22,0)</f>
        <v>4504425757</v>
      </c>
      <c r="M94" s="18">
        <f>VLOOKUP(E94,[1]Diccionario!C$2:AC$150,24,0)</f>
        <v>45439</v>
      </c>
      <c r="N94" s="19">
        <f>VLOOKUP(E94,[1]Diccionario!C$2:AC$150,25,0)</f>
        <v>46533</v>
      </c>
      <c r="O94" s="20">
        <f>VLOOKUP(E94,[1]Diccionario!C$2:AC$150,26,0)</f>
        <v>35.97</v>
      </c>
      <c r="P94" s="20">
        <f t="shared" si="14"/>
        <v>-30.97</v>
      </c>
      <c r="Q94" s="20">
        <f t="shared" si="26"/>
        <v>5</v>
      </c>
      <c r="R94" s="15">
        <v>36</v>
      </c>
      <c r="S94" s="21">
        <f t="shared" si="27"/>
        <v>0.14000000000000001</v>
      </c>
      <c r="T94" s="21">
        <v>0.13</v>
      </c>
      <c r="U94" s="22"/>
      <c r="V94" s="24"/>
      <c r="W94" s="24">
        <f t="shared" si="15"/>
        <v>585575348.40999997</v>
      </c>
      <c r="X94" s="24">
        <f t="shared" si="16"/>
        <v>630619605.98000002</v>
      </c>
      <c r="Y94" s="24">
        <f t="shared" si="17"/>
        <v>585575348.40999997</v>
      </c>
      <c r="Z94" s="24">
        <f t="shared" si="18"/>
        <v>-45044257.570000052</v>
      </c>
      <c r="AA94" s="25" t="str">
        <f t="shared" si="19"/>
        <v>No se realizó gasto en este corte</v>
      </c>
      <c r="AB94" s="26" t="str">
        <f t="shared" si="20"/>
        <v>Costo eficiente: se está gastando menos de lo presupuestado</v>
      </c>
      <c r="AC94" s="26">
        <f t="shared" si="21"/>
        <v>0.92857142857142849</v>
      </c>
      <c r="AD94" s="26" t="str">
        <f t="shared" si="22"/>
        <v>Proyecto atrasado con respecto al cronograma</v>
      </c>
      <c r="AE94" s="27">
        <f t="shared" si="23"/>
        <v>0</v>
      </c>
      <c r="AF94" s="27">
        <f t="shared" si="24"/>
        <v>-4504425757</v>
      </c>
      <c r="AG94" s="28" t="str">
        <f>VLOOKUP(Indicador!E101,[1]Diccionario!C$1:AC$150,27,0)</f>
        <v>https://growdatasas.sharepoint.com/:x:/r/sites/Gestiondocumental/Administrativa/GD/Financiera/_layouts/15/Doc.aspx?sourcedoc=%7B0974E3E6-B78B-4C29-8F8A-9CF11A235CF4%7D&amp;file=20240530%20UT%20ENTERRITORIO%202027%20(SERVICIO).xlsm&amp;action=default&amp;mobileredirect=true</v>
      </c>
      <c r="AH94" s="28">
        <v>1</v>
      </c>
      <c r="AI94" s="28">
        <v>1</v>
      </c>
      <c r="AJ94" s="28"/>
      <c r="AK94" s="28"/>
    </row>
    <row r="95" spans="1:37" ht="18.75" customHeight="1" x14ac:dyDescent="0.25">
      <c r="A95" s="11">
        <v>2024</v>
      </c>
      <c r="B95" s="12" t="s">
        <v>55</v>
      </c>
      <c r="C95" s="15" t="s">
        <v>115</v>
      </c>
      <c r="D95" s="39">
        <v>45443.82223568287</v>
      </c>
      <c r="E95" s="15" t="s">
        <v>116</v>
      </c>
      <c r="F95" s="15" t="s">
        <v>83</v>
      </c>
      <c r="G95" s="15" t="s">
        <v>117</v>
      </c>
      <c r="H95" s="15" t="s">
        <v>118</v>
      </c>
      <c r="I95" s="15" t="s">
        <v>63</v>
      </c>
      <c r="J95" s="15" t="s">
        <v>119</v>
      </c>
      <c r="K95" s="15" t="s">
        <v>45</v>
      </c>
      <c r="L95" s="17">
        <f>VLOOKUP(E95,[1]Diccionario!C$2:AC$150,22,0)</f>
        <v>4504425757</v>
      </c>
      <c r="M95" s="18">
        <f>VLOOKUP(E95,[1]Diccionario!C$2:AC$150,24,0)</f>
        <v>45439</v>
      </c>
      <c r="N95" s="19">
        <f>VLOOKUP(E95,[1]Diccionario!C$2:AC$150,25,0)</f>
        <v>46533</v>
      </c>
      <c r="O95" s="20">
        <f>VLOOKUP(E95,[1]Diccionario!C$2:AC$150,26,0)</f>
        <v>35.97</v>
      </c>
      <c r="P95" s="20">
        <f t="shared" si="14"/>
        <v>-29.97</v>
      </c>
      <c r="Q95" s="20">
        <f t="shared" si="26"/>
        <v>6</v>
      </c>
      <c r="R95" s="15">
        <v>36</v>
      </c>
      <c r="S95" s="21">
        <f t="shared" si="27"/>
        <v>0.17</v>
      </c>
      <c r="T95" s="21">
        <v>0.18</v>
      </c>
      <c r="U95" s="22"/>
      <c r="V95" s="24"/>
      <c r="W95" s="24">
        <f t="shared" si="15"/>
        <v>810796636.25999999</v>
      </c>
      <c r="X95" s="24">
        <f t="shared" si="16"/>
        <v>765752378.69000006</v>
      </c>
      <c r="Y95" s="24">
        <f t="shared" si="17"/>
        <v>810796636.25999999</v>
      </c>
      <c r="Z95" s="24">
        <f t="shared" si="18"/>
        <v>45044257.569999933</v>
      </c>
      <c r="AA95" s="25" t="str">
        <f t="shared" si="19"/>
        <v>No se realizó gasto en este corte</v>
      </c>
      <c r="AB95" s="26" t="str">
        <f t="shared" si="20"/>
        <v>Costo eficiente: se está gastando menos de lo presupuestado</v>
      </c>
      <c r="AC95" s="26">
        <f t="shared" si="21"/>
        <v>1.0588235294117647</v>
      </c>
      <c r="AD95" s="26" t="str">
        <f t="shared" si="22"/>
        <v>Proyecto adelantado respecto al cronograma</v>
      </c>
      <c r="AE95" s="27">
        <f t="shared" si="23"/>
        <v>0</v>
      </c>
      <c r="AF95" s="27">
        <f t="shared" si="24"/>
        <v>-4504425757</v>
      </c>
      <c r="AG95" s="28" t="str">
        <f>VLOOKUP(Indicador!E102,[1]Diccionario!C$1:AC$150,27,0)</f>
        <v>https://growdatasas.sharepoint.com/:x:/r/sites/Gestiondocumental/Administrativa/GD/Financiera/_layouts/15/Doc.aspx?sourcedoc=%7B0974E3E6-B78B-4C29-8F8A-9CF11A235CF4%7D&amp;file=20240530%20UT%20ENTERRITORIO%202027%20(SERVICIO).xlsm&amp;action=default&amp;mobileredirect=true</v>
      </c>
      <c r="AH95" s="28">
        <v>1</v>
      </c>
      <c r="AI95" s="28">
        <v>1</v>
      </c>
      <c r="AJ95" s="28"/>
      <c r="AK95" s="28"/>
    </row>
    <row r="96" spans="1:37" ht="18.75" customHeight="1" x14ac:dyDescent="0.25">
      <c r="A96" s="11">
        <v>2024</v>
      </c>
      <c r="B96" s="12" t="s">
        <v>56</v>
      </c>
      <c r="C96" s="15" t="s">
        <v>115</v>
      </c>
      <c r="D96" s="39">
        <v>45443.82223568287</v>
      </c>
      <c r="E96" s="15" t="s">
        <v>116</v>
      </c>
      <c r="F96" s="15" t="s">
        <v>83</v>
      </c>
      <c r="G96" s="15" t="s">
        <v>117</v>
      </c>
      <c r="H96" s="15" t="s">
        <v>118</v>
      </c>
      <c r="I96" s="15" t="s">
        <v>63</v>
      </c>
      <c r="J96" s="15" t="s">
        <v>119</v>
      </c>
      <c r="K96" s="15" t="s">
        <v>45</v>
      </c>
      <c r="L96" s="17">
        <f>VLOOKUP(E96,[1]Diccionario!C$2:AC$150,22,0)</f>
        <v>4504425757</v>
      </c>
      <c r="M96" s="18">
        <f>VLOOKUP(E96,[1]Diccionario!C$2:AC$150,24,0)</f>
        <v>45439</v>
      </c>
      <c r="N96" s="19">
        <f>VLOOKUP(E96,[1]Diccionario!C$2:AC$150,25,0)</f>
        <v>46533</v>
      </c>
      <c r="O96" s="20">
        <f>VLOOKUP(E96,[1]Diccionario!C$2:AC$150,26,0)</f>
        <v>35.97</v>
      </c>
      <c r="P96" s="20">
        <f t="shared" si="14"/>
        <v>-28.97</v>
      </c>
      <c r="Q96" s="20">
        <f t="shared" si="26"/>
        <v>7</v>
      </c>
      <c r="R96" s="15">
        <v>36</v>
      </c>
      <c r="S96" s="21">
        <f t="shared" si="27"/>
        <v>0.2</v>
      </c>
      <c r="T96" s="21">
        <v>0.21</v>
      </c>
      <c r="U96" s="22"/>
      <c r="V96" s="24"/>
      <c r="W96" s="24">
        <f t="shared" si="15"/>
        <v>945929408.96999991</v>
      </c>
      <c r="X96" s="24">
        <f t="shared" si="16"/>
        <v>900885151.4000001</v>
      </c>
      <c r="Y96" s="24">
        <f t="shared" si="17"/>
        <v>945929408.96999991</v>
      </c>
      <c r="Z96" s="24">
        <f t="shared" si="18"/>
        <v>45044257.569999814</v>
      </c>
      <c r="AA96" s="25" t="str">
        <f t="shared" si="19"/>
        <v>No se realizó gasto en este corte</v>
      </c>
      <c r="AB96" s="26" t="str">
        <f t="shared" si="20"/>
        <v>Costo eficiente: se está gastando menos de lo presupuestado</v>
      </c>
      <c r="AC96" s="26">
        <f t="shared" si="21"/>
        <v>1.0499999999999998</v>
      </c>
      <c r="AD96" s="26" t="str">
        <f t="shared" si="22"/>
        <v>Proyecto adelantado respecto al cronograma</v>
      </c>
      <c r="AE96" s="27">
        <f t="shared" si="23"/>
        <v>0</v>
      </c>
      <c r="AF96" s="27">
        <f t="shared" si="24"/>
        <v>-4504425757</v>
      </c>
      <c r="AG96" s="28" t="str">
        <f>VLOOKUP(Indicador!E103,[1]Diccionario!C$1:AC$150,27,0)</f>
        <v>https://growdatasas.sharepoint.com/:x:/r/sites/Gestiondocumental/Administrativa/GD/Financiera/_layouts/15/Doc.aspx?sourcedoc=%7B0974E3E6-B78B-4C29-8F8A-9CF11A235CF4%7D&amp;file=20240530%20UT%20ENTERRITORIO%202027%20(SERVICIO).xlsm&amp;action=default&amp;mobileredirect=true</v>
      </c>
      <c r="AH96" s="28">
        <v>1</v>
      </c>
      <c r="AI96" s="28">
        <v>1</v>
      </c>
      <c r="AJ96" s="28"/>
      <c r="AK96" s="28"/>
    </row>
    <row r="97" spans="1:37" ht="18.75" customHeight="1" x14ac:dyDescent="0.25">
      <c r="A97" s="11">
        <v>2024</v>
      </c>
      <c r="B97" s="12" t="s">
        <v>57</v>
      </c>
      <c r="C97" s="15" t="s">
        <v>115</v>
      </c>
      <c r="D97" s="39">
        <v>45443.82223568287</v>
      </c>
      <c r="E97" s="15" t="s">
        <v>116</v>
      </c>
      <c r="F97" s="15" t="s">
        <v>83</v>
      </c>
      <c r="G97" s="15" t="s">
        <v>117</v>
      </c>
      <c r="H97" s="15" t="s">
        <v>118</v>
      </c>
      <c r="I97" s="15" t="s">
        <v>63</v>
      </c>
      <c r="J97" s="15" t="s">
        <v>119</v>
      </c>
      <c r="K97" s="15" t="s">
        <v>45</v>
      </c>
      <c r="L97" s="17">
        <f>VLOOKUP(E97,[1]Diccionario!C$2:AC$150,22,0)</f>
        <v>4504425757</v>
      </c>
      <c r="M97" s="18">
        <f>VLOOKUP(E97,[1]Diccionario!C$2:AC$150,24,0)</f>
        <v>45439</v>
      </c>
      <c r="N97" s="19">
        <f>VLOOKUP(E97,[1]Diccionario!C$2:AC$150,25,0)</f>
        <v>46533</v>
      </c>
      <c r="O97" s="20">
        <f>VLOOKUP(E97,[1]Diccionario!C$2:AC$150,26,0)</f>
        <v>35.97</v>
      </c>
      <c r="P97" s="20">
        <f t="shared" si="14"/>
        <v>-27.97</v>
      </c>
      <c r="Q97" s="20">
        <f t="shared" si="26"/>
        <v>8</v>
      </c>
      <c r="R97" s="15">
        <v>36</v>
      </c>
      <c r="S97" s="21">
        <f t="shared" si="27"/>
        <v>0.23</v>
      </c>
      <c r="T97" s="21">
        <v>0.23</v>
      </c>
      <c r="U97" s="22"/>
      <c r="V97" s="24"/>
      <c r="W97" s="24">
        <f t="shared" si="15"/>
        <v>1036017924.11</v>
      </c>
      <c r="X97" s="24">
        <f t="shared" si="16"/>
        <v>1036017924.11</v>
      </c>
      <c r="Y97" s="24">
        <f t="shared" si="17"/>
        <v>1036017924.11</v>
      </c>
      <c r="Z97" s="24">
        <f t="shared" si="18"/>
        <v>0</v>
      </c>
      <c r="AA97" s="25" t="str">
        <f t="shared" si="19"/>
        <v>No se realizó gasto en este corte</v>
      </c>
      <c r="AB97" s="26" t="str">
        <f t="shared" si="20"/>
        <v>Costo eficiente: se está gastando menos de lo presupuestado</v>
      </c>
      <c r="AC97" s="26">
        <f t="shared" si="21"/>
        <v>1</v>
      </c>
      <c r="AD97" s="26" t="str">
        <f t="shared" si="22"/>
        <v>Proyecto a tiempo según lo planificado</v>
      </c>
      <c r="AE97" s="27">
        <f t="shared" si="23"/>
        <v>0</v>
      </c>
      <c r="AF97" s="27">
        <f t="shared" si="24"/>
        <v>-4504425757</v>
      </c>
      <c r="AG97" s="28" t="str">
        <f>VLOOKUP(Indicador!E104,[1]Diccionario!C$1:AC$150,27,0)</f>
        <v>https://growdatasas.sharepoint.com/:x:/r/sites/Gestiondocumental/Administrativa/GD/Financiera/_layouts/15/Doc.aspx?sourcedoc=%7B0974E3E6-B78B-4C29-8F8A-9CF11A235CF4%7D&amp;file=20240530%20UT%20ENTERRITORIO%202027%20(SERVICIO).xlsm&amp;action=default&amp;mobileredirect=true</v>
      </c>
      <c r="AH97" s="28">
        <v>1</v>
      </c>
      <c r="AI97" s="28">
        <v>1</v>
      </c>
      <c r="AJ97" s="28"/>
      <c r="AK97" s="28"/>
    </row>
    <row r="98" spans="1:37" ht="18.75" customHeight="1" x14ac:dyDescent="0.25">
      <c r="A98" s="11">
        <v>2025</v>
      </c>
      <c r="B98" s="12" t="s">
        <v>37</v>
      </c>
      <c r="C98" s="15" t="s">
        <v>115</v>
      </c>
      <c r="D98" s="39">
        <v>45443.82223568287</v>
      </c>
      <c r="E98" s="15" t="s">
        <v>116</v>
      </c>
      <c r="F98" s="15" t="s">
        <v>83</v>
      </c>
      <c r="G98" s="15" t="s">
        <v>117</v>
      </c>
      <c r="H98" s="15" t="s">
        <v>118</v>
      </c>
      <c r="I98" s="15" t="s">
        <v>63</v>
      </c>
      <c r="J98" s="15" t="s">
        <v>119</v>
      </c>
      <c r="K98" s="15" t="s">
        <v>45</v>
      </c>
      <c r="L98" s="17">
        <f>VLOOKUP(E98,[1]Diccionario!C$2:AC$150,22,0)</f>
        <v>4504425757</v>
      </c>
      <c r="M98" s="18">
        <f>VLOOKUP(E98,[1]Diccionario!C$2:AC$150,24,0)</f>
        <v>45439</v>
      </c>
      <c r="N98" s="19">
        <f>VLOOKUP(E98,[1]Diccionario!C$2:AC$150,25,0)</f>
        <v>46533</v>
      </c>
      <c r="O98" s="20">
        <f>VLOOKUP(E98,[1]Diccionario!C$2:AC$150,26,0)</f>
        <v>35.97</v>
      </c>
      <c r="P98" s="20">
        <f t="shared" si="14"/>
        <v>-26.97</v>
      </c>
      <c r="Q98" s="20">
        <f t="shared" si="26"/>
        <v>9</v>
      </c>
      <c r="R98" s="15">
        <v>36</v>
      </c>
      <c r="S98" s="21">
        <f t="shared" si="27"/>
        <v>0.26</v>
      </c>
      <c r="T98" s="21">
        <v>0.26</v>
      </c>
      <c r="U98" s="22"/>
      <c r="V98" s="24"/>
      <c r="W98" s="24">
        <f t="shared" si="15"/>
        <v>1171150696.8199999</v>
      </c>
      <c r="X98" s="24">
        <f t="shared" si="16"/>
        <v>1171150696.8199999</v>
      </c>
      <c r="Y98" s="24">
        <f t="shared" si="17"/>
        <v>1171150696.8199999</v>
      </c>
      <c r="Z98" s="24">
        <f t="shared" si="18"/>
        <v>0</v>
      </c>
      <c r="AA98" s="25" t="str">
        <f t="shared" si="19"/>
        <v>No se realizó gasto en este corte</v>
      </c>
      <c r="AB98" s="26" t="str">
        <f t="shared" si="20"/>
        <v>Costo eficiente: se está gastando menos de lo presupuestado</v>
      </c>
      <c r="AC98" s="26">
        <f t="shared" si="21"/>
        <v>1</v>
      </c>
      <c r="AD98" s="26" t="str">
        <f t="shared" si="22"/>
        <v>Proyecto a tiempo según lo planificado</v>
      </c>
      <c r="AE98" s="27">
        <f t="shared" si="23"/>
        <v>0</v>
      </c>
      <c r="AF98" s="27">
        <f t="shared" si="24"/>
        <v>-4504425757</v>
      </c>
      <c r="AG98" s="28" t="str">
        <f>VLOOKUP(Indicador!E105,[1]Diccionario!C$1:AC$150,27,0)</f>
        <v>https://growdatasas.sharepoint.com/:x:/r/sites/Gestiondocumental/Administrativa/GD/Financiera/_layouts/15/Doc.aspx?sourcedoc=%7B0974E3E6-B78B-4C29-8F8A-9CF11A235CF4%7D&amp;file=20240530%20UT%20ENTERRITORIO%202027%20(SERVICIO).xlsm&amp;action=default&amp;mobileredirect=true</v>
      </c>
      <c r="AH98" s="28">
        <v>1</v>
      </c>
      <c r="AI98" s="28">
        <v>1</v>
      </c>
      <c r="AJ98" s="28"/>
      <c r="AK98" s="28"/>
    </row>
    <row r="99" spans="1:37" ht="18.75" customHeight="1" x14ac:dyDescent="0.25">
      <c r="A99" s="11">
        <v>2025</v>
      </c>
      <c r="B99" s="12" t="s">
        <v>47</v>
      </c>
      <c r="C99" s="15" t="s">
        <v>115</v>
      </c>
      <c r="D99" s="39">
        <v>45443.82223568287</v>
      </c>
      <c r="E99" s="15" t="s">
        <v>116</v>
      </c>
      <c r="F99" s="15" t="s">
        <v>83</v>
      </c>
      <c r="G99" s="15" t="s">
        <v>117</v>
      </c>
      <c r="H99" s="15" t="s">
        <v>118</v>
      </c>
      <c r="I99" s="15" t="s">
        <v>63</v>
      </c>
      <c r="J99" s="15" t="s">
        <v>119</v>
      </c>
      <c r="K99" s="15" t="s">
        <v>45</v>
      </c>
      <c r="L99" s="17">
        <f>VLOOKUP(E99,[1]Diccionario!C$2:AC$150,22,0)</f>
        <v>4504425757</v>
      </c>
      <c r="M99" s="18">
        <f>VLOOKUP(E99,[1]Diccionario!C$2:AC$150,24,0)</f>
        <v>45439</v>
      </c>
      <c r="N99" s="19">
        <f>VLOOKUP(E99,[1]Diccionario!C$2:AC$150,25,0)</f>
        <v>46533</v>
      </c>
      <c r="O99" s="20">
        <f>VLOOKUP(E99,[1]Diccionario!C$2:AC$150,26,0)</f>
        <v>35.97</v>
      </c>
      <c r="P99" s="20">
        <f t="shared" si="14"/>
        <v>-25.97</v>
      </c>
      <c r="Q99" s="20">
        <f t="shared" si="26"/>
        <v>10</v>
      </c>
      <c r="R99" s="15">
        <v>36</v>
      </c>
      <c r="S99" s="21">
        <f t="shared" si="27"/>
        <v>0.29000000000000004</v>
      </c>
      <c r="T99" s="21">
        <v>0.28999999999999998</v>
      </c>
      <c r="U99" s="22"/>
      <c r="V99" s="24"/>
      <c r="W99" s="24">
        <f t="shared" si="15"/>
        <v>1306283469.53</v>
      </c>
      <c r="X99" s="24">
        <f t="shared" si="16"/>
        <v>1306283469.5300002</v>
      </c>
      <c r="Y99" s="24">
        <f t="shared" si="17"/>
        <v>1306283469.53</v>
      </c>
      <c r="Z99" s="24">
        <f t="shared" si="18"/>
        <v>0</v>
      </c>
      <c r="AA99" s="25" t="str">
        <f t="shared" si="19"/>
        <v>No se realizó gasto en este corte</v>
      </c>
      <c r="AB99" s="26" t="str">
        <f t="shared" si="20"/>
        <v>Costo eficiente: se está gastando menos de lo presupuestado</v>
      </c>
      <c r="AC99" s="26">
        <f t="shared" si="21"/>
        <v>0.99999999999999978</v>
      </c>
      <c r="AD99" s="26" t="str">
        <f t="shared" si="22"/>
        <v>Proyecto a tiempo según lo planificado</v>
      </c>
      <c r="AE99" s="27">
        <f t="shared" si="23"/>
        <v>0</v>
      </c>
      <c r="AF99" s="27">
        <f t="shared" si="24"/>
        <v>-4504425757</v>
      </c>
      <c r="AG99" s="28" t="str">
        <f>VLOOKUP(Indicador!E106,[1]Diccionario!C$1:AC$150,27,0)</f>
        <v>https://growdatasas.sharepoint.com/:x:/r/sites/Gestiondocumental/Administrativa/GD/Financiera/_layouts/15/Doc.aspx?sourcedoc=%7B0974E3E6-B78B-4C29-8F8A-9CF11A235CF4%7D&amp;file=20240530%20UT%20ENTERRITORIO%202027%20(SERVICIO).xlsm&amp;action=default&amp;mobileredirect=true</v>
      </c>
      <c r="AH99" s="28">
        <v>1</v>
      </c>
      <c r="AI99" s="28">
        <v>1</v>
      </c>
      <c r="AJ99" s="28"/>
      <c r="AK99" s="28"/>
    </row>
    <row r="100" spans="1:37" ht="18.75" customHeight="1" x14ac:dyDescent="0.25">
      <c r="A100" s="11">
        <v>2025</v>
      </c>
      <c r="B100" s="12" t="s">
        <v>48</v>
      </c>
      <c r="C100" s="15" t="s">
        <v>115</v>
      </c>
      <c r="D100" s="39">
        <v>45443.82223568287</v>
      </c>
      <c r="E100" s="15" t="s">
        <v>116</v>
      </c>
      <c r="F100" s="15" t="s">
        <v>83</v>
      </c>
      <c r="G100" s="15" t="s">
        <v>117</v>
      </c>
      <c r="H100" s="15" t="s">
        <v>118</v>
      </c>
      <c r="I100" s="15" t="s">
        <v>63</v>
      </c>
      <c r="J100" s="15" t="s">
        <v>119</v>
      </c>
      <c r="K100" s="15" t="s">
        <v>45</v>
      </c>
      <c r="L100" s="17">
        <f>VLOOKUP(E100,[1]Diccionario!C$2:AC$150,22,0)</f>
        <v>4504425757</v>
      </c>
      <c r="M100" s="18">
        <f>VLOOKUP(E100,[1]Diccionario!C$2:AC$150,24,0)</f>
        <v>45439</v>
      </c>
      <c r="N100" s="19">
        <f>VLOOKUP(E100,[1]Diccionario!C$2:AC$150,25,0)</f>
        <v>46533</v>
      </c>
      <c r="O100" s="20">
        <f>VLOOKUP(E100,[1]Diccionario!C$2:AC$150,26,0)</f>
        <v>35.97</v>
      </c>
      <c r="P100" s="20">
        <f t="shared" si="14"/>
        <v>-24.97</v>
      </c>
      <c r="Q100" s="20">
        <f t="shared" si="26"/>
        <v>11</v>
      </c>
      <c r="R100" s="15">
        <v>36</v>
      </c>
      <c r="S100" s="21">
        <f t="shared" si="27"/>
        <v>0.32000000000000006</v>
      </c>
      <c r="T100" s="21">
        <v>0.32</v>
      </c>
      <c r="U100" s="22"/>
      <c r="V100" s="24"/>
      <c r="W100" s="24">
        <f t="shared" si="15"/>
        <v>1441416242.24</v>
      </c>
      <c r="X100" s="24">
        <f t="shared" si="16"/>
        <v>1441416242.2400002</v>
      </c>
      <c r="Y100" s="24">
        <f t="shared" si="17"/>
        <v>1441416242.24</v>
      </c>
      <c r="Z100" s="24">
        <f t="shared" si="18"/>
        <v>0</v>
      </c>
      <c r="AA100" s="25" t="str">
        <f t="shared" si="19"/>
        <v>No se realizó gasto en este corte</v>
      </c>
      <c r="AB100" s="26" t="str">
        <f t="shared" si="20"/>
        <v>Costo eficiente: se está gastando menos de lo presupuestado</v>
      </c>
      <c r="AC100" s="26">
        <f t="shared" si="21"/>
        <v>0.99999999999999989</v>
      </c>
      <c r="AD100" s="26" t="str">
        <f t="shared" si="22"/>
        <v>Proyecto a tiempo según lo planificado</v>
      </c>
      <c r="AE100" s="27">
        <f t="shared" si="23"/>
        <v>0</v>
      </c>
      <c r="AF100" s="27">
        <f t="shared" si="24"/>
        <v>-4504425757</v>
      </c>
      <c r="AG100" s="28" t="str">
        <f>VLOOKUP(Indicador!E107,[1]Diccionario!C$1:AC$150,27,0)</f>
        <v>https://growdatasas.sharepoint.com/:x:/r/sites/Gestiondocumental/Administrativa/GD/Financiera/_layouts/15/Doc.aspx?sourcedoc=%7B0974E3E6-B78B-4C29-8F8A-9CF11A235CF4%7D&amp;file=20240530%20UT%20ENTERRITORIO%202027%20(SERVICIO).xlsm&amp;action=default&amp;mobileredirect=true</v>
      </c>
      <c r="AH100" s="28">
        <v>1</v>
      </c>
      <c r="AI100" s="28">
        <v>1</v>
      </c>
      <c r="AJ100" s="28"/>
      <c r="AK100" s="28"/>
    </row>
    <row r="101" spans="1:37" ht="18.75" customHeight="1" x14ac:dyDescent="0.25">
      <c r="A101" s="11">
        <v>2025</v>
      </c>
      <c r="B101" s="12" t="s">
        <v>49</v>
      </c>
      <c r="C101" s="15" t="s">
        <v>115</v>
      </c>
      <c r="D101" s="39">
        <v>45443.82223568287</v>
      </c>
      <c r="E101" s="15" t="s">
        <v>116</v>
      </c>
      <c r="F101" s="15" t="s">
        <v>83</v>
      </c>
      <c r="G101" s="15" t="s">
        <v>117</v>
      </c>
      <c r="H101" s="15" t="s">
        <v>118</v>
      </c>
      <c r="I101" s="15" t="s">
        <v>63</v>
      </c>
      <c r="J101" s="15" t="s">
        <v>119</v>
      </c>
      <c r="K101" s="15" t="s">
        <v>45</v>
      </c>
      <c r="L101" s="17">
        <f>VLOOKUP(E101,[1]Diccionario!C$2:AC$150,22,0)</f>
        <v>4504425757</v>
      </c>
      <c r="M101" s="18">
        <f>VLOOKUP(E101,[1]Diccionario!C$2:AC$150,24,0)</f>
        <v>45439</v>
      </c>
      <c r="N101" s="19">
        <f>VLOOKUP(E101,[1]Diccionario!C$2:AC$150,25,0)</f>
        <v>46533</v>
      </c>
      <c r="O101" s="20">
        <f>VLOOKUP(E101,[1]Diccionario!C$2:AC$150,26,0)</f>
        <v>35.97</v>
      </c>
      <c r="P101" s="20">
        <f t="shared" si="14"/>
        <v>-23.97</v>
      </c>
      <c r="Q101" s="20">
        <f t="shared" si="26"/>
        <v>12</v>
      </c>
      <c r="R101" s="15">
        <v>36</v>
      </c>
      <c r="S101" s="21">
        <f t="shared" si="27"/>
        <v>0.35000000000000009</v>
      </c>
      <c r="T101" s="21">
        <v>0.35</v>
      </c>
      <c r="U101" s="22"/>
      <c r="V101" s="24"/>
      <c r="W101" s="24">
        <f t="shared" si="15"/>
        <v>1576549014.9499998</v>
      </c>
      <c r="X101" s="24">
        <f t="shared" si="16"/>
        <v>1576549014.9500003</v>
      </c>
      <c r="Y101" s="24">
        <f t="shared" si="17"/>
        <v>1576549014.9499998</v>
      </c>
      <c r="Z101" s="24">
        <f t="shared" si="18"/>
        <v>0</v>
      </c>
      <c r="AA101" s="25" t="str">
        <f t="shared" si="19"/>
        <v>No se realizó gasto en este corte</v>
      </c>
      <c r="AB101" s="26" t="str">
        <f t="shared" si="20"/>
        <v>Costo eficiente: se está gastando menos de lo presupuestado</v>
      </c>
      <c r="AC101" s="26">
        <f t="shared" si="21"/>
        <v>0.99999999999999967</v>
      </c>
      <c r="AD101" s="26" t="str">
        <f t="shared" si="22"/>
        <v>Proyecto a tiempo según lo planificado</v>
      </c>
      <c r="AE101" s="27">
        <f t="shared" si="23"/>
        <v>0</v>
      </c>
      <c r="AF101" s="27">
        <f t="shared" si="24"/>
        <v>-4504425757</v>
      </c>
      <c r="AG101" s="28" t="str">
        <f>VLOOKUP(Indicador!E108,[1]Diccionario!C$1:AC$150,27,0)</f>
        <v>https://growdatasas.sharepoint.com/:x:/r/sites/Gestiondocumental/Administrativa/GD/Financiera/_layouts/15/Doc.aspx?sourcedoc=%7B0974E3E6-B78B-4C29-8F8A-9CF11A235CF4%7D&amp;file=20240530%20UT%20ENTERRITORIO%202027%20(SERVICIO).xlsm&amp;action=default&amp;mobileredirect=true</v>
      </c>
      <c r="AH101" s="28">
        <v>1</v>
      </c>
      <c r="AI101" s="28">
        <v>1</v>
      </c>
      <c r="AJ101" s="28"/>
      <c r="AK101" s="28"/>
    </row>
    <row r="102" spans="1:37" ht="18.75" customHeight="1" x14ac:dyDescent="0.25">
      <c r="A102" s="11">
        <v>2025</v>
      </c>
      <c r="B102" s="12" t="s">
        <v>50</v>
      </c>
      <c r="C102" s="15" t="s">
        <v>115</v>
      </c>
      <c r="D102" s="39">
        <v>45443.82223568287</v>
      </c>
      <c r="E102" s="15" t="s">
        <v>116</v>
      </c>
      <c r="F102" s="15" t="s">
        <v>83</v>
      </c>
      <c r="G102" s="15" t="s">
        <v>117</v>
      </c>
      <c r="H102" s="15" t="s">
        <v>118</v>
      </c>
      <c r="I102" s="15" t="s">
        <v>63</v>
      </c>
      <c r="J102" s="15" t="s">
        <v>119</v>
      </c>
      <c r="K102" s="15" t="s">
        <v>45</v>
      </c>
      <c r="L102" s="17">
        <f>VLOOKUP(E102,[1]Diccionario!C$2:AC$150,22,0)</f>
        <v>4504425757</v>
      </c>
      <c r="M102" s="18">
        <f>VLOOKUP(E102,[1]Diccionario!C$2:AC$150,24,0)</f>
        <v>45439</v>
      </c>
      <c r="N102" s="19">
        <f>VLOOKUP(E102,[1]Diccionario!C$2:AC$150,25,0)</f>
        <v>46533</v>
      </c>
      <c r="O102" s="20">
        <f>VLOOKUP(E102,[1]Diccionario!C$2:AC$150,26,0)</f>
        <v>35.97</v>
      </c>
      <c r="P102" s="20">
        <f t="shared" si="14"/>
        <v>-22.97</v>
      </c>
      <c r="Q102" s="20">
        <f t="shared" si="26"/>
        <v>13</v>
      </c>
      <c r="R102" s="15">
        <v>36</v>
      </c>
      <c r="S102" s="21">
        <f t="shared" si="27"/>
        <v>0.38000000000000012</v>
      </c>
      <c r="T102" s="21">
        <v>0.38</v>
      </c>
      <c r="U102" s="22"/>
      <c r="V102" s="24"/>
      <c r="W102" s="24">
        <f t="shared" si="15"/>
        <v>1711681787.6600001</v>
      </c>
      <c r="X102" s="24">
        <f t="shared" si="16"/>
        <v>1711681787.6600006</v>
      </c>
      <c r="Y102" s="24">
        <f t="shared" si="17"/>
        <v>1711681787.6600001</v>
      </c>
      <c r="Z102" s="24">
        <f t="shared" si="18"/>
        <v>0</v>
      </c>
      <c r="AA102" s="25" t="str">
        <f t="shared" si="19"/>
        <v>No se realizó gasto en este corte</v>
      </c>
      <c r="AB102" s="26" t="str">
        <f t="shared" si="20"/>
        <v>Costo eficiente: se está gastando menos de lo presupuestado</v>
      </c>
      <c r="AC102" s="26">
        <f t="shared" si="21"/>
        <v>0.99999999999999967</v>
      </c>
      <c r="AD102" s="26" t="str">
        <f t="shared" si="22"/>
        <v>Proyecto a tiempo según lo planificado</v>
      </c>
      <c r="AE102" s="27">
        <f t="shared" si="23"/>
        <v>0</v>
      </c>
      <c r="AF102" s="27">
        <f t="shared" si="24"/>
        <v>-4504425757</v>
      </c>
      <c r="AG102" s="28" t="str">
        <f>VLOOKUP(Indicador!E109,[1]Diccionario!C$1:AC$150,27,0)</f>
        <v>https://growdatasas.sharepoint.com/:x:/r/sites/Gestiondocumental/Administrativa/GD/Financiera/_layouts/15/Doc.aspx?sourcedoc=%7B0974E3E6-B78B-4C29-8F8A-9CF11A235CF4%7D&amp;file=20240530%20UT%20ENTERRITORIO%202027%20(SERVICIO).xlsm&amp;action=default&amp;mobileredirect=true</v>
      </c>
      <c r="AH102" s="28">
        <v>1</v>
      </c>
      <c r="AI102" s="28">
        <v>1</v>
      </c>
      <c r="AJ102" s="28"/>
      <c r="AK102" s="28"/>
    </row>
    <row r="103" spans="1:37" ht="18.75" customHeight="1" x14ac:dyDescent="0.25">
      <c r="A103" s="11">
        <v>2025</v>
      </c>
      <c r="B103" s="12" t="s">
        <v>51</v>
      </c>
      <c r="C103" s="15" t="s">
        <v>115</v>
      </c>
      <c r="D103" s="39">
        <v>45443.82223568287</v>
      </c>
      <c r="E103" s="15" t="s">
        <v>116</v>
      </c>
      <c r="F103" s="15" t="s">
        <v>83</v>
      </c>
      <c r="G103" s="15" t="s">
        <v>117</v>
      </c>
      <c r="H103" s="15" t="s">
        <v>118</v>
      </c>
      <c r="I103" s="15" t="s">
        <v>63</v>
      </c>
      <c r="J103" s="15" t="s">
        <v>119</v>
      </c>
      <c r="K103" s="15" t="s">
        <v>45</v>
      </c>
      <c r="L103" s="17">
        <f>VLOOKUP(E103,[1]Diccionario!C$2:AC$150,22,0)</f>
        <v>4504425757</v>
      </c>
      <c r="M103" s="18">
        <f>VLOOKUP(E103,[1]Diccionario!C$2:AC$150,24,0)</f>
        <v>45439</v>
      </c>
      <c r="N103" s="19">
        <f>VLOOKUP(E103,[1]Diccionario!C$2:AC$150,25,0)</f>
        <v>46533</v>
      </c>
      <c r="O103" s="20">
        <f>VLOOKUP(E103,[1]Diccionario!C$2:AC$150,26,0)</f>
        <v>35.97</v>
      </c>
      <c r="P103" s="20">
        <f t="shared" si="14"/>
        <v>-21.97</v>
      </c>
      <c r="Q103" s="20">
        <f t="shared" si="26"/>
        <v>14</v>
      </c>
      <c r="R103" s="15">
        <v>36</v>
      </c>
      <c r="S103" s="21">
        <f t="shared" si="27"/>
        <v>0.41000000000000014</v>
      </c>
      <c r="T103" s="21">
        <v>0.42</v>
      </c>
      <c r="U103" s="22"/>
      <c r="V103" s="24"/>
      <c r="W103" s="24">
        <f t="shared" si="15"/>
        <v>1891858817.9399998</v>
      </c>
      <c r="X103" s="24">
        <f t="shared" si="16"/>
        <v>1846814560.3700006</v>
      </c>
      <c r="Y103" s="24">
        <f t="shared" si="17"/>
        <v>1891858817.9399998</v>
      </c>
      <c r="Z103" s="24">
        <f t="shared" si="18"/>
        <v>45044257.569999218</v>
      </c>
      <c r="AA103" s="25" t="str">
        <f t="shared" si="19"/>
        <v>No se realizó gasto en este corte</v>
      </c>
      <c r="AB103" s="26" t="str">
        <f t="shared" si="20"/>
        <v>Costo eficiente: se está gastando menos de lo presupuestado</v>
      </c>
      <c r="AC103" s="26">
        <f t="shared" si="21"/>
        <v>1.0243902439024386</v>
      </c>
      <c r="AD103" s="26" t="str">
        <f t="shared" si="22"/>
        <v>Proyecto adelantado respecto al cronograma</v>
      </c>
      <c r="AE103" s="27">
        <f t="shared" si="23"/>
        <v>0</v>
      </c>
      <c r="AF103" s="27">
        <f t="shared" si="24"/>
        <v>-4504425757</v>
      </c>
      <c r="AG103" s="28" t="str">
        <f>VLOOKUP(Indicador!E110,[1]Diccionario!C$1:AC$150,27,0)</f>
        <v>https://growdatasas.sharepoint.com/:x:/r/sites/Gestiondocumental/Administrativa/GD/Financiera/_layouts/15/Doc.aspx?sourcedoc=%7B0974E3E6-B78B-4C29-8F8A-9CF11A235CF4%7D&amp;file=20240530%20UT%20ENTERRITORIO%202027%20(SERVICIO).xlsm&amp;action=default&amp;mobileredirect=true</v>
      </c>
      <c r="AH103" s="28">
        <v>1</v>
      </c>
      <c r="AI103" s="28">
        <v>1</v>
      </c>
      <c r="AJ103" s="28"/>
      <c r="AK103" s="28"/>
    </row>
    <row r="104" spans="1:37" ht="18.75" customHeight="1" x14ac:dyDescent="0.25">
      <c r="A104" s="11">
        <v>2025</v>
      </c>
      <c r="B104" s="12" t="s">
        <v>52</v>
      </c>
      <c r="C104" s="15" t="s">
        <v>115</v>
      </c>
      <c r="D104" s="39">
        <v>45443.82223568287</v>
      </c>
      <c r="E104" s="15" t="s">
        <v>116</v>
      </c>
      <c r="F104" s="15" t="s">
        <v>83</v>
      </c>
      <c r="G104" s="15" t="s">
        <v>117</v>
      </c>
      <c r="H104" s="15" t="s">
        <v>118</v>
      </c>
      <c r="I104" s="15" t="s">
        <v>63</v>
      </c>
      <c r="J104" s="15" t="s">
        <v>119</v>
      </c>
      <c r="K104" s="15" t="s">
        <v>45</v>
      </c>
      <c r="L104" s="17">
        <f>VLOOKUP(E104,[1]Diccionario!C$2:AC$150,22,0)</f>
        <v>4504425757</v>
      </c>
      <c r="M104" s="18">
        <f>VLOOKUP(E104,[1]Diccionario!C$2:AC$150,24,0)</f>
        <v>45439</v>
      </c>
      <c r="N104" s="19">
        <f>VLOOKUP(E104,[1]Diccionario!C$2:AC$150,25,0)</f>
        <v>46533</v>
      </c>
      <c r="O104" s="20">
        <f>VLOOKUP(E104,[1]Diccionario!C$2:AC$150,26,0)</f>
        <v>35.97</v>
      </c>
      <c r="P104" s="20">
        <f t="shared" si="14"/>
        <v>-20.97</v>
      </c>
      <c r="Q104" s="20">
        <f t="shared" si="26"/>
        <v>15</v>
      </c>
      <c r="R104" s="15">
        <v>36</v>
      </c>
      <c r="S104" s="21">
        <f t="shared" si="27"/>
        <v>0.44000000000000017</v>
      </c>
      <c r="T104" s="21">
        <v>0.45</v>
      </c>
      <c r="U104" s="22"/>
      <c r="V104" s="24"/>
      <c r="W104" s="24">
        <f t="shared" si="15"/>
        <v>2026991590.6500001</v>
      </c>
      <c r="X104" s="24">
        <f t="shared" si="16"/>
        <v>1981947333.0800009</v>
      </c>
      <c r="Y104" s="24">
        <f t="shared" si="17"/>
        <v>2026991590.6500001</v>
      </c>
      <c r="Z104" s="24">
        <f t="shared" si="18"/>
        <v>45044257.569999218</v>
      </c>
      <c r="AA104" s="25" t="str">
        <f t="shared" si="19"/>
        <v>No se realizó gasto en este corte</v>
      </c>
      <c r="AB104" s="26" t="str">
        <f t="shared" si="20"/>
        <v>Costo eficiente: se está gastando menos de lo presupuestado</v>
      </c>
      <c r="AC104" s="26">
        <f t="shared" si="21"/>
        <v>1.0227272727272723</v>
      </c>
      <c r="AD104" s="26" t="str">
        <f t="shared" si="22"/>
        <v>Proyecto adelantado respecto al cronograma</v>
      </c>
      <c r="AE104" s="27">
        <f t="shared" si="23"/>
        <v>0</v>
      </c>
      <c r="AF104" s="27">
        <f t="shared" si="24"/>
        <v>-4504425757</v>
      </c>
      <c r="AG104" s="28" t="str">
        <f>VLOOKUP(Indicador!E111,[1]Diccionario!C$1:AC$150,27,0)</f>
        <v>https://growdatasas.sharepoint.com/:x:/r/sites/Gestiondocumental/Administrativa/GD/Financiera/_layouts/15/Doc.aspx?sourcedoc=%7B0974E3E6-B78B-4C29-8F8A-9CF11A235CF4%7D&amp;file=20240530%20UT%20ENTERRITORIO%202027%20(SERVICIO).xlsm&amp;action=default&amp;mobileredirect=true</v>
      </c>
      <c r="AH104" s="28">
        <v>1</v>
      </c>
      <c r="AI104" s="28">
        <v>1</v>
      </c>
      <c r="AJ104" s="28"/>
      <c r="AK104" s="28"/>
    </row>
    <row r="105" spans="1:37" ht="18.75" customHeight="1" x14ac:dyDescent="0.25">
      <c r="A105" s="11">
        <v>2025</v>
      </c>
      <c r="B105" s="12" t="s">
        <v>53</v>
      </c>
      <c r="C105" s="15" t="s">
        <v>115</v>
      </c>
      <c r="D105" s="39">
        <v>45443.82223568287</v>
      </c>
      <c r="E105" s="15" t="s">
        <v>116</v>
      </c>
      <c r="F105" s="15" t="s">
        <v>83</v>
      </c>
      <c r="G105" s="15" t="s">
        <v>117</v>
      </c>
      <c r="H105" s="15" t="s">
        <v>118</v>
      </c>
      <c r="I105" s="15" t="s">
        <v>63</v>
      </c>
      <c r="J105" s="15" t="s">
        <v>119</v>
      </c>
      <c r="K105" s="15" t="s">
        <v>45</v>
      </c>
      <c r="L105" s="17">
        <f>VLOOKUP(E105,[1]Diccionario!C$2:AC$150,22,0)</f>
        <v>4504425757</v>
      </c>
      <c r="M105" s="18">
        <f>VLOOKUP(E105,[1]Diccionario!C$2:AC$150,24,0)</f>
        <v>45439</v>
      </c>
      <c r="N105" s="19">
        <f>VLOOKUP(E105,[1]Diccionario!C$2:AC$150,25,0)</f>
        <v>46533</v>
      </c>
      <c r="O105" s="20">
        <f>VLOOKUP(E105,[1]Diccionario!C$2:AC$150,26,0)</f>
        <v>35.97</v>
      </c>
      <c r="P105" s="20">
        <f t="shared" si="14"/>
        <v>-19.97</v>
      </c>
      <c r="Q105" s="20">
        <f t="shared" si="26"/>
        <v>16</v>
      </c>
      <c r="R105" s="15">
        <v>36</v>
      </c>
      <c r="S105" s="21">
        <f t="shared" si="27"/>
        <v>0.4700000000000002</v>
      </c>
      <c r="T105" s="21">
        <v>0.48</v>
      </c>
      <c r="U105" s="22"/>
      <c r="V105" s="24"/>
      <c r="W105" s="24">
        <f t="shared" si="15"/>
        <v>2162124363.3600001</v>
      </c>
      <c r="X105" s="24">
        <f t="shared" si="16"/>
        <v>2117080105.7900009</v>
      </c>
      <c r="Y105" s="24">
        <f t="shared" si="17"/>
        <v>2162124363.3600001</v>
      </c>
      <c r="Z105" s="24">
        <f t="shared" si="18"/>
        <v>45044257.569999218</v>
      </c>
      <c r="AA105" s="25" t="str">
        <f t="shared" si="19"/>
        <v>No se realizó gasto en este corte</v>
      </c>
      <c r="AB105" s="26" t="str">
        <f t="shared" si="20"/>
        <v>Costo eficiente: se está gastando menos de lo presupuestado</v>
      </c>
      <c r="AC105" s="26">
        <f t="shared" si="21"/>
        <v>1.0212765957446805</v>
      </c>
      <c r="AD105" s="26" t="str">
        <f t="shared" si="22"/>
        <v>Proyecto adelantado respecto al cronograma</v>
      </c>
      <c r="AE105" s="27">
        <f t="shared" si="23"/>
        <v>0</v>
      </c>
      <c r="AF105" s="27">
        <f t="shared" si="24"/>
        <v>-4504425757</v>
      </c>
      <c r="AG105" s="28" t="str">
        <f>VLOOKUP(Indicador!E112,[1]Diccionario!C$1:AC$150,27,0)</f>
        <v>https://growdatasas.sharepoint.com/:x:/r/sites/Gestiondocumental/Administrativa/GD/Financiera/_layouts/15/Doc.aspx?sourcedoc=%7B0974E3E6-B78B-4C29-8F8A-9CF11A235CF4%7D&amp;file=20240530%20UT%20ENTERRITORIO%202027%20(SERVICIO).xlsm&amp;action=default&amp;mobileredirect=true</v>
      </c>
      <c r="AH105" s="28">
        <v>1</v>
      </c>
      <c r="AI105" s="28">
        <v>1</v>
      </c>
      <c r="AJ105" s="28"/>
      <c r="AK105" s="28"/>
    </row>
    <row r="106" spans="1:37" ht="18.75" customHeight="1" x14ac:dyDescent="0.25">
      <c r="A106" s="11">
        <v>2025</v>
      </c>
      <c r="B106" s="12" t="s">
        <v>54</v>
      </c>
      <c r="C106" s="15" t="s">
        <v>115</v>
      </c>
      <c r="D106" s="39">
        <v>45443.82223568287</v>
      </c>
      <c r="E106" s="15" t="s">
        <v>116</v>
      </c>
      <c r="F106" s="15" t="s">
        <v>83</v>
      </c>
      <c r="G106" s="15" t="s">
        <v>117</v>
      </c>
      <c r="H106" s="15" t="s">
        <v>118</v>
      </c>
      <c r="I106" s="15" t="s">
        <v>63</v>
      </c>
      <c r="J106" s="15" t="s">
        <v>119</v>
      </c>
      <c r="K106" s="15" t="s">
        <v>45</v>
      </c>
      <c r="L106" s="17">
        <f>VLOOKUP(E106,[1]Diccionario!C$2:AC$150,22,0)</f>
        <v>4504425757</v>
      </c>
      <c r="M106" s="18">
        <f>VLOOKUP(E106,[1]Diccionario!C$2:AC$150,24,0)</f>
        <v>45439</v>
      </c>
      <c r="N106" s="19">
        <f>VLOOKUP(E106,[1]Diccionario!C$2:AC$150,25,0)</f>
        <v>46533</v>
      </c>
      <c r="O106" s="20">
        <f>VLOOKUP(E106,[1]Diccionario!C$2:AC$150,26,0)</f>
        <v>35.97</v>
      </c>
      <c r="P106" s="20">
        <f t="shared" si="14"/>
        <v>-18.97</v>
      </c>
      <c r="Q106" s="20">
        <f t="shared" si="26"/>
        <v>17</v>
      </c>
      <c r="R106" s="15">
        <v>36</v>
      </c>
      <c r="S106" s="21">
        <f t="shared" si="27"/>
        <v>0.50000000000000022</v>
      </c>
      <c r="T106" s="21">
        <v>0.5</v>
      </c>
      <c r="U106" s="22"/>
      <c r="V106" s="24"/>
      <c r="W106" s="24">
        <f t="shared" si="15"/>
        <v>2252212878.5</v>
      </c>
      <c r="X106" s="24">
        <f t="shared" si="16"/>
        <v>2252212878.500001</v>
      </c>
      <c r="Y106" s="24">
        <f t="shared" si="17"/>
        <v>2252212878.5</v>
      </c>
      <c r="Z106" s="24">
        <f t="shared" si="18"/>
        <v>0</v>
      </c>
      <c r="AA106" s="25" t="str">
        <f t="shared" si="19"/>
        <v>No se realizó gasto en este corte</v>
      </c>
      <c r="AB106" s="26" t="str">
        <f t="shared" si="20"/>
        <v>Costo eficiente: se está gastando menos de lo presupuestado</v>
      </c>
      <c r="AC106" s="26">
        <f t="shared" si="21"/>
        <v>0.99999999999999956</v>
      </c>
      <c r="AD106" s="26" t="str">
        <f t="shared" si="22"/>
        <v>Proyecto a tiempo según lo planificado</v>
      </c>
      <c r="AE106" s="27">
        <f t="shared" si="23"/>
        <v>0</v>
      </c>
      <c r="AF106" s="27">
        <f t="shared" si="24"/>
        <v>-4504425757</v>
      </c>
      <c r="AG106" s="28" t="str">
        <f>VLOOKUP(Indicador!E113,[1]Diccionario!C$1:AC$150,27,0)</f>
        <v>https://growdatasas.sharepoint.com/:x:/r/sites/Gestiondocumental/Administrativa/GD/Financiera/_layouts/15/Doc.aspx?sourcedoc=%7B0974E3E6-B78B-4C29-8F8A-9CF11A235CF4%7D&amp;file=20240530%20UT%20ENTERRITORIO%202027%20(SERVICIO).xlsm&amp;action=default&amp;mobileredirect=true</v>
      </c>
      <c r="AH106" s="28">
        <v>1</v>
      </c>
      <c r="AI106" s="28">
        <v>1</v>
      </c>
      <c r="AJ106" s="28"/>
      <c r="AK106" s="28"/>
    </row>
    <row r="107" spans="1:37" ht="18.75" customHeight="1" x14ac:dyDescent="0.25">
      <c r="A107" s="11">
        <v>2025</v>
      </c>
      <c r="B107" s="12" t="s">
        <v>55</v>
      </c>
      <c r="C107" s="15" t="s">
        <v>115</v>
      </c>
      <c r="D107" s="39">
        <v>45443.82223568287</v>
      </c>
      <c r="E107" s="15" t="s">
        <v>116</v>
      </c>
      <c r="F107" s="15" t="s">
        <v>83</v>
      </c>
      <c r="G107" s="15" t="s">
        <v>117</v>
      </c>
      <c r="H107" s="15" t="s">
        <v>118</v>
      </c>
      <c r="I107" s="15" t="s">
        <v>63</v>
      </c>
      <c r="J107" s="15" t="s">
        <v>119</v>
      </c>
      <c r="K107" s="15" t="s">
        <v>45</v>
      </c>
      <c r="L107" s="17">
        <f>VLOOKUP(E107,[1]Diccionario!C$2:AC$150,22,0)</f>
        <v>4504425757</v>
      </c>
      <c r="M107" s="18">
        <f>VLOOKUP(E107,[1]Diccionario!C$2:AC$150,24,0)</f>
        <v>45439</v>
      </c>
      <c r="N107" s="19">
        <f>VLOOKUP(E107,[1]Diccionario!C$2:AC$150,25,0)</f>
        <v>46533</v>
      </c>
      <c r="O107" s="20">
        <f>VLOOKUP(E107,[1]Diccionario!C$2:AC$150,26,0)</f>
        <v>35.97</v>
      </c>
      <c r="P107" s="20">
        <f t="shared" si="14"/>
        <v>-17.97</v>
      </c>
      <c r="Q107" s="20">
        <f t="shared" si="26"/>
        <v>18</v>
      </c>
      <c r="R107" s="15">
        <v>36</v>
      </c>
      <c r="S107" s="21">
        <f t="shared" si="27"/>
        <v>0.53000000000000025</v>
      </c>
      <c r="T107" s="21">
        <v>0.53</v>
      </c>
      <c r="U107" s="22"/>
      <c r="V107" s="24"/>
      <c r="W107" s="24">
        <f t="shared" si="15"/>
        <v>2387345651.21</v>
      </c>
      <c r="X107" s="24">
        <f t="shared" si="16"/>
        <v>2387345651.210001</v>
      </c>
      <c r="Y107" s="24">
        <f t="shared" si="17"/>
        <v>2387345651.21</v>
      </c>
      <c r="Z107" s="24">
        <f t="shared" si="18"/>
        <v>0</v>
      </c>
      <c r="AA107" s="25" t="str">
        <f t="shared" si="19"/>
        <v>No se realizó gasto en este corte</v>
      </c>
      <c r="AB107" s="26" t="str">
        <f t="shared" si="20"/>
        <v>Costo eficiente: se está gastando menos de lo presupuestado</v>
      </c>
      <c r="AC107" s="26">
        <f t="shared" si="21"/>
        <v>0.99999999999999956</v>
      </c>
      <c r="AD107" s="26" t="str">
        <f t="shared" si="22"/>
        <v>Proyecto a tiempo según lo planificado</v>
      </c>
      <c r="AE107" s="27">
        <f t="shared" si="23"/>
        <v>0</v>
      </c>
      <c r="AF107" s="27">
        <f t="shared" si="24"/>
        <v>-4504425757</v>
      </c>
      <c r="AG107" s="28" t="str">
        <f>VLOOKUP(Indicador!E114,[1]Diccionario!C$1:AC$150,27,0)</f>
        <v>https://growdatasas.sharepoint.com/:x:/r/sites/Gestiondocumental/Administrativa/GD/Financiera/_layouts/15/Doc.aspx?sourcedoc=%7B0974E3E6-B78B-4C29-8F8A-9CF11A235CF4%7D&amp;file=20240530%20UT%20ENTERRITORIO%202027%20(SERVICIO).xlsm&amp;action=default&amp;mobileredirect=true</v>
      </c>
      <c r="AH107" s="28">
        <v>1</v>
      </c>
      <c r="AI107" s="28">
        <v>1</v>
      </c>
      <c r="AJ107" s="28"/>
      <c r="AK107" s="28"/>
    </row>
    <row r="108" spans="1:37" ht="18.75" customHeight="1" x14ac:dyDescent="0.25">
      <c r="A108" s="11">
        <v>2025</v>
      </c>
      <c r="B108" s="12" t="s">
        <v>56</v>
      </c>
      <c r="C108" s="15" t="s">
        <v>115</v>
      </c>
      <c r="D108" s="39">
        <v>45443.82223568287</v>
      </c>
      <c r="E108" s="15" t="s">
        <v>116</v>
      </c>
      <c r="F108" s="15" t="s">
        <v>83</v>
      </c>
      <c r="G108" s="15" t="s">
        <v>117</v>
      </c>
      <c r="H108" s="15" t="s">
        <v>118</v>
      </c>
      <c r="I108" s="15" t="s">
        <v>63</v>
      </c>
      <c r="J108" s="15" t="s">
        <v>119</v>
      </c>
      <c r="K108" s="15" t="s">
        <v>45</v>
      </c>
      <c r="L108" s="17">
        <f>VLOOKUP(E108,[1]Diccionario!C$2:AC$150,22,0)</f>
        <v>4504425757</v>
      </c>
      <c r="M108" s="18">
        <f>VLOOKUP(E108,[1]Diccionario!C$2:AC$150,24,0)</f>
        <v>45439</v>
      </c>
      <c r="N108" s="19">
        <f>VLOOKUP(E108,[1]Diccionario!C$2:AC$150,25,0)</f>
        <v>46533</v>
      </c>
      <c r="O108" s="20">
        <f>VLOOKUP(E108,[1]Diccionario!C$2:AC$150,26,0)</f>
        <v>35.97</v>
      </c>
      <c r="P108" s="20">
        <f t="shared" si="14"/>
        <v>-16.97</v>
      </c>
      <c r="Q108" s="20">
        <f t="shared" si="26"/>
        <v>19</v>
      </c>
      <c r="R108" s="15">
        <v>36</v>
      </c>
      <c r="S108" s="21">
        <f t="shared" si="27"/>
        <v>0.56000000000000028</v>
      </c>
      <c r="T108" s="21">
        <v>0.56000000000000005</v>
      </c>
      <c r="U108" s="22"/>
      <c r="V108" s="24"/>
      <c r="W108" s="24">
        <f t="shared" si="15"/>
        <v>2522478423.9200001</v>
      </c>
      <c r="X108" s="24">
        <f t="shared" si="16"/>
        <v>2522478423.920001</v>
      </c>
      <c r="Y108" s="24">
        <f t="shared" si="17"/>
        <v>2522478423.9200001</v>
      </c>
      <c r="Z108" s="24">
        <f t="shared" si="18"/>
        <v>0</v>
      </c>
      <c r="AA108" s="25" t="str">
        <f t="shared" si="19"/>
        <v>No se realizó gasto en este corte</v>
      </c>
      <c r="AB108" s="26" t="str">
        <f t="shared" si="20"/>
        <v>Costo eficiente: se está gastando menos de lo presupuestado</v>
      </c>
      <c r="AC108" s="26">
        <f t="shared" si="21"/>
        <v>0.99999999999999967</v>
      </c>
      <c r="AD108" s="26" t="str">
        <f t="shared" si="22"/>
        <v>Proyecto a tiempo según lo planificado</v>
      </c>
      <c r="AE108" s="27">
        <f t="shared" si="23"/>
        <v>0</v>
      </c>
      <c r="AF108" s="27">
        <f t="shared" si="24"/>
        <v>-4504425757</v>
      </c>
      <c r="AG108" s="28" t="str">
        <f>VLOOKUP(Indicador!E115,[1]Diccionario!C$1:AC$150,27,0)</f>
        <v>https://growdatasas.sharepoint.com/:x:/r/sites/Gestiondocumental/Administrativa/GD/Financiera/_layouts/15/Doc.aspx?sourcedoc=%7B0974E3E6-B78B-4C29-8F8A-9CF11A235CF4%7D&amp;file=20240530%20UT%20ENTERRITORIO%202027%20(SERVICIO).xlsm&amp;action=default&amp;mobileredirect=true</v>
      </c>
      <c r="AH108" s="28">
        <v>1</v>
      </c>
      <c r="AI108" s="28">
        <v>1</v>
      </c>
      <c r="AJ108" s="28"/>
      <c r="AK108" s="28"/>
    </row>
    <row r="109" spans="1:37" ht="18.75" customHeight="1" x14ac:dyDescent="0.25">
      <c r="A109" s="11">
        <v>2025</v>
      </c>
      <c r="B109" s="12" t="s">
        <v>57</v>
      </c>
      <c r="C109" s="15" t="s">
        <v>115</v>
      </c>
      <c r="D109" s="39">
        <v>45443.82223568287</v>
      </c>
      <c r="E109" s="15" t="s">
        <v>116</v>
      </c>
      <c r="F109" s="15" t="s">
        <v>83</v>
      </c>
      <c r="G109" s="15" t="s">
        <v>117</v>
      </c>
      <c r="H109" s="15" t="s">
        <v>118</v>
      </c>
      <c r="I109" s="15" t="s">
        <v>63</v>
      </c>
      <c r="J109" s="15" t="s">
        <v>119</v>
      </c>
      <c r="K109" s="15" t="s">
        <v>45</v>
      </c>
      <c r="L109" s="17">
        <f>VLOOKUP(E109,[1]Diccionario!C$2:AC$150,22,0)</f>
        <v>4504425757</v>
      </c>
      <c r="M109" s="18">
        <f>VLOOKUP(E109,[1]Diccionario!C$2:AC$150,24,0)</f>
        <v>45439</v>
      </c>
      <c r="N109" s="19">
        <f>VLOOKUP(E109,[1]Diccionario!C$2:AC$150,25,0)</f>
        <v>46533</v>
      </c>
      <c r="O109" s="20">
        <f>VLOOKUP(E109,[1]Diccionario!C$2:AC$150,26,0)</f>
        <v>35.97</v>
      </c>
      <c r="P109" s="20">
        <f t="shared" si="14"/>
        <v>-15.969999999999999</v>
      </c>
      <c r="Q109" s="20">
        <f t="shared" si="26"/>
        <v>20</v>
      </c>
      <c r="R109" s="15">
        <v>36</v>
      </c>
      <c r="S109" s="21">
        <f t="shared" si="27"/>
        <v>0.5900000000000003</v>
      </c>
      <c r="T109" s="21">
        <v>0.59</v>
      </c>
      <c r="U109" s="22"/>
      <c r="V109" s="24"/>
      <c r="W109" s="24">
        <f t="shared" si="15"/>
        <v>2657611196.6299996</v>
      </c>
      <c r="X109" s="24">
        <f t="shared" si="16"/>
        <v>2657611196.6300015</v>
      </c>
      <c r="Y109" s="24">
        <f t="shared" si="17"/>
        <v>2657611196.6299996</v>
      </c>
      <c r="Z109" s="24">
        <f t="shared" si="18"/>
        <v>0</v>
      </c>
      <c r="AA109" s="25" t="str">
        <f t="shared" si="19"/>
        <v>No se realizó gasto en este corte</v>
      </c>
      <c r="AB109" s="26" t="str">
        <f t="shared" si="20"/>
        <v>Costo eficiente: se está gastando menos de lo presupuestado</v>
      </c>
      <c r="AC109" s="26">
        <f t="shared" si="21"/>
        <v>0.99999999999999933</v>
      </c>
      <c r="AD109" s="26" t="str">
        <f t="shared" si="22"/>
        <v>Proyecto atrasado con respecto al cronograma</v>
      </c>
      <c r="AE109" s="27">
        <f t="shared" si="23"/>
        <v>0</v>
      </c>
      <c r="AF109" s="27">
        <f t="shared" si="24"/>
        <v>-4504425757</v>
      </c>
      <c r="AG109" s="28" t="str">
        <f>VLOOKUP(Indicador!E116,[1]Diccionario!C$1:AC$150,27,0)</f>
        <v>https://growdatasas.sharepoint.com/:x:/r/sites/Gestiondocumental/Administrativa/GD/Financiera/_layouts/15/Doc.aspx?sourcedoc=%7B0974E3E6-B78B-4C29-8F8A-9CF11A235CF4%7D&amp;file=20240530%20UT%20ENTERRITORIO%202027%20(SERVICIO).xlsm&amp;action=default&amp;mobileredirect=true</v>
      </c>
      <c r="AH109" s="28">
        <v>1</v>
      </c>
      <c r="AI109" s="28">
        <v>1</v>
      </c>
      <c r="AJ109" s="28"/>
      <c r="AK109" s="28"/>
    </row>
    <row r="110" spans="1:37" ht="18.75" customHeight="1" x14ac:dyDescent="0.25">
      <c r="A110" s="11">
        <v>2026</v>
      </c>
      <c r="B110" s="12" t="s">
        <v>37</v>
      </c>
      <c r="C110" s="15" t="s">
        <v>115</v>
      </c>
      <c r="D110" s="39">
        <v>45443.82223568287</v>
      </c>
      <c r="E110" s="15" t="s">
        <v>116</v>
      </c>
      <c r="F110" s="15" t="s">
        <v>83</v>
      </c>
      <c r="G110" s="15" t="s">
        <v>117</v>
      </c>
      <c r="H110" s="15" t="s">
        <v>118</v>
      </c>
      <c r="I110" s="15" t="s">
        <v>63</v>
      </c>
      <c r="J110" s="15" t="s">
        <v>119</v>
      </c>
      <c r="K110" s="15" t="s">
        <v>45</v>
      </c>
      <c r="L110" s="17">
        <f>VLOOKUP(E110,[1]Diccionario!C$2:AC$150,22,0)</f>
        <v>4504425757</v>
      </c>
      <c r="M110" s="18">
        <f>VLOOKUP(E110,[1]Diccionario!C$2:AC$150,24,0)</f>
        <v>45439</v>
      </c>
      <c r="N110" s="19">
        <f>VLOOKUP(E110,[1]Diccionario!C$2:AC$150,25,0)</f>
        <v>46533</v>
      </c>
      <c r="O110" s="20">
        <f>VLOOKUP(E110,[1]Diccionario!C$2:AC$150,26,0)</f>
        <v>35.97</v>
      </c>
      <c r="P110" s="20">
        <f t="shared" si="14"/>
        <v>-14.969999999999999</v>
      </c>
      <c r="Q110" s="20">
        <f t="shared" si="26"/>
        <v>21</v>
      </c>
      <c r="R110" s="15">
        <v>36</v>
      </c>
      <c r="S110" s="21">
        <f t="shared" si="27"/>
        <v>0.62000000000000033</v>
      </c>
      <c r="T110" s="21">
        <v>0.61</v>
      </c>
      <c r="U110" s="22"/>
      <c r="V110" s="24"/>
      <c r="W110" s="24">
        <f t="shared" si="15"/>
        <v>2747699711.77</v>
      </c>
      <c r="X110" s="24">
        <f t="shared" si="16"/>
        <v>2792743969.3400016</v>
      </c>
      <c r="Y110" s="24">
        <f t="shared" si="17"/>
        <v>2747699711.77</v>
      </c>
      <c r="Z110" s="24">
        <f t="shared" si="18"/>
        <v>-45044257.570001602</v>
      </c>
      <c r="AA110" s="25" t="str">
        <f t="shared" si="19"/>
        <v>No se realizó gasto en este corte</v>
      </c>
      <c r="AB110" s="26" t="str">
        <f t="shared" si="20"/>
        <v>Costo eficiente: se está gastando menos de lo presupuestado</v>
      </c>
      <c r="AC110" s="26">
        <f t="shared" si="21"/>
        <v>0.98387096774193494</v>
      </c>
      <c r="AD110" s="26" t="str">
        <f t="shared" si="22"/>
        <v>Proyecto atrasado con respecto al cronograma</v>
      </c>
      <c r="AE110" s="27">
        <f t="shared" si="23"/>
        <v>0</v>
      </c>
      <c r="AF110" s="27">
        <f t="shared" si="24"/>
        <v>-4504425757</v>
      </c>
      <c r="AG110" s="28" t="str">
        <f>VLOOKUP(Indicador!E117,[1]Diccionario!C$1:AC$150,27,0)</f>
        <v>https://growdatasas.sharepoint.com/:x:/r/sites/Gestiondocumental/Administrativa/GD/Financiera/_layouts/15/Doc.aspx?sourcedoc=%7B0974E3E6-B78B-4C29-8F8A-9CF11A235CF4%7D&amp;file=20240530%20UT%20ENTERRITORIO%202027%20(SERVICIO).xlsm&amp;action=default&amp;mobileredirect=true</v>
      </c>
      <c r="AH110" s="28">
        <v>1</v>
      </c>
      <c r="AI110" s="28">
        <v>1</v>
      </c>
      <c r="AJ110" s="28"/>
      <c r="AK110" s="28"/>
    </row>
    <row r="111" spans="1:37" ht="18.75" customHeight="1" x14ac:dyDescent="0.25">
      <c r="A111" s="11">
        <v>2026</v>
      </c>
      <c r="B111" s="12" t="s">
        <v>47</v>
      </c>
      <c r="C111" s="15" t="s">
        <v>115</v>
      </c>
      <c r="D111" s="39">
        <v>45443.82223568287</v>
      </c>
      <c r="E111" s="15" t="s">
        <v>116</v>
      </c>
      <c r="F111" s="15" t="s">
        <v>83</v>
      </c>
      <c r="G111" s="15" t="s">
        <v>117</v>
      </c>
      <c r="H111" s="15" t="s">
        <v>118</v>
      </c>
      <c r="I111" s="15" t="s">
        <v>63</v>
      </c>
      <c r="J111" s="15" t="s">
        <v>119</v>
      </c>
      <c r="K111" s="15" t="s">
        <v>45</v>
      </c>
      <c r="L111" s="17">
        <f>VLOOKUP(E111,[1]Diccionario!C$2:AC$150,22,0)</f>
        <v>4504425757</v>
      </c>
      <c r="M111" s="18">
        <f>VLOOKUP(E111,[1]Diccionario!C$2:AC$150,24,0)</f>
        <v>45439</v>
      </c>
      <c r="N111" s="19">
        <f>VLOOKUP(E111,[1]Diccionario!C$2:AC$150,25,0)</f>
        <v>46533</v>
      </c>
      <c r="O111" s="20">
        <f>VLOOKUP(E111,[1]Diccionario!C$2:AC$150,26,0)</f>
        <v>35.97</v>
      </c>
      <c r="P111" s="20">
        <f t="shared" si="14"/>
        <v>-13.969999999999999</v>
      </c>
      <c r="Q111" s="20">
        <f t="shared" si="26"/>
        <v>22</v>
      </c>
      <c r="R111" s="15">
        <v>36</v>
      </c>
      <c r="S111" s="21">
        <f t="shared" si="27"/>
        <v>0.65000000000000036</v>
      </c>
      <c r="T111" s="21">
        <v>0.67</v>
      </c>
      <c r="U111" s="22"/>
      <c r="V111" s="24"/>
      <c r="W111" s="24">
        <f t="shared" si="15"/>
        <v>3017965257.1900001</v>
      </c>
      <c r="X111" s="24">
        <f t="shared" si="16"/>
        <v>2927876742.0500016</v>
      </c>
      <c r="Y111" s="24">
        <f t="shared" si="17"/>
        <v>3017965257.1900001</v>
      </c>
      <c r="Z111" s="24">
        <f t="shared" si="18"/>
        <v>90088515.139998436</v>
      </c>
      <c r="AA111" s="25" t="str">
        <f t="shared" si="19"/>
        <v>No se realizó gasto en este corte</v>
      </c>
      <c r="AB111" s="26" t="str">
        <f t="shared" si="20"/>
        <v>Costo eficiente: se está gastando menos de lo presupuestado</v>
      </c>
      <c r="AC111" s="26">
        <f t="shared" si="21"/>
        <v>1.0307692307692302</v>
      </c>
      <c r="AD111" s="26" t="str">
        <f t="shared" si="22"/>
        <v>Proyecto adelantado respecto al cronograma</v>
      </c>
      <c r="AE111" s="27">
        <f t="shared" si="23"/>
        <v>0</v>
      </c>
      <c r="AF111" s="27">
        <f t="shared" si="24"/>
        <v>-4504425757</v>
      </c>
      <c r="AG111" s="28" t="str">
        <f>VLOOKUP(Indicador!E118,[1]Diccionario!C$1:AC$150,27,0)</f>
        <v>https://growdatasas.sharepoint.com/:x:/r/sites/Gestiondocumental/Administrativa/GD/Financiera/_layouts/15/Doc.aspx?sourcedoc=%7B0974E3E6-B78B-4C29-8F8A-9CF11A235CF4%7D&amp;file=20240530%20UT%20ENTERRITORIO%202027%20(SERVICIO).xlsm&amp;action=default&amp;mobileredirect=true</v>
      </c>
      <c r="AH111" s="28">
        <v>1</v>
      </c>
      <c r="AI111" s="28">
        <v>1</v>
      </c>
      <c r="AJ111" s="28"/>
      <c r="AK111" s="28"/>
    </row>
    <row r="112" spans="1:37" ht="18.75" customHeight="1" x14ac:dyDescent="0.25">
      <c r="A112" s="11">
        <v>2026</v>
      </c>
      <c r="B112" s="12" t="s">
        <v>48</v>
      </c>
      <c r="C112" s="15" t="s">
        <v>115</v>
      </c>
      <c r="D112" s="39">
        <v>45443.82223568287</v>
      </c>
      <c r="E112" s="15" t="s">
        <v>116</v>
      </c>
      <c r="F112" s="15" t="s">
        <v>83</v>
      </c>
      <c r="G112" s="15" t="s">
        <v>117</v>
      </c>
      <c r="H112" s="15" t="s">
        <v>118</v>
      </c>
      <c r="I112" s="15" t="s">
        <v>63</v>
      </c>
      <c r="J112" s="15" t="s">
        <v>119</v>
      </c>
      <c r="K112" s="15" t="s">
        <v>45</v>
      </c>
      <c r="L112" s="17">
        <f>VLOOKUP(E112,[1]Diccionario!C$2:AC$150,22,0)</f>
        <v>4504425757</v>
      </c>
      <c r="M112" s="18">
        <f>VLOOKUP(E112,[1]Diccionario!C$2:AC$150,24,0)</f>
        <v>45439</v>
      </c>
      <c r="N112" s="19">
        <f>VLOOKUP(E112,[1]Diccionario!C$2:AC$150,25,0)</f>
        <v>46533</v>
      </c>
      <c r="O112" s="20">
        <f>VLOOKUP(E112,[1]Diccionario!C$2:AC$150,26,0)</f>
        <v>35.97</v>
      </c>
      <c r="P112" s="20">
        <f t="shared" si="14"/>
        <v>-12.969999999999999</v>
      </c>
      <c r="Q112" s="20">
        <f t="shared" si="26"/>
        <v>23</v>
      </c>
      <c r="R112" s="15">
        <v>36</v>
      </c>
      <c r="S112" s="21">
        <f t="shared" si="27"/>
        <v>0.68000000000000038</v>
      </c>
      <c r="T112" s="21"/>
      <c r="U112" s="22"/>
      <c r="V112" s="24"/>
      <c r="W112" s="24">
        <f t="shared" si="15"/>
        <v>0</v>
      </c>
      <c r="X112" s="24">
        <f t="shared" si="16"/>
        <v>3063009514.7600017</v>
      </c>
      <c r="Y112" s="24">
        <f t="shared" si="17"/>
        <v>0</v>
      </c>
      <c r="Z112" s="24">
        <f t="shared" si="18"/>
        <v>-3063009514.7600017</v>
      </c>
      <c r="AA112" s="25" t="str">
        <f t="shared" si="19"/>
        <v>No se realizó gasto en este corte</v>
      </c>
      <c r="AB112" s="26" t="str">
        <f t="shared" si="20"/>
        <v>Costo eficiente: se está gastando menos de lo presupuestado</v>
      </c>
      <c r="AC112" s="26">
        <f t="shared" si="21"/>
        <v>0</v>
      </c>
      <c r="AD112" s="26" t="str">
        <f t="shared" si="22"/>
        <v>Sin Línea Base</v>
      </c>
      <c r="AE112" s="27">
        <f t="shared" si="23"/>
        <v>0</v>
      </c>
      <c r="AF112" s="27">
        <f t="shared" si="24"/>
        <v>-4504425757</v>
      </c>
      <c r="AG112" s="28" t="str">
        <f>VLOOKUP(Indicador!E119,[1]Diccionario!C$1:AC$150,27,0)</f>
        <v>https://growdatasas.sharepoint.com/:x:/r/sites/Gestiondocumental/Administrativa/GD/Financiera/_layouts/15/Doc.aspx?sourcedoc=%7B0974E3E6-B78B-4C29-8F8A-9CF11A235CF4%7D&amp;file=20240530%20UT%20ENTERRITORIO%202027%20(SERVICIO).xlsm&amp;action=default&amp;mobileredirect=true</v>
      </c>
      <c r="AH112" s="28">
        <v>1</v>
      </c>
      <c r="AI112" s="28">
        <v>1</v>
      </c>
      <c r="AJ112" s="28"/>
      <c r="AK112" s="28"/>
    </row>
    <row r="113" spans="1:37" ht="18.75" customHeight="1" x14ac:dyDescent="0.25">
      <c r="A113" s="11">
        <v>2026</v>
      </c>
      <c r="B113" s="12" t="s">
        <v>49</v>
      </c>
      <c r="C113" s="15" t="s">
        <v>115</v>
      </c>
      <c r="D113" s="39">
        <v>45443.82223568287</v>
      </c>
      <c r="E113" s="15" t="s">
        <v>116</v>
      </c>
      <c r="F113" s="15" t="s">
        <v>83</v>
      </c>
      <c r="G113" s="15" t="s">
        <v>117</v>
      </c>
      <c r="H113" s="15" t="s">
        <v>118</v>
      </c>
      <c r="I113" s="15" t="s">
        <v>63</v>
      </c>
      <c r="J113" s="15" t="s">
        <v>119</v>
      </c>
      <c r="K113" s="15" t="s">
        <v>45</v>
      </c>
      <c r="L113" s="17">
        <f>VLOOKUP(E113,[1]Diccionario!C$2:AC$150,22,0)</f>
        <v>4504425757</v>
      </c>
      <c r="M113" s="18">
        <f>VLOOKUP(E113,[1]Diccionario!C$2:AC$150,24,0)</f>
        <v>45439</v>
      </c>
      <c r="N113" s="19">
        <f>VLOOKUP(E113,[1]Diccionario!C$2:AC$150,25,0)</f>
        <v>46533</v>
      </c>
      <c r="O113" s="20">
        <f>VLOOKUP(E113,[1]Diccionario!C$2:AC$150,26,0)</f>
        <v>35.97</v>
      </c>
      <c r="P113" s="20">
        <f t="shared" si="14"/>
        <v>-11.969999999999999</v>
      </c>
      <c r="Q113" s="20">
        <f t="shared" si="26"/>
        <v>24</v>
      </c>
      <c r="R113" s="15">
        <v>36</v>
      </c>
      <c r="S113" s="21">
        <f t="shared" si="27"/>
        <v>0.71000000000000041</v>
      </c>
      <c r="T113" s="21"/>
      <c r="U113" s="22"/>
      <c r="V113" s="24"/>
      <c r="W113" s="24">
        <f t="shared" si="15"/>
        <v>0</v>
      </c>
      <c r="X113" s="24">
        <f t="shared" si="16"/>
        <v>3198142287.4700017</v>
      </c>
      <c r="Y113" s="24">
        <f t="shared" si="17"/>
        <v>0</v>
      </c>
      <c r="Z113" s="24">
        <f t="shared" si="18"/>
        <v>-3198142287.4700017</v>
      </c>
      <c r="AA113" s="25" t="str">
        <f t="shared" si="19"/>
        <v>No se realizó gasto en este corte</v>
      </c>
      <c r="AB113" s="26" t="str">
        <f t="shared" si="20"/>
        <v>Costo eficiente: se está gastando menos de lo presupuestado</v>
      </c>
      <c r="AC113" s="26">
        <f t="shared" si="21"/>
        <v>0</v>
      </c>
      <c r="AD113" s="26" t="str">
        <f t="shared" si="22"/>
        <v>Sin Línea Base</v>
      </c>
      <c r="AE113" s="27">
        <f t="shared" si="23"/>
        <v>0</v>
      </c>
      <c r="AF113" s="27">
        <f t="shared" si="24"/>
        <v>-4504425757</v>
      </c>
      <c r="AG113" s="28" t="str">
        <f>VLOOKUP(Indicador!E120,[1]Diccionario!C$1:AC$150,27,0)</f>
        <v>https://growdatasas.sharepoint.com/:x:/r/sites/Gestiondocumental/Administrativa/GD/Financiera/_layouts/15/Doc.aspx?sourcedoc=%7B0974E3E6-B78B-4C29-8F8A-9CF11A235CF4%7D&amp;file=20240530%20UT%20ENTERRITORIO%202027%20(SERVICIO).xlsm&amp;action=default&amp;mobileredirect=true</v>
      </c>
      <c r="AH113" s="28">
        <v>1</v>
      </c>
      <c r="AI113" s="28">
        <v>1</v>
      </c>
      <c r="AJ113" s="28"/>
      <c r="AK113" s="28"/>
    </row>
    <row r="114" spans="1:37" ht="18.75" customHeight="1" x14ac:dyDescent="0.25">
      <c r="A114" s="11">
        <v>2026</v>
      </c>
      <c r="B114" s="12" t="s">
        <v>50</v>
      </c>
      <c r="C114" s="15" t="s">
        <v>115</v>
      </c>
      <c r="D114" s="39">
        <v>45443.82223568287</v>
      </c>
      <c r="E114" s="15" t="s">
        <v>116</v>
      </c>
      <c r="F114" s="15" t="s">
        <v>83</v>
      </c>
      <c r="G114" s="15" t="s">
        <v>117</v>
      </c>
      <c r="H114" s="15" t="s">
        <v>118</v>
      </c>
      <c r="I114" s="15" t="s">
        <v>63</v>
      </c>
      <c r="J114" s="15" t="s">
        <v>119</v>
      </c>
      <c r="K114" s="15" t="s">
        <v>45</v>
      </c>
      <c r="L114" s="17">
        <f>VLOOKUP(E114,[1]Diccionario!C$2:AC$150,22,0)</f>
        <v>4504425757</v>
      </c>
      <c r="M114" s="18">
        <f>VLOOKUP(E114,[1]Diccionario!C$2:AC$150,24,0)</f>
        <v>45439</v>
      </c>
      <c r="N114" s="19">
        <f>VLOOKUP(E114,[1]Diccionario!C$2:AC$150,25,0)</f>
        <v>46533</v>
      </c>
      <c r="O114" s="20">
        <f>VLOOKUP(E114,[1]Diccionario!C$2:AC$150,26,0)</f>
        <v>35.97</v>
      </c>
      <c r="P114" s="20">
        <f t="shared" si="14"/>
        <v>-10.969999999999999</v>
      </c>
      <c r="Q114" s="20">
        <f t="shared" si="26"/>
        <v>25</v>
      </c>
      <c r="R114" s="15">
        <v>36</v>
      </c>
      <c r="S114" s="21">
        <f t="shared" si="27"/>
        <v>0.74000000000000044</v>
      </c>
      <c r="T114" s="21"/>
      <c r="U114" s="22"/>
      <c r="V114" s="24"/>
      <c r="W114" s="24">
        <f t="shared" si="15"/>
        <v>0</v>
      </c>
      <c r="X114" s="24">
        <f t="shared" si="16"/>
        <v>3333275060.1800017</v>
      </c>
      <c r="Y114" s="24">
        <f t="shared" si="17"/>
        <v>0</v>
      </c>
      <c r="Z114" s="24">
        <f t="shared" si="18"/>
        <v>-3333275060.1800017</v>
      </c>
      <c r="AA114" s="25" t="str">
        <f t="shared" si="19"/>
        <v>No se realizó gasto en este corte</v>
      </c>
      <c r="AB114" s="26" t="str">
        <f t="shared" si="20"/>
        <v>Costo eficiente: se está gastando menos de lo presupuestado</v>
      </c>
      <c r="AC114" s="26">
        <f t="shared" si="21"/>
        <v>0</v>
      </c>
      <c r="AD114" s="26" t="str">
        <f t="shared" si="22"/>
        <v>Sin Línea Base</v>
      </c>
      <c r="AE114" s="27">
        <f t="shared" si="23"/>
        <v>0</v>
      </c>
      <c r="AF114" s="27">
        <f t="shared" si="24"/>
        <v>-4504425757</v>
      </c>
      <c r="AG114" s="28" t="str">
        <f>VLOOKUP(Indicador!E121,[1]Diccionario!C$1:AC$150,27,0)</f>
        <v>https://growdatasas.sharepoint.com/:x:/r/sites/Gestiondocumental/Administrativa/GD/Financiera/_layouts/15/Doc.aspx?sourcedoc=%7B0974E3E6-B78B-4C29-8F8A-9CF11A235CF4%7D&amp;file=20240530%20UT%20ENTERRITORIO%202027%20(SERVICIO).xlsm&amp;action=default&amp;mobileredirect=true</v>
      </c>
      <c r="AH114" s="28">
        <v>1</v>
      </c>
      <c r="AI114" s="28">
        <v>1</v>
      </c>
      <c r="AJ114" s="28"/>
      <c r="AK114" s="28"/>
    </row>
    <row r="115" spans="1:37" ht="18.75" customHeight="1" x14ac:dyDescent="0.25">
      <c r="A115" s="11">
        <v>2026</v>
      </c>
      <c r="B115" s="12" t="s">
        <v>51</v>
      </c>
      <c r="C115" s="15" t="s">
        <v>115</v>
      </c>
      <c r="D115" s="39">
        <v>45443.82223568287</v>
      </c>
      <c r="E115" s="15" t="s">
        <v>116</v>
      </c>
      <c r="F115" s="15" t="s">
        <v>83</v>
      </c>
      <c r="G115" s="15" t="s">
        <v>117</v>
      </c>
      <c r="H115" s="15" t="s">
        <v>118</v>
      </c>
      <c r="I115" s="15" t="s">
        <v>63</v>
      </c>
      <c r="J115" s="15" t="s">
        <v>119</v>
      </c>
      <c r="K115" s="15" t="s">
        <v>45</v>
      </c>
      <c r="L115" s="17">
        <f>VLOOKUP(E115,[1]Diccionario!C$2:AC$150,22,0)</f>
        <v>4504425757</v>
      </c>
      <c r="M115" s="18">
        <f>VLOOKUP(E115,[1]Diccionario!C$2:AC$150,24,0)</f>
        <v>45439</v>
      </c>
      <c r="N115" s="19">
        <f>VLOOKUP(E115,[1]Diccionario!C$2:AC$150,25,0)</f>
        <v>46533</v>
      </c>
      <c r="O115" s="20">
        <f>VLOOKUP(E115,[1]Diccionario!C$2:AC$150,26,0)</f>
        <v>35.97</v>
      </c>
      <c r="P115" s="20">
        <f t="shared" si="14"/>
        <v>-9.9699999999999989</v>
      </c>
      <c r="Q115" s="20">
        <f t="shared" si="26"/>
        <v>26</v>
      </c>
      <c r="R115" s="15">
        <v>36</v>
      </c>
      <c r="S115" s="21">
        <f t="shared" si="27"/>
        <v>0.77000000000000046</v>
      </c>
      <c r="T115" s="21"/>
      <c r="U115" s="22"/>
      <c r="V115" s="24"/>
      <c r="W115" s="24">
        <f t="shared" si="15"/>
        <v>0</v>
      </c>
      <c r="X115" s="24">
        <f t="shared" si="16"/>
        <v>3468407832.8900023</v>
      </c>
      <c r="Y115" s="24">
        <f t="shared" si="17"/>
        <v>0</v>
      </c>
      <c r="Z115" s="24">
        <f t="shared" si="18"/>
        <v>-3468407832.8900023</v>
      </c>
      <c r="AA115" s="25" t="str">
        <f t="shared" si="19"/>
        <v>No se realizó gasto en este corte</v>
      </c>
      <c r="AB115" s="26" t="str">
        <f t="shared" si="20"/>
        <v>Costo eficiente: se está gastando menos de lo presupuestado</v>
      </c>
      <c r="AC115" s="26">
        <f t="shared" si="21"/>
        <v>0</v>
      </c>
      <c r="AD115" s="26" t="str">
        <f t="shared" si="22"/>
        <v>Sin Línea Base</v>
      </c>
      <c r="AE115" s="27">
        <f t="shared" si="23"/>
        <v>0</v>
      </c>
      <c r="AF115" s="27">
        <f t="shared" si="24"/>
        <v>-4504425757</v>
      </c>
      <c r="AG115" s="28" t="str">
        <f>VLOOKUP(Indicador!E122,[1]Diccionario!C$1:AC$150,27,0)</f>
        <v>https://growdatasas.sharepoint.com/:x:/r/sites/Gestiondocumental/Administrativa/GD/Financiera/_layouts/15/Doc.aspx?sourcedoc=%7B0974E3E6-B78B-4C29-8F8A-9CF11A235CF4%7D&amp;file=20240530%20UT%20ENTERRITORIO%202027%20(SERVICIO).xlsm&amp;action=default&amp;mobileredirect=true</v>
      </c>
      <c r="AH115" s="28">
        <v>1</v>
      </c>
      <c r="AI115" s="28">
        <v>1</v>
      </c>
      <c r="AJ115" s="28"/>
      <c r="AK115" s="28"/>
    </row>
    <row r="116" spans="1:37" ht="18.75" customHeight="1" x14ac:dyDescent="0.25">
      <c r="A116" s="11">
        <v>2026</v>
      </c>
      <c r="B116" s="12" t="s">
        <v>52</v>
      </c>
      <c r="C116" s="15" t="s">
        <v>115</v>
      </c>
      <c r="D116" s="39">
        <v>45443.82223568287</v>
      </c>
      <c r="E116" s="15" t="s">
        <v>116</v>
      </c>
      <c r="F116" s="15" t="s">
        <v>83</v>
      </c>
      <c r="G116" s="15" t="s">
        <v>117</v>
      </c>
      <c r="H116" s="15" t="s">
        <v>118</v>
      </c>
      <c r="I116" s="15" t="s">
        <v>63</v>
      </c>
      <c r="J116" s="15" t="s">
        <v>119</v>
      </c>
      <c r="K116" s="15" t="s">
        <v>45</v>
      </c>
      <c r="L116" s="17">
        <f>VLOOKUP(E116,[1]Diccionario!C$2:AC$150,22,0)</f>
        <v>4504425757</v>
      </c>
      <c r="M116" s="18">
        <f>VLOOKUP(E116,[1]Diccionario!C$2:AC$150,24,0)</f>
        <v>45439</v>
      </c>
      <c r="N116" s="19">
        <f>VLOOKUP(E116,[1]Diccionario!C$2:AC$150,25,0)</f>
        <v>46533</v>
      </c>
      <c r="O116" s="20">
        <f>VLOOKUP(E116,[1]Diccionario!C$2:AC$150,26,0)</f>
        <v>35.97</v>
      </c>
      <c r="P116" s="20">
        <f t="shared" si="14"/>
        <v>-8.9699999999999989</v>
      </c>
      <c r="Q116" s="20">
        <f t="shared" si="26"/>
        <v>27</v>
      </c>
      <c r="R116" s="15">
        <v>36</v>
      </c>
      <c r="S116" s="21">
        <f t="shared" si="27"/>
        <v>0.80000000000000049</v>
      </c>
      <c r="T116" s="21"/>
      <c r="U116" s="22"/>
      <c r="V116" s="24"/>
      <c r="W116" s="24">
        <f t="shared" si="15"/>
        <v>0</v>
      </c>
      <c r="X116" s="24">
        <f t="shared" si="16"/>
        <v>3603540605.6000023</v>
      </c>
      <c r="Y116" s="24">
        <f t="shared" si="17"/>
        <v>0</v>
      </c>
      <c r="Z116" s="24">
        <f t="shared" si="18"/>
        <v>-3603540605.6000023</v>
      </c>
      <c r="AA116" s="25" t="str">
        <f t="shared" si="19"/>
        <v>No se realizó gasto en este corte</v>
      </c>
      <c r="AB116" s="26" t="str">
        <f t="shared" si="20"/>
        <v>Costo eficiente: se está gastando menos de lo presupuestado</v>
      </c>
      <c r="AC116" s="26">
        <f t="shared" si="21"/>
        <v>0</v>
      </c>
      <c r="AD116" s="26" t="str">
        <f t="shared" si="22"/>
        <v>Sin Línea Base</v>
      </c>
      <c r="AE116" s="27">
        <f t="shared" si="23"/>
        <v>0</v>
      </c>
      <c r="AF116" s="27">
        <f t="shared" si="24"/>
        <v>-4504425757</v>
      </c>
      <c r="AG116" s="28" t="str">
        <f>VLOOKUP(Indicador!E123,[1]Diccionario!C$1:AC$150,27,0)</f>
        <v>https://growdatasas.sharepoint.com/:x:/r/sites/Gestiondocumental/Administrativa/GD/Financiera/_layouts/15/Doc.aspx?sourcedoc=%7B0974E3E6-B78B-4C29-8F8A-9CF11A235CF4%7D&amp;file=20240530%20UT%20ENTERRITORIO%202027%20(SERVICIO).xlsm&amp;action=default&amp;mobileredirect=true</v>
      </c>
      <c r="AH116" s="28">
        <v>1</v>
      </c>
      <c r="AI116" s="28">
        <v>1</v>
      </c>
      <c r="AJ116" s="28"/>
      <c r="AK116" s="28"/>
    </row>
    <row r="117" spans="1:37" ht="18.75" customHeight="1" x14ac:dyDescent="0.25">
      <c r="A117" s="11">
        <v>2026</v>
      </c>
      <c r="B117" s="12" t="s">
        <v>53</v>
      </c>
      <c r="C117" s="15" t="s">
        <v>115</v>
      </c>
      <c r="D117" s="39">
        <v>45443.82223568287</v>
      </c>
      <c r="E117" s="15" t="s">
        <v>116</v>
      </c>
      <c r="F117" s="15" t="s">
        <v>83</v>
      </c>
      <c r="G117" s="15" t="s">
        <v>117</v>
      </c>
      <c r="H117" s="15" t="s">
        <v>118</v>
      </c>
      <c r="I117" s="15" t="s">
        <v>63</v>
      </c>
      <c r="J117" s="15" t="s">
        <v>119</v>
      </c>
      <c r="K117" s="15" t="s">
        <v>45</v>
      </c>
      <c r="L117" s="17">
        <f>VLOOKUP(E117,[1]Diccionario!C$2:AC$150,22,0)</f>
        <v>4504425757</v>
      </c>
      <c r="M117" s="18">
        <f>VLOOKUP(E117,[1]Diccionario!C$2:AC$150,24,0)</f>
        <v>45439</v>
      </c>
      <c r="N117" s="19">
        <f>VLOOKUP(E117,[1]Diccionario!C$2:AC$150,25,0)</f>
        <v>46533</v>
      </c>
      <c r="O117" s="20">
        <f>VLOOKUP(E117,[1]Diccionario!C$2:AC$150,26,0)</f>
        <v>35.97</v>
      </c>
      <c r="P117" s="20">
        <f t="shared" si="14"/>
        <v>-7.9699999999999989</v>
      </c>
      <c r="Q117" s="20">
        <f t="shared" si="26"/>
        <v>28</v>
      </c>
      <c r="R117" s="15">
        <v>36</v>
      </c>
      <c r="S117" s="21">
        <f>S116+0.02</f>
        <v>0.82000000000000051</v>
      </c>
      <c r="T117" s="21"/>
      <c r="U117" s="22"/>
      <c r="V117" s="24"/>
      <c r="W117" s="24">
        <f t="shared" si="15"/>
        <v>0</v>
      </c>
      <c r="X117" s="24">
        <f t="shared" si="16"/>
        <v>3693629120.7400022</v>
      </c>
      <c r="Y117" s="24">
        <f t="shared" si="17"/>
        <v>0</v>
      </c>
      <c r="Z117" s="24">
        <f t="shared" si="18"/>
        <v>-3693629120.7400022</v>
      </c>
      <c r="AA117" s="25" t="str">
        <f t="shared" si="19"/>
        <v>No se realizó gasto en este corte</v>
      </c>
      <c r="AB117" s="26" t="str">
        <f t="shared" si="20"/>
        <v>Costo eficiente: se está gastando menos de lo presupuestado</v>
      </c>
      <c r="AC117" s="26">
        <f t="shared" si="21"/>
        <v>0</v>
      </c>
      <c r="AD117" s="26" t="str">
        <f t="shared" si="22"/>
        <v>Sin Línea Base</v>
      </c>
      <c r="AE117" s="27">
        <f t="shared" si="23"/>
        <v>0</v>
      </c>
      <c r="AF117" s="27">
        <f t="shared" si="24"/>
        <v>-4504425757</v>
      </c>
      <c r="AG117" s="28" t="str">
        <f>VLOOKUP(Indicador!E124,[1]Diccionario!C$1:AC$150,27,0)</f>
        <v>https://growdatasas.sharepoint.com/:x:/r/sites/Gestiondocumental/Administrativa/GD/Financiera/_layouts/15/Doc.aspx?sourcedoc=%7B0974E3E6-B78B-4C29-8F8A-9CF11A235CF4%7D&amp;file=20240530%20UT%20ENTERRITORIO%202027%20(SERVICIO).xlsm&amp;action=default&amp;mobileredirect=true</v>
      </c>
      <c r="AH117" s="28">
        <v>1</v>
      </c>
      <c r="AI117" s="28">
        <v>1</v>
      </c>
      <c r="AJ117" s="28"/>
      <c r="AK117" s="28"/>
    </row>
    <row r="118" spans="1:37" ht="18.75" customHeight="1" x14ac:dyDescent="0.25">
      <c r="A118" s="11">
        <v>2026</v>
      </c>
      <c r="B118" s="12" t="s">
        <v>54</v>
      </c>
      <c r="C118" s="15" t="s">
        <v>115</v>
      </c>
      <c r="D118" s="39">
        <v>45443.82223568287</v>
      </c>
      <c r="E118" s="15" t="s">
        <v>116</v>
      </c>
      <c r="F118" s="15" t="s">
        <v>83</v>
      </c>
      <c r="G118" s="15" t="s">
        <v>117</v>
      </c>
      <c r="H118" s="15" t="s">
        <v>118</v>
      </c>
      <c r="I118" s="15" t="s">
        <v>63</v>
      </c>
      <c r="J118" s="15" t="s">
        <v>119</v>
      </c>
      <c r="K118" s="15" t="s">
        <v>45</v>
      </c>
      <c r="L118" s="17">
        <f>VLOOKUP(E118,[1]Diccionario!C$2:AC$150,22,0)</f>
        <v>4504425757</v>
      </c>
      <c r="M118" s="18">
        <f>VLOOKUP(E118,[1]Diccionario!C$2:AC$150,24,0)</f>
        <v>45439</v>
      </c>
      <c r="N118" s="19">
        <f>VLOOKUP(E118,[1]Diccionario!C$2:AC$150,25,0)</f>
        <v>46533</v>
      </c>
      <c r="O118" s="20">
        <f>VLOOKUP(E118,[1]Diccionario!C$2:AC$150,26,0)</f>
        <v>35.97</v>
      </c>
      <c r="P118" s="20">
        <f t="shared" si="14"/>
        <v>-6.9699999999999989</v>
      </c>
      <c r="Q118" s="20">
        <f t="shared" si="26"/>
        <v>29</v>
      </c>
      <c r="R118" s="15">
        <v>36</v>
      </c>
      <c r="S118" s="21">
        <f>S117+0.03</f>
        <v>0.85000000000000053</v>
      </c>
      <c r="T118" s="21"/>
      <c r="U118" s="22"/>
      <c r="V118" s="24"/>
      <c r="W118" s="24">
        <f t="shared" si="15"/>
        <v>0</v>
      </c>
      <c r="X118" s="24">
        <f t="shared" si="16"/>
        <v>3828761893.4500022</v>
      </c>
      <c r="Y118" s="24">
        <f t="shared" si="17"/>
        <v>0</v>
      </c>
      <c r="Z118" s="24">
        <f t="shared" si="18"/>
        <v>-3828761893.4500022</v>
      </c>
      <c r="AA118" s="25" t="str">
        <f t="shared" si="19"/>
        <v>No se realizó gasto en este corte</v>
      </c>
      <c r="AB118" s="26" t="str">
        <f t="shared" si="20"/>
        <v>Costo eficiente: se está gastando menos de lo presupuestado</v>
      </c>
      <c r="AC118" s="26">
        <f t="shared" si="21"/>
        <v>0</v>
      </c>
      <c r="AD118" s="26" t="str">
        <f t="shared" si="22"/>
        <v>Sin Línea Base</v>
      </c>
      <c r="AE118" s="27">
        <f t="shared" si="23"/>
        <v>0</v>
      </c>
      <c r="AF118" s="27">
        <f t="shared" si="24"/>
        <v>-4504425757</v>
      </c>
      <c r="AG118" s="28" t="str">
        <f>VLOOKUP(Indicador!E125,[1]Diccionario!C$1:AC$150,27,0)</f>
        <v>https://growdatasas.sharepoint.com/:x:/r/sites/Gestiondocumental/Administrativa/GD/Financiera/_layouts/15/Doc.aspx?sourcedoc=%7B0974E3E6-B78B-4C29-8F8A-9CF11A235CF4%7D&amp;file=20240530%20UT%20ENTERRITORIO%202027%20(SERVICIO).xlsm&amp;action=default&amp;mobileredirect=true</v>
      </c>
      <c r="AH118" s="28">
        <v>1</v>
      </c>
      <c r="AI118" s="28">
        <v>1</v>
      </c>
      <c r="AJ118" s="28"/>
      <c r="AK118" s="28"/>
    </row>
    <row r="119" spans="1:37" ht="18.75" customHeight="1" x14ac:dyDescent="0.25">
      <c r="A119" s="11">
        <v>2026</v>
      </c>
      <c r="B119" s="12" t="s">
        <v>55</v>
      </c>
      <c r="C119" s="15" t="s">
        <v>115</v>
      </c>
      <c r="D119" s="39">
        <v>45443.82223568287</v>
      </c>
      <c r="E119" s="15" t="s">
        <v>116</v>
      </c>
      <c r="F119" s="15" t="s">
        <v>83</v>
      </c>
      <c r="G119" s="15" t="s">
        <v>117</v>
      </c>
      <c r="H119" s="15" t="s">
        <v>118</v>
      </c>
      <c r="I119" s="15" t="s">
        <v>63</v>
      </c>
      <c r="J119" s="15" t="s">
        <v>119</v>
      </c>
      <c r="K119" s="15" t="s">
        <v>45</v>
      </c>
      <c r="L119" s="17">
        <f>VLOOKUP(E119,[1]Diccionario!C$2:AC$150,22,0)</f>
        <v>4504425757</v>
      </c>
      <c r="M119" s="18">
        <f>VLOOKUP(E119,[1]Diccionario!C$2:AC$150,24,0)</f>
        <v>45439</v>
      </c>
      <c r="N119" s="19">
        <f>VLOOKUP(E119,[1]Diccionario!C$2:AC$150,25,0)</f>
        <v>46533</v>
      </c>
      <c r="O119" s="20">
        <f>VLOOKUP(E119,[1]Diccionario!C$2:AC$150,26,0)</f>
        <v>35.97</v>
      </c>
      <c r="P119" s="20">
        <f t="shared" si="14"/>
        <v>-5.9699999999999989</v>
      </c>
      <c r="Q119" s="20">
        <f t="shared" si="26"/>
        <v>30</v>
      </c>
      <c r="R119" s="15">
        <v>36</v>
      </c>
      <c r="S119" s="21">
        <f>S118+0.01</f>
        <v>0.86000000000000054</v>
      </c>
      <c r="T119" s="21"/>
      <c r="U119" s="22"/>
      <c r="V119" s="24"/>
      <c r="W119" s="24">
        <f t="shared" si="15"/>
        <v>0</v>
      </c>
      <c r="X119" s="24">
        <f t="shared" si="16"/>
        <v>3873806151.0200024</v>
      </c>
      <c r="Y119" s="24">
        <f t="shared" si="17"/>
        <v>0</v>
      </c>
      <c r="Z119" s="24">
        <f t="shared" si="18"/>
        <v>-3873806151.0200024</v>
      </c>
      <c r="AA119" s="25" t="str">
        <f t="shared" si="19"/>
        <v>No se realizó gasto en este corte</v>
      </c>
      <c r="AB119" s="26" t="str">
        <f t="shared" si="20"/>
        <v>Costo eficiente: se está gastando menos de lo presupuestado</v>
      </c>
      <c r="AC119" s="26">
        <f t="shared" si="21"/>
        <v>0</v>
      </c>
      <c r="AD119" s="26" t="str">
        <f t="shared" si="22"/>
        <v>Sin Línea Base</v>
      </c>
      <c r="AE119" s="27">
        <f t="shared" si="23"/>
        <v>0</v>
      </c>
      <c r="AF119" s="27">
        <f t="shared" si="24"/>
        <v>-4504425757</v>
      </c>
      <c r="AG119" s="28" t="str">
        <f>VLOOKUP(Indicador!E126,[1]Diccionario!C$1:AC$150,27,0)</f>
        <v>https://growdatasas.sharepoint.com/:x:/r/sites/Gestiondocumental/Administrativa/GD/Financiera/_layouts/15/Doc.aspx?sourcedoc=%7B0974E3E6-B78B-4C29-8F8A-9CF11A235CF4%7D&amp;file=20240530%20UT%20ENTERRITORIO%202027%20(SERVICIO).xlsm&amp;action=default&amp;mobileredirect=true</v>
      </c>
      <c r="AH119" s="28">
        <v>1</v>
      </c>
      <c r="AI119" s="28">
        <v>1</v>
      </c>
      <c r="AJ119" s="28"/>
      <c r="AK119" s="28"/>
    </row>
    <row r="120" spans="1:37" ht="18.75" customHeight="1" x14ac:dyDescent="0.25">
      <c r="A120" s="11">
        <v>2026</v>
      </c>
      <c r="B120" s="12" t="s">
        <v>56</v>
      </c>
      <c r="C120" s="15" t="s">
        <v>115</v>
      </c>
      <c r="D120" s="39">
        <v>45443.82223568287</v>
      </c>
      <c r="E120" s="15" t="s">
        <v>116</v>
      </c>
      <c r="F120" s="15" t="s">
        <v>83</v>
      </c>
      <c r="G120" s="15" t="s">
        <v>117</v>
      </c>
      <c r="H120" s="15" t="s">
        <v>118</v>
      </c>
      <c r="I120" s="15" t="s">
        <v>63</v>
      </c>
      <c r="J120" s="15" t="s">
        <v>119</v>
      </c>
      <c r="K120" s="15" t="s">
        <v>45</v>
      </c>
      <c r="L120" s="17">
        <f>VLOOKUP(E120,[1]Diccionario!C$2:AC$150,22,0)</f>
        <v>4504425757</v>
      </c>
      <c r="M120" s="18">
        <f>VLOOKUP(E120,[1]Diccionario!C$2:AC$150,24,0)</f>
        <v>45439</v>
      </c>
      <c r="N120" s="19">
        <f>VLOOKUP(E120,[1]Diccionario!C$2:AC$150,25,0)</f>
        <v>46533</v>
      </c>
      <c r="O120" s="20">
        <f>VLOOKUP(E120,[1]Diccionario!C$2:AC$150,26,0)</f>
        <v>35.97</v>
      </c>
      <c r="P120" s="20">
        <f t="shared" si="14"/>
        <v>-4.9699999999999989</v>
      </c>
      <c r="Q120" s="20">
        <f t="shared" si="26"/>
        <v>31</v>
      </c>
      <c r="R120" s="15">
        <v>36</v>
      </c>
      <c r="S120" s="21">
        <f>S119+0.01</f>
        <v>0.87000000000000055</v>
      </c>
      <c r="T120" s="21"/>
      <c r="U120" s="22"/>
      <c r="V120" s="24"/>
      <c r="W120" s="24">
        <f t="shared" si="15"/>
        <v>0</v>
      </c>
      <c r="X120" s="24">
        <f t="shared" si="16"/>
        <v>3918850408.5900025</v>
      </c>
      <c r="Y120" s="24">
        <f t="shared" si="17"/>
        <v>0</v>
      </c>
      <c r="Z120" s="24">
        <f t="shared" si="18"/>
        <v>-3918850408.5900025</v>
      </c>
      <c r="AA120" s="25" t="str">
        <f t="shared" si="19"/>
        <v>No se realizó gasto en este corte</v>
      </c>
      <c r="AB120" s="26" t="str">
        <f t="shared" si="20"/>
        <v>Costo eficiente: se está gastando menos de lo presupuestado</v>
      </c>
      <c r="AC120" s="26">
        <f t="shared" si="21"/>
        <v>0</v>
      </c>
      <c r="AD120" s="26" t="str">
        <f t="shared" si="22"/>
        <v>Sin Línea Base</v>
      </c>
      <c r="AE120" s="27">
        <f t="shared" si="23"/>
        <v>0</v>
      </c>
      <c r="AF120" s="27">
        <f t="shared" si="24"/>
        <v>-4504425757</v>
      </c>
      <c r="AG120" s="28" t="str">
        <f>VLOOKUP(Indicador!E127,[1]Diccionario!C$1:AC$150,27,0)</f>
        <v>https://growdatasas.sharepoint.com/:x:/r/sites/Gestiondocumental/Administrativa/GD/Financiera/_layouts/15/Doc.aspx?sourcedoc=%7B7CA5727E-8CD9-4225-BEF4-3B8118646894%7D&amp;file=20240530%20MODELO%20FINANCIERO%20REFERENCIA%20V7_472.xlsm&amp;action=default&amp;mobileredirect=true</v>
      </c>
      <c r="AH120" s="28">
        <v>1</v>
      </c>
      <c r="AI120" s="28">
        <v>1</v>
      </c>
      <c r="AJ120" s="28"/>
      <c r="AK120" s="28"/>
    </row>
    <row r="121" spans="1:37" ht="18.75" customHeight="1" x14ac:dyDescent="0.25">
      <c r="A121" s="11">
        <v>2026</v>
      </c>
      <c r="B121" s="12" t="s">
        <v>57</v>
      </c>
      <c r="C121" s="15" t="s">
        <v>115</v>
      </c>
      <c r="D121" s="39">
        <v>45443.82223568287</v>
      </c>
      <c r="E121" s="15" t="s">
        <v>116</v>
      </c>
      <c r="F121" s="15" t="s">
        <v>83</v>
      </c>
      <c r="G121" s="15" t="s">
        <v>117</v>
      </c>
      <c r="H121" s="15" t="s">
        <v>118</v>
      </c>
      <c r="I121" s="15" t="s">
        <v>63</v>
      </c>
      <c r="J121" s="15" t="s">
        <v>119</v>
      </c>
      <c r="K121" s="15" t="s">
        <v>45</v>
      </c>
      <c r="L121" s="17">
        <f>VLOOKUP(E121,[1]Diccionario!C$2:AC$150,22,0)</f>
        <v>4504425757</v>
      </c>
      <c r="M121" s="18">
        <f>VLOOKUP(E121,[1]Diccionario!C$2:AC$150,24,0)</f>
        <v>45439</v>
      </c>
      <c r="N121" s="19">
        <f>VLOOKUP(E121,[1]Diccionario!C$2:AC$150,25,0)</f>
        <v>46533</v>
      </c>
      <c r="O121" s="20">
        <f>VLOOKUP(E121,[1]Diccionario!C$2:AC$150,26,0)</f>
        <v>35.97</v>
      </c>
      <c r="P121" s="20">
        <f t="shared" si="14"/>
        <v>-3.9699999999999989</v>
      </c>
      <c r="Q121" s="20">
        <f t="shared" si="26"/>
        <v>32</v>
      </c>
      <c r="R121" s="15">
        <v>36</v>
      </c>
      <c r="S121" s="21">
        <f>S120+0.01</f>
        <v>0.88000000000000056</v>
      </c>
      <c r="T121" s="21"/>
      <c r="U121" s="22"/>
      <c r="V121" s="24"/>
      <c r="W121" s="24">
        <f t="shared" si="15"/>
        <v>0</v>
      </c>
      <c r="X121" s="24">
        <f t="shared" si="16"/>
        <v>3963894666.1600027</v>
      </c>
      <c r="Y121" s="24">
        <f t="shared" si="17"/>
        <v>0</v>
      </c>
      <c r="Z121" s="24">
        <f t="shared" si="18"/>
        <v>-3963894666.1600027</v>
      </c>
      <c r="AA121" s="25" t="str">
        <f t="shared" si="19"/>
        <v>No se realizó gasto en este corte</v>
      </c>
      <c r="AB121" s="26" t="str">
        <f t="shared" si="20"/>
        <v>Costo eficiente: se está gastando menos de lo presupuestado</v>
      </c>
      <c r="AC121" s="26">
        <f t="shared" si="21"/>
        <v>0</v>
      </c>
      <c r="AD121" s="26" t="str">
        <f t="shared" si="22"/>
        <v>Sin Línea Base</v>
      </c>
      <c r="AE121" s="27">
        <f t="shared" si="23"/>
        <v>0</v>
      </c>
      <c r="AF121" s="27">
        <f t="shared" si="24"/>
        <v>-4504425757</v>
      </c>
      <c r="AG121" s="28" t="str">
        <f>VLOOKUP(Indicador!E128,[1]Diccionario!C$1:AC$150,27,0)</f>
        <v>https://growdatasas.sharepoint.com/:x:/r/sites/Gestiondocumental/Administrativa/GD/Financiera/_layouts/15/Doc.aspx?sourcedoc=%7B7CA5727E-8CD9-4225-BEF4-3B8118646894%7D&amp;file=20240530%20MODELO%20FINANCIERO%20REFERENCIA%20V7_472.xlsm&amp;action=default&amp;mobileredirect=true</v>
      </c>
      <c r="AH121" s="28">
        <v>1</v>
      </c>
      <c r="AI121" s="28">
        <v>1</v>
      </c>
      <c r="AJ121" s="28"/>
      <c r="AK121" s="28"/>
    </row>
    <row r="122" spans="1:37" ht="18.75" customHeight="1" x14ac:dyDescent="0.25">
      <c r="A122" s="11">
        <v>2027</v>
      </c>
      <c r="B122" s="12" t="s">
        <v>37</v>
      </c>
      <c r="C122" s="15" t="s">
        <v>115</v>
      </c>
      <c r="D122" s="39">
        <v>45443.82223568287</v>
      </c>
      <c r="E122" s="15" t="s">
        <v>116</v>
      </c>
      <c r="F122" s="15" t="s">
        <v>83</v>
      </c>
      <c r="G122" s="15" t="s">
        <v>117</v>
      </c>
      <c r="H122" s="15" t="s">
        <v>118</v>
      </c>
      <c r="I122" s="15" t="s">
        <v>63</v>
      </c>
      <c r="J122" s="15" t="s">
        <v>119</v>
      </c>
      <c r="K122" s="15" t="s">
        <v>45</v>
      </c>
      <c r="L122" s="17">
        <f>VLOOKUP(E122,[1]Diccionario!C$2:AC$150,22,0)</f>
        <v>4504425757</v>
      </c>
      <c r="M122" s="18">
        <f>VLOOKUP(E122,[1]Diccionario!C$2:AC$150,24,0)</f>
        <v>45439</v>
      </c>
      <c r="N122" s="19">
        <f>VLOOKUP(E122,[1]Diccionario!C$2:AC$150,25,0)</f>
        <v>46533</v>
      </c>
      <c r="O122" s="20">
        <f>VLOOKUP(E122,[1]Diccionario!C$2:AC$150,26,0)</f>
        <v>35.97</v>
      </c>
      <c r="P122" s="20">
        <f t="shared" si="14"/>
        <v>-2.9699999999999989</v>
      </c>
      <c r="Q122" s="20">
        <f t="shared" si="26"/>
        <v>33</v>
      </c>
      <c r="R122" s="15">
        <v>36</v>
      </c>
      <c r="S122" s="21">
        <f>S121+0.01</f>
        <v>0.89000000000000057</v>
      </c>
      <c r="T122" s="21"/>
      <c r="U122" s="22"/>
      <c r="V122" s="24"/>
      <c r="W122" s="24">
        <f t="shared" si="15"/>
        <v>0</v>
      </c>
      <c r="X122" s="24">
        <f t="shared" si="16"/>
        <v>4008938923.7300024</v>
      </c>
      <c r="Y122" s="24">
        <f t="shared" si="17"/>
        <v>0</v>
      </c>
      <c r="Z122" s="24">
        <f t="shared" si="18"/>
        <v>-4008938923.7300024</v>
      </c>
      <c r="AA122" s="25" t="str">
        <f t="shared" si="19"/>
        <v>No se realizó gasto en este corte</v>
      </c>
      <c r="AB122" s="26" t="str">
        <f t="shared" si="20"/>
        <v>Costo eficiente: se está gastando menos de lo presupuestado</v>
      </c>
      <c r="AC122" s="26">
        <f t="shared" si="21"/>
        <v>0</v>
      </c>
      <c r="AD122" s="26" t="str">
        <f t="shared" si="22"/>
        <v>Sin Línea Base</v>
      </c>
      <c r="AE122" s="27">
        <f t="shared" si="23"/>
        <v>0</v>
      </c>
      <c r="AF122" s="27">
        <f t="shared" si="24"/>
        <v>-4504425757</v>
      </c>
      <c r="AG122" s="28" t="str">
        <f>VLOOKUP(Indicador!E129,[1]Diccionario!C$1:AC$150,27,0)</f>
        <v>https://growdatasas.sharepoint.com/:x:/r/sites/Gestiondocumental/Administrativa/GD/Financiera/_layouts/15/Doc.aspx?sourcedoc=%7B753ECAFE-B168-40EE-B86E-63C339FE122B%7D&amp;file=20240607%20FONDO%20ACCION%20MEJORAS%20APLICATIVO%20ASEC%20V5.xlsm&amp;action=default&amp;mobileredirect=true</v>
      </c>
      <c r="AH122" s="28">
        <v>1</v>
      </c>
      <c r="AI122" s="28">
        <v>1</v>
      </c>
      <c r="AJ122" s="28"/>
      <c r="AK122" s="28"/>
    </row>
    <row r="123" spans="1:37" ht="18.75" customHeight="1" x14ac:dyDescent="0.25">
      <c r="A123" s="11">
        <v>2027</v>
      </c>
      <c r="B123" s="12" t="s">
        <v>47</v>
      </c>
      <c r="C123" s="15" t="s">
        <v>115</v>
      </c>
      <c r="D123" s="39">
        <v>45443.82223568287</v>
      </c>
      <c r="E123" s="15" t="s">
        <v>116</v>
      </c>
      <c r="F123" s="15" t="s">
        <v>83</v>
      </c>
      <c r="G123" s="15" t="s">
        <v>117</v>
      </c>
      <c r="H123" s="15" t="s">
        <v>118</v>
      </c>
      <c r="I123" s="15" t="s">
        <v>63</v>
      </c>
      <c r="J123" s="15" t="s">
        <v>119</v>
      </c>
      <c r="K123" s="15" t="s">
        <v>45</v>
      </c>
      <c r="L123" s="17">
        <f>VLOOKUP(E123,[1]Diccionario!C$2:AC$150,22,0)</f>
        <v>4504425757</v>
      </c>
      <c r="M123" s="18">
        <f>VLOOKUP(E123,[1]Diccionario!C$2:AC$150,24,0)</f>
        <v>45439</v>
      </c>
      <c r="N123" s="19">
        <f>VLOOKUP(E123,[1]Diccionario!C$2:AC$150,25,0)</f>
        <v>46533</v>
      </c>
      <c r="O123" s="20">
        <f>VLOOKUP(E123,[1]Diccionario!C$2:AC$150,26,0)</f>
        <v>35.97</v>
      </c>
      <c r="P123" s="20">
        <f t="shared" si="14"/>
        <v>-1.9699999999999989</v>
      </c>
      <c r="Q123" s="20">
        <f t="shared" si="26"/>
        <v>34</v>
      </c>
      <c r="R123" s="15">
        <v>36</v>
      </c>
      <c r="S123" s="21">
        <f>S122+0.01</f>
        <v>0.90000000000000058</v>
      </c>
      <c r="T123" s="21"/>
      <c r="U123" s="22"/>
      <c r="V123" s="24"/>
      <c r="W123" s="24">
        <f t="shared" si="15"/>
        <v>0</v>
      </c>
      <c r="X123" s="24">
        <f t="shared" si="16"/>
        <v>4053983181.3000026</v>
      </c>
      <c r="Y123" s="24">
        <f t="shared" si="17"/>
        <v>0</v>
      </c>
      <c r="Z123" s="24">
        <f t="shared" si="18"/>
        <v>-4053983181.3000026</v>
      </c>
      <c r="AA123" s="25" t="str">
        <f t="shared" si="19"/>
        <v>No se realizó gasto en este corte</v>
      </c>
      <c r="AB123" s="26" t="str">
        <f t="shared" si="20"/>
        <v>Costo eficiente: se está gastando menos de lo presupuestado</v>
      </c>
      <c r="AC123" s="26">
        <f t="shared" si="21"/>
        <v>0</v>
      </c>
      <c r="AD123" s="26" t="str">
        <f t="shared" si="22"/>
        <v>Sin Línea Base</v>
      </c>
      <c r="AE123" s="27">
        <f t="shared" si="23"/>
        <v>0</v>
      </c>
      <c r="AF123" s="27">
        <f t="shared" si="24"/>
        <v>-4504425757</v>
      </c>
      <c r="AG123" s="28" t="str">
        <f>VLOOKUP(Indicador!E130,[1]Diccionario!C$1:AC$150,27,0)</f>
        <v>https://growdatasas.sharepoint.com/:x:/r/sites/Gestiondocumental/Administrativa/GD/Financiera/_layouts/15/Doc.aspx?sourcedoc=%7B753ECAFE-B168-40EE-B86E-63C339FE122B%7D&amp;file=20240607%20FONDO%20ACCION%20MEJORAS%20APLICATIVO%20ASEC%20V5.xlsm&amp;action=default&amp;mobileredirect=true</v>
      </c>
      <c r="AH123" s="28">
        <v>1</v>
      </c>
      <c r="AI123" s="28">
        <v>1</v>
      </c>
      <c r="AJ123" s="28"/>
      <c r="AK123" s="28"/>
    </row>
    <row r="124" spans="1:37" ht="18.75" customHeight="1" x14ac:dyDescent="0.25">
      <c r="A124" s="11">
        <v>2027</v>
      </c>
      <c r="B124" s="12" t="s">
        <v>48</v>
      </c>
      <c r="C124" s="15" t="s">
        <v>115</v>
      </c>
      <c r="D124" s="39">
        <v>45443.82223568287</v>
      </c>
      <c r="E124" s="15" t="s">
        <v>116</v>
      </c>
      <c r="F124" s="15" t="s">
        <v>83</v>
      </c>
      <c r="G124" s="15" t="s">
        <v>117</v>
      </c>
      <c r="H124" s="15" t="s">
        <v>118</v>
      </c>
      <c r="I124" s="15" t="s">
        <v>63</v>
      </c>
      <c r="J124" s="15" t="s">
        <v>119</v>
      </c>
      <c r="K124" s="15" t="s">
        <v>45</v>
      </c>
      <c r="L124" s="17">
        <f>VLOOKUP(E124,[1]Diccionario!C$2:AC$150,22,0)</f>
        <v>4504425757</v>
      </c>
      <c r="M124" s="18">
        <f>VLOOKUP(E124,[1]Diccionario!C$2:AC$150,24,0)</f>
        <v>45439</v>
      </c>
      <c r="N124" s="19">
        <f>VLOOKUP(E124,[1]Diccionario!C$2:AC$150,25,0)</f>
        <v>46533</v>
      </c>
      <c r="O124" s="20">
        <f>VLOOKUP(E124,[1]Diccionario!C$2:AC$150,26,0)</f>
        <v>35.97</v>
      </c>
      <c r="P124" s="20">
        <f t="shared" si="14"/>
        <v>-0.96999999999999886</v>
      </c>
      <c r="Q124" s="20">
        <f t="shared" si="26"/>
        <v>35</v>
      </c>
      <c r="R124" s="15">
        <v>36</v>
      </c>
      <c r="S124" s="21">
        <v>0.95</v>
      </c>
      <c r="T124" s="21"/>
      <c r="U124" s="22"/>
      <c r="V124" s="24"/>
      <c r="W124" s="24">
        <f t="shared" si="15"/>
        <v>0</v>
      </c>
      <c r="X124" s="24">
        <f t="shared" si="16"/>
        <v>4279204469.1499996</v>
      </c>
      <c r="Y124" s="24">
        <f t="shared" si="17"/>
        <v>0</v>
      </c>
      <c r="Z124" s="24">
        <f t="shared" si="18"/>
        <v>-4279204469.1499996</v>
      </c>
      <c r="AA124" s="25" t="str">
        <f t="shared" si="19"/>
        <v>No se realizó gasto en este corte</v>
      </c>
      <c r="AB124" s="26" t="str">
        <f t="shared" si="20"/>
        <v>Costo eficiente: se está gastando menos de lo presupuestado</v>
      </c>
      <c r="AC124" s="26">
        <f t="shared" si="21"/>
        <v>0</v>
      </c>
      <c r="AD124" s="26" t="str">
        <f t="shared" si="22"/>
        <v>Sin Línea Base</v>
      </c>
      <c r="AE124" s="27">
        <f t="shared" si="23"/>
        <v>0</v>
      </c>
      <c r="AF124" s="27">
        <f t="shared" si="24"/>
        <v>-4504425757</v>
      </c>
      <c r="AG124" s="28" t="str">
        <f>VLOOKUP(Indicador!E131,[1]Diccionario!C$1:AC$150,27,0)</f>
        <v>https://growdatasas.sharepoint.com/:x:/r/sites/Gestiondocumental/Administrativa/GD/Financiera/_layouts/15/Doc.aspx?sourcedoc=%7B9AED4F39-5D53-43D6-BACC-397FDB920633%7D&amp;file=20240613%20RUNT_DATAWAREHOUSE_23024V5%20P.xlsm&amp;action=default&amp;mobileredirect=true</v>
      </c>
      <c r="AH124" s="28">
        <v>1</v>
      </c>
      <c r="AI124" s="28">
        <v>1</v>
      </c>
      <c r="AJ124" s="28"/>
      <c r="AK124" s="28"/>
    </row>
    <row r="125" spans="1:37" ht="18.75" customHeight="1" x14ac:dyDescent="0.25">
      <c r="A125" s="11">
        <v>2027</v>
      </c>
      <c r="B125" s="12" t="s">
        <v>49</v>
      </c>
      <c r="C125" s="15" t="s">
        <v>115</v>
      </c>
      <c r="D125" s="39">
        <v>45443.82223568287</v>
      </c>
      <c r="E125" s="15" t="s">
        <v>116</v>
      </c>
      <c r="F125" s="15" t="s">
        <v>83</v>
      </c>
      <c r="G125" s="15" t="s">
        <v>117</v>
      </c>
      <c r="H125" s="15" t="s">
        <v>118</v>
      </c>
      <c r="I125" s="15" t="s">
        <v>63</v>
      </c>
      <c r="J125" s="15" t="s">
        <v>119</v>
      </c>
      <c r="K125" s="15" t="s">
        <v>45</v>
      </c>
      <c r="L125" s="17">
        <f>VLOOKUP(E125,[1]Diccionario!C$2:AC$150,22,0)</f>
        <v>4504425757</v>
      </c>
      <c r="M125" s="18">
        <f>VLOOKUP(E125,[1]Diccionario!C$2:AC$150,24,0)</f>
        <v>45439</v>
      </c>
      <c r="N125" s="19">
        <f>VLOOKUP(E125,[1]Diccionario!C$2:AC$150,25,0)</f>
        <v>46533</v>
      </c>
      <c r="O125" s="20">
        <f>VLOOKUP(E125,[1]Diccionario!C$2:AC$150,26,0)</f>
        <v>35.97</v>
      </c>
      <c r="P125" s="20">
        <f t="shared" si="14"/>
        <v>3.0000000000001137E-2</v>
      </c>
      <c r="Q125" s="20">
        <f t="shared" si="26"/>
        <v>36</v>
      </c>
      <c r="R125" s="15">
        <v>36</v>
      </c>
      <c r="S125" s="21">
        <v>0.98</v>
      </c>
      <c r="T125" s="21"/>
      <c r="U125" s="22"/>
      <c r="V125" s="24"/>
      <c r="W125" s="24">
        <f t="shared" si="15"/>
        <v>0</v>
      </c>
      <c r="X125" s="24">
        <f t="shared" si="16"/>
        <v>4414337241.8599997</v>
      </c>
      <c r="Y125" s="24">
        <f t="shared" si="17"/>
        <v>0</v>
      </c>
      <c r="Z125" s="24">
        <f t="shared" si="18"/>
        <v>-4414337241.8599997</v>
      </c>
      <c r="AA125" s="25" t="str">
        <f t="shared" si="19"/>
        <v>No se realizó gasto en este corte</v>
      </c>
      <c r="AB125" s="26" t="str">
        <f t="shared" si="20"/>
        <v>Costo eficiente: se está gastando menos de lo presupuestado</v>
      </c>
      <c r="AC125" s="26">
        <f t="shared" si="21"/>
        <v>0</v>
      </c>
      <c r="AD125" s="26" t="str">
        <f t="shared" si="22"/>
        <v>Sin Línea Base</v>
      </c>
      <c r="AE125" s="27">
        <f t="shared" si="23"/>
        <v>0</v>
      </c>
      <c r="AF125" s="27">
        <f t="shared" si="24"/>
        <v>-4504425757</v>
      </c>
      <c r="AG125" s="28" t="str">
        <f>VLOOKUP(Indicador!E132,[1]Diccionario!C$1:AC$150,27,0)</f>
        <v>https://growdatasas.sharepoint.com/:x:/r/sites/Gestiondocumental/Administrativa/GD/Financiera/_layouts/15/Doc.aspx?sourcedoc=%7B9AED4F39-5D53-43D6-BACC-397FDB920633%7D&amp;file=20240613%20RUNT_DATAWAREHOUSE_23024V5%20P.xlsm&amp;action=default&amp;mobileredirect=true</v>
      </c>
      <c r="AH125" s="28">
        <v>1</v>
      </c>
      <c r="AI125" s="28">
        <v>1</v>
      </c>
      <c r="AJ125" s="28"/>
      <c r="AK125" s="28"/>
    </row>
    <row r="126" spans="1:37" ht="18.75" customHeight="1" x14ac:dyDescent="0.25">
      <c r="A126" s="11">
        <v>2027</v>
      </c>
      <c r="B126" s="12" t="s">
        <v>50</v>
      </c>
      <c r="C126" s="15" t="s">
        <v>115</v>
      </c>
      <c r="D126" s="39">
        <v>45443.82223568287</v>
      </c>
      <c r="E126" s="15" t="s">
        <v>116</v>
      </c>
      <c r="F126" s="15" t="s">
        <v>83</v>
      </c>
      <c r="G126" s="15" t="s">
        <v>117</v>
      </c>
      <c r="H126" s="15" t="s">
        <v>118</v>
      </c>
      <c r="I126" s="15" t="s">
        <v>63</v>
      </c>
      <c r="J126" s="15" t="s">
        <v>119</v>
      </c>
      <c r="K126" s="15" t="s">
        <v>45</v>
      </c>
      <c r="L126" s="17">
        <f>VLOOKUP(E126,[1]Diccionario!C$2:AC$150,22,0)</f>
        <v>4504425757</v>
      </c>
      <c r="M126" s="18">
        <f>VLOOKUP(E126,[1]Diccionario!C$2:AC$150,24,0)</f>
        <v>45439</v>
      </c>
      <c r="N126" s="19">
        <f>VLOOKUP(E126,[1]Diccionario!C$2:AC$150,25,0)</f>
        <v>46533</v>
      </c>
      <c r="O126" s="20">
        <f>VLOOKUP(E126,[1]Diccionario!C$2:AC$150,26,0)</f>
        <v>35.97</v>
      </c>
      <c r="P126" s="20">
        <f t="shared" si="14"/>
        <v>1.0300000000000011</v>
      </c>
      <c r="Q126" s="20">
        <f t="shared" si="26"/>
        <v>37</v>
      </c>
      <c r="R126" s="15">
        <v>36</v>
      </c>
      <c r="S126" s="21">
        <v>1</v>
      </c>
      <c r="T126" s="21"/>
      <c r="U126" s="22"/>
      <c r="V126" s="24"/>
      <c r="W126" s="24">
        <f t="shared" si="15"/>
        <v>0</v>
      </c>
      <c r="X126" s="24">
        <f t="shared" si="16"/>
        <v>4504425757</v>
      </c>
      <c r="Y126" s="24">
        <f t="shared" si="17"/>
        <v>0</v>
      </c>
      <c r="Z126" s="24">
        <f t="shared" si="18"/>
        <v>-4504425757</v>
      </c>
      <c r="AA126" s="25" t="str">
        <f t="shared" si="19"/>
        <v>No se realizó gasto en este corte</v>
      </c>
      <c r="AB126" s="26" t="str">
        <f t="shared" si="20"/>
        <v>Costo eficiente: se está gastando menos de lo presupuestado</v>
      </c>
      <c r="AC126" s="26">
        <f t="shared" si="21"/>
        <v>0</v>
      </c>
      <c r="AD126" s="26" t="str">
        <f t="shared" si="22"/>
        <v>Sin Línea Base</v>
      </c>
      <c r="AE126" s="27">
        <f t="shared" si="23"/>
        <v>0</v>
      </c>
      <c r="AF126" s="27">
        <f t="shared" si="24"/>
        <v>-4504425757</v>
      </c>
      <c r="AG126" s="28" t="str">
        <f>VLOOKUP(Indicador!E133,[1]Diccionario!C$1:AC$150,27,0)</f>
        <v>https://growdatasas.sharepoint.com/:x:/r/sites/Gestiondocumental/Administrativa/GD/Financiera/_layouts/15/Doc.aspx?sourcedoc=%7B9AED4F39-5D53-43D6-BACC-397FDB920633%7D&amp;file=20240613%20RUNT_DATAWAREHOUSE_23024V5%20P.xlsm&amp;action=default&amp;mobileredirect=true</v>
      </c>
      <c r="AH126" s="28">
        <v>1</v>
      </c>
      <c r="AI126" s="28">
        <v>1</v>
      </c>
      <c r="AJ126" s="28"/>
      <c r="AK126" s="28"/>
    </row>
    <row r="127" spans="1:37" ht="18.75" customHeight="1" x14ac:dyDescent="0.25">
      <c r="A127" s="11">
        <v>2024</v>
      </c>
      <c r="B127" s="12" t="s">
        <v>51</v>
      </c>
      <c r="C127" s="15" t="s">
        <v>120</v>
      </c>
      <c r="D127" s="39">
        <v>45447.56342175926</v>
      </c>
      <c r="E127" s="15" t="s">
        <v>121</v>
      </c>
      <c r="F127" s="15" t="s">
        <v>122</v>
      </c>
      <c r="G127" s="15" t="s">
        <v>123</v>
      </c>
      <c r="H127" s="15" t="s">
        <v>124</v>
      </c>
      <c r="I127" s="15" t="s">
        <v>78</v>
      </c>
      <c r="J127" s="15" t="s">
        <v>125</v>
      </c>
      <c r="K127" s="15" t="s">
        <v>126</v>
      </c>
      <c r="L127" s="17">
        <f>VLOOKUP(E127,[1]Diccionario!C$2:AC$150,22,0)</f>
        <v>50362370</v>
      </c>
      <c r="M127" s="18">
        <f>VLOOKUP(E127,[1]Diccionario!C$2:AC$150,24,0)</f>
        <v>45444</v>
      </c>
      <c r="N127" s="19">
        <f>VLOOKUP(E127,[1]Diccionario!C$2:AC$150,25,0)</f>
        <v>45503</v>
      </c>
      <c r="O127" s="20">
        <f>VLOOKUP(E127,[1]Diccionario!C$2:AC$150,26,0)</f>
        <v>1.97</v>
      </c>
      <c r="P127" s="20">
        <f t="shared" si="14"/>
        <v>-0.97</v>
      </c>
      <c r="Q127" s="20">
        <v>1</v>
      </c>
      <c r="R127" s="15">
        <v>2</v>
      </c>
      <c r="S127" s="21">
        <v>0.5</v>
      </c>
      <c r="T127" s="21">
        <v>0.5</v>
      </c>
      <c r="U127" s="22"/>
      <c r="V127" s="24"/>
      <c r="W127" s="24">
        <f t="shared" si="15"/>
        <v>25181185</v>
      </c>
      <c r="X127" s="24">
        <f t="shared" si="16"/>
        <v>25181185</v>
      </c>
      <c r="Y127" s="24">
        <f t="shared" si="17"/>
        <v>25181185</v>
      </c>
      <c r="Z127" s="24">
        <f t="shared" si="18"/>
        <v>0</v>
      </c>
      <c r="AA127" s="25" t="str">
        <f t="shared" si="19"/>
        <v>No se realizó gasto en este corte</v>
      </c>
      <c r="AB127" s="26" t="str">
        <f t="shared" si="20"/>
        <v>Costo eficiente: se está gastando menos de lo presupuestado</v>
      </c>
      <c r="AC127" s="26">
        <f t="shared" si="21"/>
        <v>1</v>
      </c>
      <c r="AD127" s="26" t="str">
        <f t="shared" si="22"/>
        <v>Proyecto a tiempo según lo planificado</v>
      </c>
      <c r="AE127" s="27">
        <f t="shared" si="23"/>
        <v>0</v>
      </c>
      <c r="AF127" s="27">
        <f t="shared" si="24"/>
        <v>-50362370</v>
      </c>
      <c r="AG127" s="28" t="str">
        <f>VLOOKUP(Indicador!E140,[1]Diccionario!C$1:AC$150,27,0)</f>
        <v>https://growdatasas.sharepoint.com/:x:/r/sites/Gestiondocumental/Administrativa/GD/Financiera/_layouts/15/Doc.aspx?sourcedoc=%7B3ECBF673-32CF-4911-B729-AC56604B4A34%7D&amp;file=25062024%20MODELO%20FINANCIERO%20REFERENCIA%20V7_RUNT.xlsm&amp;action=default&amp;mobileredirect=true</v>
      </c>
      <c r="AH127" s="28">
        <v>1</v>
      </c>
      <c r="AI127" s="28">
        <v>1</v>
      </c>
      <c r="AJ127" s="28"/>
      <c r="AK127" s="28"/>
    </row>
    <row r="128" spans="1:37" ht="18.75" customHeight="1" x14ac:dyDescent="0.25">
      <c r="A128" s="11">
        <v>2024</v>
      </c>
      <c r="B128" s="12" t="s">
        <v>52</v>
      </c>
      <c r="C128" s="15" t="s">
        <v>120</v>
      </c>
      <c r="D128" s="39">
        <v>45447.56342175926</v>
      </c>
      <c r="E128" s="15" t="s">
        <v>121</v>
      </c>
      <c r="F128" s="15" t="s">
        <v>122</v>
      </c>
      <c r="G128" s="15" t="s">
        <v>123</v>
      </c>
      <c r="H128" s="15" t="s">
        <v>124</v>
      </c>
      <c r="I128" s="15" t="s">
        <v>78</v>
      </c>
      <c r="J128" s="15" t="s">
        <v>125</v>
      </c>
      <c r="K128" s="15" t="s">
        <v>126</v>
      </c>
      <c r="L128" s="17">
        <f>VLOOKUP(E128,[1]Diccionario!C$2:AC$150,22,0)</f>
        <v>50362370</v>
      </c>
      <c r="M128" s="18">
        <f>VLOOKUP(E128,[1]Diccionario!C$2:AC$150,24,0)</f>
        <v>45444</v>
      </c>
      <c r="N128" s="19">
        <f>VLOOKUP(E128,[1]Diccionario!C$2:AC$150,25,0)</f>
        <v>45503</v>
      </c>
      <c r="O128" s="20">
        <f>VLOOKUP(E128,[1]Diccionario!C$2:AC$150,26,0)</f>
        <v>1.97</v>
      </c>
      <c r="P128" s="20">
        <f t="shared" si="14"/>
        <v>3.0000000000000027E-2</v>
      </c>
      <c r="Q128" s="20">
        <v>2</v>
      </c>
      <c r="R128" s="15">
        <v>2</v>
      </c>
      <c r="S128" s="21">
        <v>1</v>
      </c>
      <c r="T128" s="21">
        <v>1</v>
      </c>
      <c r="U128" s="22"/>
      <c r="V128" s="24"/>
      <c r="W128" s="24">
        <f t="shared" si="15"/>
        <v>50362370</v>
      </c>
      <c r="X128" s="24">
        <f t="shared" si="16"/>
        <v>50362370</v>
      </c>
      <c r="Y128" s="24">
        <f t="shared" si="17"/>
        <v>50362370</v>
      </c>
      <c r="Z128" s="24">
        <f t="shared" si="18"/>
        <v>0</v>
      </c>
      <c r="AA128" s="25" t="str">
        <f t="shared" si="19"/>
        <v>No se realizó gasto en este corte</v>
      </c>
      <c r="AB128" s="26" t="str">
        <f t="shared" si="20"/>
        <v>Costo eficiente: se está gastando menos de lo presupuestado</v>
      </c>
      <c r="AC128" s="26">
        <f t="shared" si="21"/>
        <v>1</v>
      </c>
      <c r="AD128" s="26" t="str">
        <f t="shared" si="22"/>
        <v>Proyecto a tiempo según lo planificado</v>
      </c>
      <c r="AE128" s="27">
        <f t="shared" si="23"/>
        <v>0</v>
      </c>
      <c r="AF128" s="27">
        <f t="shared" si="24"/>
        <v>-50362370</v>
      </c>
      <c r="AG128" s="28" t="str">
        <f>VLOOKUP(Indicador!E141,[1]Diccionario!C$1:AC$150,27,0)</f>
        <v>https://growdatasas.sharepoint.com/:x:/r/sites/Gestiondocumental/Administrativa/GD/Financiera/_layouts/15/Doc.aspx?sourcedoc=%7B90300F8C-6F13-418B-97E4-626034BE9C0E%7D&amp;file=MODELO%20FINANCIERO%20REFERENCIA%20V7-INM_V1.0%20-%20500M.xlsm&amp;action=default&amp;mobileredirect=true</v>
      </c>
      <c r="AH128" s="28">
        <v>1</v>
      </c>
      <c r="AI128" s="28">
        <v>1</v>
      </c>
      <c r="AJ128" s="28"/>
      <c r="AK128" s="28"/>
    </row>
    <row r="129" spans="1:37" ht="18.75" customHeight="1" x14ac:dyDescent="0.25">
      <c r="A129" s="11">
        <v>2024</v>
      </c>
      <c r="B129" s="12" t="s">
        <v>51</v>
      </c>
      <c r="C129" s="15" t="s">
        <v>127</v>
      </c>
      <c r="D129" s="39">
        <v>45462.979481215276</v>
      </c>
      <c r="E129" s="15" t="s">
        <v>128</v>
      </c>
      <c r="F129" s="15" t="s">
        <v>60</v>
      </c>
      <c r="G129" s="15" t="s">
        <v>129</v>
      </c>
      <c r="H129" s="15" t="s">
        <v>130</v>
      </c>
      <c r="I129" s="15" t="s">
        <v>43</v>
      </c>
      <c r="J129" s="15" t="s">
        <v>131</v>
      </c>
      <c r="K129" s="15" t="s">
        <v>80</v>
      </c>
      <c r="L129" s="17">
        <f>VLOOKUP(E129,[1]Diccionario!C$2:AC$150,22,0)</f>
        <v>63538000</v>
      </c>
      <c r="M129" s="18">
        <f>VLOOKUP(E129,[1]Diccionario!C$2:AC$150,24,0)</f>
        <v>45450</v>
      </c>
      <c r="N129" s="19">
        <f>VLOOKUP(E129,[1]Diccionario!C$2:AC$150,25,0)</f>
        <v>45510</v>
      </c>
      <c r="O129" s="20">
        <f>VLOOKUP(E129,[1]Diccionario!C$2:AC$150,26,0)</f>
        <v>1.97</v>
      </c>
      <c r="P129" s="20">
        <f t="shared" si="14"/>
        <v>-0.97</v>
      </c>
      <c r="Q129" s="20">
        <v>1</v>
      </c>
      <c r="R129" s="15">
        <v>3</v>
      </c>
      <c r="S129" s="21">
        <v>0.25</v>
      </c>
      <c r="T129" s="21">
        <v>0.3</v>
      </c>
      <c r="U129" s="22"/>
      <c r="V129" s="24"/>
      <c r="W129" s="24">
        <f t="shared" si="15"/>
        <v>19061400</v>
      </c>
      <c r="X129" s="24">
        <f t="shared" si="16"/>
        <v>15884500</v>
      </c>
      <c r="Y129" s="24">
        <f t="shared" si="17"/>
        <v>19061400</v>
      </c>
      <c r="Z129" s="24">
        <f t="shared" si="18"/>
        <v>3176900</v>
      </c>
      <c r="AA129" s="25" t="str">
        <f t="shared" si="19"/>
        <v>No se realizó gasto en este corte</v>
      </c>
      <c r="AB129" s="26" t="str">
        <f t="shared" si="20"/>
        <v>Costo eficiente: se está gastando menos de lo presupuestado</v>
      </c>
      <c r="AC129" s="26">
        <f t="shared" si="21"/>
        <v>1.2</v>
      </c>
      <c r="AD129" s="26" t="str">
        <f t="shared" si="22"/>
        <v>Proyecto adelantado respecto al cronograma</v>
      </c>
      <c r="AE129" s="27">
        <f t="shared" si="23"/>
        <v>0</v>
      </c>
      <c r="AF129" s="27">
        <f t="shared" si="24"/>
        <v>-63538000</v>
      </c>
      <c r="AG129" s="28" t="str">
        <f>VLOOKUP(Indicador!E142,[1]Diccionario!C$1:AC$150,27,0)</f>
        <v>https://growdatasas.sharepoint.com/:x:/r/sites/Gestiondocumental/Administrativa/GD/Financiera/_layouts/15/Doc.aspx?sourcedoc=%7B90300F8C-6F13-418B-97E4-626034BE9C0E%7D&amp;file=MODELO%20FINANCIERO%20REFERENCIA%20V7-INM_V1.0%20-%20500M.xlsm&amp;action=default&amp;mobileredirect=true</v>
      </c>
      <c r="AH129" s="28">
        <v>1</v>
      </c>
      <c r="AI129" s="28">
        <v>1</v>
      </c>
      <c r="AJ129" s="28"/>
      <c r="AK129" s="28"/>
    </row>
    <row r="130" spans="1:37" ht="18.75" customHeight="1" x14ac:dyDescent="0.25">
      <c r="A130" s="11">
        <v>2024</v>
      </c>
      <c r="B130" s="12" t="s">
        <v>52</v>
      </c>
      <c r="C130" s="15" t="s">
        <v>127</v>
      </c>
      <c r="D130" s="39">
        <v>45462.979481215276</v>
      </c>
      <c r="E130" s="15" t="s">
        <v>128</v>
      </c>
      <c r="F130" s="15" t="s">
        <v>60</v>
      </c>
      <c r="G130" s="15" t="s">
        <v>129</v>
      </c>
      <c r="H130" s="15" t="s">
        <v>130</v>
      </c>
      <c r="I130" s="15" t="s">
        <v>43</v>
      </c>
      <c r="J130" s="15" t="s">
        <v>131</v>
      </c>
      <c r="K130" s="15" t="s">
        <v>80</v>
      </c>
      <c r="L130" s="17">
        <f>VLOOKUP(E130,[1]Diccionario!C$2:AC$150,22,0)</f>
        <v>63538000</v>
      </c>
      <c r="M130" s="18">
        <f>VLOOKUP(E130,[1]Diccionario!C$2:AC$150,24,0)</f>
        <v>45450</v>
      </c>
      <c r="N130" s="19">
        <f>VLOOKUP(E130,[1]Diccionario!C$2:AC$150,25,0)</f>
        <v>45510</v>
      </c>
      <c r="O130" s="20">
        <f>VLOOKUP(E130,[1]Diccionario!C$2:AC$150,26,0)</f>
        <v>1.97</v>
      </c>
      <c r="P130" s="20">
        <f t="shared" ref="P130:P193" si="28">Q130-O130</f>
        <v>3.0000000000000027E-2</v>
      </c>
      <c r="Q130" s="20">
        <v>2</v>
      </c>
      <c r="R130" s="15">
        <v>3</v>
      </c>
      <c r="S130" s="21">
        <v>0.5</v>
      </c>
      <c r="T130" s="21">
        <v>0.6</v>
      </c>
      <c r="U130" s="22"/>
      <c r="V130" s="24"/>
      <c r="W130" s="24">
        <f t="shared" ref="W130:W193" si="29">IFERROR(T130*L130,0)</f>
        <v>38122800</v>
      </c>
      <c r="X130" s="24">
        <f t="shared" ref="X130:X193" si="30">S130*L130</f>
        <v>31769000</v>
      </c>
      <c r="Y130" s="24">
        <f t="shared" ref="Y130:Y193" si="31">IFERROR(W130-U130,0)</f>
        <v>38122800</v>
      </c>
      <c r="Z130" s="24">
        <f t="shared" ref="Z130:Z193" si="32">W130-X130</f>
        <v>6353800</v>
      </c>
      <c r="AA130" s="25" t="str">
        <f t="shared" ref="AA130:AA193" si="33">IFERROR(W130/U130,"No se realizó gasto en este corte")</f>
        <v>No se realizó gasto en este corte</v>
      </c>
      <c r="AB130" s="26" t="str">
        <f t="shared" ref="AB130:AB193" si="34">IFERROR(
  IF(OR(AA130="",AA130=0),
    "No calculado",
    IF(AA130&gt;1,"Costo eficiente: se está gastando menos de lo presupuestado",
      IF(AA130=1,"Costo según lo presupuestado",
        "Costo ineficiente: se está gastando más de lo presupuestado"))),
"No calculado")</f>
        <v>Costo eficiente: se está gastando menos de lo presupuestado</v>
      </c>
      <c r="AC130" s="26">
        <f t="shared" ref="AC130:AC193" si="35">IFERROR(W130/X130,0)</f>
        <v>1.2</v>
      </c>
      <c r="AD130" s="26" t="str">
        <f t="shared" ref="AD130:AD193" si="36">IF(OR(AC130="",AC130=0),"Sin Línea Base",
IF(AC130&gt;1,"Proyecto adelantado respecto al cronograma",
IF(AC130=1,"Proyecto a tiempo según lo planificado",
IF(AC130&lt;1,"Proyecto atrasado con respecto al cronograma",
"No calculado"))))</f>
        <v>Proyecto adelantado respecto al cronograma</v>
      </c>
      <c r="AE130" s="27">
        <f t="shared" ref="AE130:AE193" si="37">IFERROR(L130/AA130,0)</f>
        <v>0</v>
      </c>
      <c r="AF130" s="27">
        <f t="shared" ref="AF130:AF193" si="38">IFERROR(AE130-L130,0)</f>
        <v>-63538000</v>
      </c>
      <c r="AG130" s="28" t="str">
        <f>VLOOKUP(Indicador!E143,[1]Diccionario!C$1:AC$150,27,0)</f>
        <v>https://growdatasas.sharepoint.com/:x:/r/sites/Gestiondocumental/Administrativa/GD/Financiera/_layouts/15/Doc.aspx?sourcedoc=%7B90300F8C-6F13-418B-97E4-626034BE9C0E%7D&amp;file=MODELO%20FINANCIERO%20REFERENCIA%20V7-INM_V1.0%20-%20500M.xlsm&amp;action=default&amp;mobileredirect=true</v>
      </c>
      <c r="AH130" s="28">
        <v>1</v>
      </c>
      <c r="AI130" s="28">
        <v>1</v>
      </c>
      <c r="AJ130" s="28"/>
      <c r="AK130" s="28"/>
    </row>
    <row r="131" spans="1:37" ht="18.75" customHeight="1" x14ac:dyDescent="0.25">
      <c r="A131" s="11">
        <v>2024</v>
      </c>
      <c r="B131" s="12" t="s">
        <v>51</v>
      </c>
      <c r="C131" s="15" t="s">
        <v>132</v>
      </c>
      <c r="D131" s="39">
        <v>45481.633806909726</v>
      </c>
      <c r="E131" s="15" t="s">
        <v>133</v>
      </c>
      <c r="F131" s="15" t="s">
        <v>134</v>
      </c>
      <c r="G131" s="15" t="s">
        <v>135</v>
      </c>
      <c r="H131" s="15" t="s">
        <v>136</v>
      </c>
      <c r="I131" s="15" t="s">
        <v>43</v>
      </c>
      <c r="J131" s="15" t="s">
        <v>137</v>
      </c>
      <c r="K131" s="15" t="s">
        <v>80</v>
      </c>
      <c r="L131" s="17">
        <f>VLOOKUP(E131,[1]Diccionario!C$2:AC$150,22,0)</f>
        <v>234252949</v>
      </c>
      <c r="M131" s="18">
        <f>VLOOKUP(E131,[1]Diccionario!C$2:AC$150,24,0)</f>
        <v>45456</v>
      </c>
      <c r="N131" s="19">
        <f>VLOOKUP(E131,[1]Diccionario!C$2:AC$150,25,0)</f>
        <v>45503</v>
      </c>
      <c r="O131" s="20">
        <f>VLOOKUP(E131,[1]Diccionario!C$2:AC$150,26,0)</f>
        <v>1.57</v>
      </c>
      <c r="P131" s="20">
        <f t="shared" si="28"/>
        <v>-0.57000000000000006</v>
      </c>
      <c r="Q131" s="20">
        <v>1</v>
      </c>
      <c r="R131" s="15">
        <v>2</v>
      </c>
      <c r="S131" s="21">
        <v>0.5</v>
      </c>
      <c r="T131" s="21">
        <v>0.25</v>
      </c>
      <c r="U131" s="22"/>
      <c r="V131" s="24"/>
      <c r="W131" s="24">
        <f t="shared" si="29"/>
        <v>58563237.25</v>
      </c>
      <c r="X131" s="24">
        <f t="shared" si="30"/>
        <v>117126474.5</v>
      </c>
      <c r="Y131" s="24">
        <f t="shared" si="31"/>
        <v>58563237.25</v>
      </c>
      <c r="Z131" s="24">
        <f t="shared" si="32"/>
        <v>-58563237.25</v>
      </c>
      <c r="AA131" s="25" t="str">
        <f t="shared" si="33"/>
        <v>No se realizó gasto en este corte</v>
      </c>
      <c r="AB131" s="26" t="str">
        <f t="shared" si="34"/>
        <v>Costo eficiente: se está gastando menos de lo presupuestado</v>
      </c>
      <c r="AC131" s="26">
        <f t="shared" si="35"/>
        <v>0.5</v>
      </c>
      <c r="AD131" s="26" t="str">
        <f t="shared" si="36"/>
        <v>Proyecto atrasado con respecto al cronograma</v>
      </c>
      <c r="AE131" s="27">
        <f t="shared" si="37"/>
        <v>0</v>
      </c>
      <c r="AF131" s="27">
        <f t="shared" si="38"/>
        <v>-234252949</v>
      </c>
      <c r="AG131" s="28" t="str">
        <f>VLOOKUP(Indicador!E144,[1]Diccionario!C$1:AC$150,27,0)</f>
        <v>https://growdatasas.sharepoint.com/:x:/r/sites/Gestiondocumental/Administrativa/GD/Financiera/_layouts/15/Doc.aspx?sourcedoc=%7B90300F8C-6F13-418B-97E4-626034BE9C0E%7D&amp;file=MODELO%20FINANCIERO%20REFERENCIA%20V7-INM_V1.0%20-%20500M.xlsm&amp;action=default&amp;mobileredirect=true</v>
      </c>
      <c r="AH131" s="28">
        <v>1</v>
      </c>
      <c r="AI131" s="28">
        <v>1</v>
      </c>
      <c r="AJ131" s="28"/>
      <c r="AK131" s="28"/>
    </row>
    <row r="132" spans="1:37" ht="18.75" customHeight="1" x14ac:dyDescent="0.25">
      <c r="A132" s="11">
        <v>2024</v>
      </c>
      <c r="B132" s="12" t="s">
        <v>52</v>
      </c>
      <c r="C132" s="15" t="s">
        <v>132</v>
      </c>
      <c r="D132" s="39">
        <v>45481.633806909726</v>
      </c>
      <c r="E132" s="15" t="s">
        <v>133</v>
      </c>
      <c r="F132" s="15" t="s">
        <v>134</v>
      </c>
      <c r="G132" s="15" t="s">
        <v>135</v>
      </c>
      <c r="H132" s="15" t="s">
        <v>136</v>
      </c>
      <c r="I132" s="15" t="s">
        <v>43</v>
      </c>
      <c r="J132" s="15" t="s">
        <v>137</v>
      </c>
      <c r="K132" s="15" t="s">
        <v>80</v>
      </c>
      <c r="L132" s="17">
        <f>VLOOKUP(E132,[1]Diccionario!C$2:AC$150,22,0)</f>
        <v>234252949</v>
      </c>
      <c r="M132" s="18">
        <f>VLOOKUP(E132,[1]Diccionario!C$2:AC$150,24,0)</f>
        <v>45456</v>
      </c>
      <c r="N132" s="19">
        <f>VLOOKUP(E132,[1]Diccionario!C$2:AC$150,25,0)</f>
        <v>45503</v>
      </c>
      <c r="O132" s="20">
        <f>VLOOKUP(E132,[1]Diccionario!C$2:AC$150,26,0)</f>
        <v>1.57</v>
      </c>
      <c r="P132" s="20">
        <f t="shared" si="28"/>
        <v>0.42999999999999994</v>
      </c>
      <c r="Q132" s="20">
        <v>2</v>
      </c>
      <c r="R132" s="15">
        <v>2</v>
      </c>
      <c r="S132" s="21">
        <v>1</v>
      </c>
      <c r="T132" s="21">
        <v>0.5</v>
      </c>
      <c r="U132" s="22"/>
      <c r="V132" s="24"/>
      <c r="W132" s="24">
        <f t="shared" si="29"/>
        <v>117126474.5</v>
      </c>
      <c r="X132" s="24">
        <f t="shared" si="30"/>
        <v>234252949</v>
      </c>
      <c r="Y132" s="24">
        <f t="shared" si="31"/>
        <v>117126474.5</v>
      </c>
      <c r="Z132" s="24">
        <f t="shared" si="32"/>
        <v>-117126474.5</v>
      </c>
      <c r="AA132" s="25" t="str">
        <f t="shared" si="33"/>
        <v>No se realizó gasto en este corte</v>
      </c>
      <c r="AB132" s="26" t="str">
        <f t="shared" si="34"/>
        <v>Costo eficiente: se está gastando menos de lo presupuestado</v>
      </c>
      <c r="AC132" s="26">
        <f t="shared" si="35"/>
        <v>0.5</v>
      </c>
      <c r="AD132" s="26" t="str">
        <f t="shared" si="36"/>
        <v>Proyecto atrasado con respecto al cronograma</v>
      </c>
      <c r="AE132" s="27">
        <f t="shared" si="37"/>
        <v>0</v>
      </c>
      <c r="AF132" s="27">
        <f t="shared" si="38"/>
        <v>-234252949</v>
      </c>
      <c r="AG132" s="28" t="str">
        <f>VLOOKUP(Indicador!E145,[1]Diccionario!C$1:AC$150,27,0)</f>
        <v>https://growdatasas.sharepoint.com/:x:/r/sites/Gestiondocumental/Administrativa/GD/Financiera/_layouts/15/Doc.aspx?sourcedoc=%7B90300F8C-6F13-418B-97E4-626034BE9C0E%7D&amp;file=MODELO%20FINANCIERO%20REFERENCIA%20V7-INM_V1.0%20-%20500M.xlsm&amp;action=default&amp;mobileredirect=true</v>
      </c>
      <c r="AH132" s="28">
        <v>1</v>
      </c>
      <c r="AI132" s="28">
        <v>1</v>
      </c>
      <c r="AJ132" s="28"/>
      <c r="AK132" s="28"/>
    </row>
    <row r="133" spans="1:37" ht="18.75" customHeight="1" x14ac:dyDescent="0.25">
      <c r="A133" s="11">
        <v>2024</v>
      </c>
      <c r="B133" s="12" t="s">
        <v>52</v>
      </c>
      <c r="C133" s="15" t="s">
        <v>132</v>
      </c>
      <c r="D133" s="39">
        <v>45481.633806909726</v>
      </c>
      <c r="E133" s="15" t="s">
        <v>133</v>
      </c>
      <c r="F133" s="15" t="s">
        <v>134</v>
      </c>
      <c r="G133" s="15" t="s">
        <v>135</v>
      </c>
      <c r="H133" s="15" t="s">
        <v>136</v>
      </c>
      <c r="I133" s="15" t="s">
        <v>43</v>
      </c>
      <c r="J133" s="15" t="s">
        <v>137</v>
      </c>
      <c r="K133" s="15" t="s">
        <v>80</v>
      </c>
      <c r="L133" s="17">
        <f>VLOOKUP(E133,[1]Diccionario!C$2:AC$150,22,0)</f>
        <v>234252949</v>
      </c>
      <c r="M133" s="18">
        <f>VLOOKUP(E133,[1]Diccionario!C$2:AC$150,24,0)</f>
        <v>45456</v>
      </c>
      <c r="N133" s="19">
        <f>VLOOKUP(E133,[1]Diccionario!C$2:AC$150,25,0)</f>
        <v>45503</v>
      </c>
      <c r="O133" s="20">
        <f>VLOOKUP(E133,[1]Diccionario!C$2:AC$150,26,0)</f>
        <v>1.57</v>
      </c>
      <c r="P133" s="20">
        <f t="shared" si="28"/>
        <v>1.43</v>
      </c>
      <c r="Q133" s="20">
        <v>3</v>
      </c>
      <c r="R133" s="15">
        <v>2</v>
      </c>
      <c r="S133" s="21">
        <v>1</v>
      </c>
      <c r="T133" s="21">
        <v>0.75</v>
      </c>
      <c r="U133" s="22"/>
      <c r="V133" s="24"/>
      <c r="W133" s="24">
        <f t="shared" si="29"/>
        <v>175689711.75</v>
      </c>
      <c r="X133" s="24">
        <f t="shared" si="30"/>
        <v>234252949</v>
      </c>
      <c r="Y133" s="24">
        <f t="shared" si="31"/>
        <v>175689711.75</v>
      </c>
      <c r="Z133" s="24">
        <f t="shared" si="32"/>
        <v>-58563237.25</v>
      </c>
      <c r="AA133" s="25" t="str">
        <f t="shared" si="33"/>
        <v>No se realizó gasto en este corte</v>
      </c>
      <c r="AB133" s="26" t="str">
        <f t="shared" si="34"/>
        <v>Costo eficiente: se está gastando menos de lo presupuestado</v>
      </c>
      <c r="AC133" s="26">
        <f t="shared" si="35"/>
        <v>0.75</v>
      </c>
      <c r="AD133" s="26" t="str">
        <f t="shared" si="36"/>
        <v>Proyecto atrasado con respecto al cronograma</v>
      </c>
      <c r="AE133" s="27">
        <f t="shared" si="37"/>
        <v>0</v>
      </c>
      <c r="AF133" s="27">
        <f t="shared" si="38"/>
        <v>-234252949</v>
      </c>
      <c r="AG133" s="28" t="str">
        <f>VLOOKUP(Indicador!E146,[1]Diccionario!C$1:AC$150,27,0)</f>
        <v>https://growdatasas.sharepoint.com/:x:/r/sites/Gestiondocumental/Administrativa/GD/Financiera/_layouts/15/Doc.aspx?sourcedoc=%7BE4604918-6887-44A1-B732-65186E485C0C%7D&amp;file=V7_UTPASTO_20240321%20-%20VERSION%202.xlsm&amp;action=default&amp;mobileredirect=true</v>
      </c>
      <c r="AH133" s="28">
        <v>1</v>
      </c>
      <c r="AI133" s="28">
        <v>1</v>
      </c>
      <c r="AJ133" s="28"/>
      <c r="AK133" s="28"/>
    </row>
    <row r="134" spans="1:37" ht="18.75" customHeight="1" x14ac:dyDescent="0.25">
      <c r="A134" s="11">
        <v>2024</v>
      </c>
      <c r="B134" s="12" t="s">
        <v>52</v>
      </c>
      <c r="C134" s="15" t="s">
        <v>132</v>
      </c>
      <c r="D134" s="39">
        <v>45481.633806909726</v>
      </c>
      <c r="E134" s="15" t="s">
        <v>133</v>
      </c>
      <c r="F134" s="15" t="s">
        <v>134</v>
      </c>
      <c r="G134" s="15" t="s">
        <v>135</v>
      </c>
      <c r="H134" s="15" t="s">
        <v>136</v>
      </c>
      <c r="I134" s="15" t="s">
        <v>43</v>
      </c>
      <c r="J134" s="15" t="s">
        <v>137</v>
      </c>
      <c r="K134" s="15" t="s">
        <v>80</v>
      </c>
      <c r="L134" s="17">
        <f>VLOOKUP(E134,[1]Diccionario!C$2:AC$150,22,0)</f>
        <v>234252949</v>
      </c>
      <c r="M134" s="18">
        <f>VLOOKUP(E134,[1]Diccionario!C$2:AC$150,24,0)</f>
        <v>45456</v>
      </c>
      <c r="N134" s="19">
        <f>VLOOKUP(E134,[1]Diccionario!C$2:AC$150,25,0)</f>
        <v>45503</v>
      </c>
      <c r="O134" s="20">
        <f>VLOOKUP(E134,[1]Diccionario!C$2:AC$150,26,0)</f>
        <v>1.57</v>
      </c>
      <c r="P134" s="20">
        <f t="shared" si="28"/>
        <v>2.4299999999999997</v>
      </c>
      <c r="Q134" s="20">
        <v>4</v>
      </c>
      <c r="R134" s="15">
        <v>2</v>
      </c>
      <c r="S134" s="21">
        <v>1</v>
      </c>
      <c r="T134" s="21">
        <v>1</v>
      </c>
      <c r="U134" s="22"/>
      <c r="V134" s="24"/>
      <c r="W134" s="24">
        <f t="shared" si="29"/>
        <v>234252949</v>
      </c>
      <c r="X134" s="24">
        <f t="shared" si="30"/>
        <v>234252949</v>
      </c>
      <c r="Y134" s="24">
        <f t="shared" si="31"/>
        <v>234252949</v>
      </c>
      <c r="Z134" s="24">
        <f t="shared" si="32"/>
        <v>0</v>
      </c>
      <c r="AA134" s="25" t="str">
        <f t="shared" si="33"/>
        <v>No se realizó gasto en este corte</v>
      </c>
      <c r="AB134" s="26" t="str">
        <f t="shared" si="34"/>
        <v>Costo eficiente: se está gastando menos de lo presupuestado</v>
      </c>
      <c r="AC134" s="26">
        <f t="shared" si="35"/>
        <v>1</v>
      </c>
      <c r="AD134" s="26" t="str">
        <f t="shared" si="36"/>
        <v>Proyecto a tiempo según lo planificado</v>
      </c>
      <c r="AE134" s="27">
        <f t="shared" si="37"/>
        <v>0</v>
      </c>
      <c r="AF134" s="27">
        <f t="shared" si="38"/>
        <v>-234252949</v>
      </c>
      <c r="AG134" s="28" t="str">
        <f>VLOOKUP(Indicador!E147,[1]Diccionario!C$1:AC$150,27,0)</f>
        <v>https://growdatasas.sharepoint.com/:x:/r/sites/Gestiondocumental/Administrativa/GD/Financiera/_layouts/15/Doc.aspx?sourcedoc=%7BE27BC622-4961-4BA4-8FF2-7949D6CE364A%7D&amp;file=20062024%20SNR%20MIGRACION.xlsm&amp;action=default&amp;mobileredirect=true</v>
      </c>
      <c r="AH134" s="28">
        <v>1</v>
      </c>
      <c r="AI134" s="28">
        <v>1</v>
      </c>
      <c r="AJ134" s="28"/>
      <c r="AK134" s="28"/>
    </row>
    <row r="135" spans="1:37" ht="18.75" customHeight="1" x14ac:dyDescent="0.25">
      <c r="A135" s="11">
        <v>2024</v>
      </c>
      <c r="B135" s="12" t="s">
        <v>51</v>
      </c>
      <c r="C135" s="15" t="s">
        <v>138</v>
      </c>
      <c r="D135" s="39">
        <v>45481.703359687497</v>
      </c>
      <c r="E135" s="15" t="s">
        <v>139</v>
      </c>
      <c r="F135" s="15" t="s">
        <v>140</v>
      </c>
      <c r="G135" s="15" t="s">
        <v>141</v>
      </c>
      <c r="H135" s="15" t="s">
        <v>142</v>
      </c>
      <c r="I135" s="15" t="s">
        <v>78</v>
      </c>
      <c r="J135" s="15" t="s">
        <v>143</v>
      </c>
      <c r="K135" s="15" t="s">
        <v>80</v>
      </c>
      <c r="L135" s="17">
        <f>VLOOKUP(E135,[1]Diccionario!C$2:AC$150,22,0)</f>
        <v>81162217</v>
      </c>
      <c r="M135" s="18">
        <f>VLOOKUP(E135,[1]Diccionario!C$2:AC$150,24,0)</f>
        <v>45444</v>
      </c>
      <c r="N135" s="19">
        <f>VLOOKUP(E135,[1]Diccionario!C$2:AC$150,25,0)</f>
        <v>45595</v>
      </c>
      <c r="O135" s="20">
        <f>VLOOKUP(E135,[1]Diccionario!C$2:AC$150,26,0)</f>
        <v>4.97</v>
      </c>
      <c r="P135" s="20">
        <f t="shared" si="28"/>
        <v>-3.9699999999999998</v>
      </c>
      <c r="Q135" s="20">
        <v>1</v>
      </c>
      <c r="R135" s="15">
        <v>5</v>
      </c>
      <c r="S135" s="21">
        <v>0.1</v>
      </c>
      <c r="T135" s="21">
        <v>0.1</v>
      </c>
      <c r="U135" s="22"/>
      <c r="V135" s="24"/>
      <c r="W135" s="24">
        <f t="shared" si="29"/>
        <v>8116221.7000000002</v>
      </c>
      <c r="X135" s="24">
        <f t="shared" si="30"/>
        <v>8116221.7000000002</v>
      </c>
      <c r="Y135" s="24">
        <f t="shared" si="31"/>
        <v>8116221.7000000002</v>
      </c>
      <c r="Z135" s="24">
        <f t="shared" si="32"/>
        <v>0</v>
      </c>
      <c r="AA135" s="25" t="str">
        <f t="shared" si="33"/>
        <v>No se realizó gasto en este corte</v>
      </c>
      <c r="AB135" s="26" t="str">
        <f t="shared" si="34"/>
        <v>Costo eficiente: se está gastando menos de lo presupuestado</v>
      </c>
      <c r="AC135" s="26">
        <f t="shared" si="35"/>
        <v>1</v>
      </c>
      <c r="AD135" s="26" t="str">
        <f t="shared" si="36"/>
        <v>Proyecto a tiempo según lo planificado</v>
      </c>
      <c r="AE135" s="27">
        <f t="shared" si="37"/>
        <v>0</v>
      </c>
      <c r="AF135" s="27">
        <f t="shared" si="38"/>
        <v>-81162217</v>
      </c>
      <c r="AG135" s="28" t="str">
        <f>VLOOKUP(Indicador!E134,[1]Diccionario!C$1:AC$150,27,0)</f>
        <v>https://growdatasas.sharepoint.com/:x:/r/sites/Gestiondocumental/Administrativa/GD/Financiera/_layouts/15/Doc.aspx?sourcedoc=%7B9AED4F39-5D53-43D6-BACC-397FDB920633%7D&amp;file=20240613%20RUNT_DATAWAREHOUSE_23024V5%20P.xlsm&amp;action=default&amp;mobileredirect=true</v>
      </c>
      <c r="AH135" s="28">
        <v>1</v>
      </c>
      <c r="AI135" s="28">
        <v>1</v>
      </c>
      <c r="AJ135" s="28"/>
      <c r="AK135" s="28"/>
    </row>
    <row r="136" spans="1:37" ht="18.75" customHeight="1" x14ac:dyDescent="0.25">
      <c r="A136" s="11">
        <v>2024</v>
      </c>
      <c r="B136" s="12" t="s">
        <v>52</v>
      </c>
      <c r="C136" s="15" t="s">
        <v>138</v>
      </c>
      <c r="D136" s="39">
        <v>45481.703359687497</v>
      </c>
      <c r="E136" s="15" t="s">
        <v>139</v>
      </c>
      <c r="F136" s="15" t="s">
        <v>140</v>
      </c>
      <c r="G136" s="15" t="s">
        <v>141</v>
      </c>
      <c r="H136" s="15" t="s">
        <v>142</v>
      </c>
      <c r="I136" s="15" t="s">
        <v>78</v>
      </c>
      <c r="J136" s="15" t="s">
        <v>143</v>
      </c>
      <c r="K136" s="15" t="s">
        <v>80</v>
      </c>
      <c r="L136" s="17">
        <f>VLOOKUP(E136,[1]Diccionario!C$2:AC$150,22,0)</f>
        <v>81162217</v>
      </c>
      <c r="M136" s="18">
        <f>VLOOKUP(E136,[1]Diccionario!C$2:AC$150,24,0)</f>
        <v>45444</v>
      </c>
      <c r="N136" s="19">
        <f>VLOOKUP(E136,[1]Diccionario!C$2:AC$150,25,0)</f>
        <v>45595</v>
      </c>
      <c r="O136" s="20">
        <f>VLOOKUP(E136,[1]Diccionario!C$2:AC$150,26,0)</f>
        <v>4.97</v>
      </c>
      <c r="P136" s="20">
        <f t="shared" si="28"/>
        <v>-2.9699999999999998</v>
      </c>
      <c r="Q136" s="20">
        <v>2</v>
      </c>
      <c r="R136" s="15">
        <v>5</v>
      </c>
      <c r="S136" s="21">
        <v>0.25</v>
      </c>
      <c r="T136" s="21">
        <v>0.2</v>
      </c>
      <c r="U136" s="22"/>
      <c r="V136" s="24"/>
      <c r="W136" s="24">
        <f t="shared" si="29"/>
        <v>16232443.4</v>
      </c>
      <c r="X136" s="24">
        <f t="shared" si="30"/>
        <v>20290554.25</v>
      </c>
      <c r="Y136" s="24">
        <f t="shared" si="31"/>
        <v>16232443.4</v>
      </c>
      <c r="Z136" s="24">
        <f t="shared" si="32"/>
        <v>-4058110.8499999996</v>
      </c>
      <c r="AA136" s="25" t="str">
        <f t="shared" si="33"/>
        <v>No se realizó gasto en este corte</v>
      </c>
      <c r="AB136" s="26" t="str">
        <f t="shared" si="34"/>
        <v>Costo eficiente: se está gastando menos de lo presupuestado</v>
      </c>
      <c r="AC136" s="26">
        <f t="shared" si="35"/>
        <v>0.8</v>
      </c>
      <c r="AD136" s="26" t="str">
        <f t="shared" si="36"/>
        <v>Proyecto atrasado con respecto al cronograma</v>
      </c>
      <c r="AE136" s="27">
        <f t="shared" si="37"/>
        <v>0</v>
      </c>
      <c r="AF136" s="27">
        <f t="shared" si="38"/>
        <v>-81162217</v>
      </c>
      <c r="AG136" s="28" t="str">
        <f>VLOOKUP(Indicador!E135,[1]Diccionario!C$1:AC$150,27,0)</f>
        <v>https://growdatasas.sharepoint.com/:x:/r/sites/Gestiondocumental/Administrativa/GD/Financiera/_layouts/15/Doc.aspx?sourcedoc=%7B3ECBF673-32CF-4911-B729-AC56604B4A34%7D&amp;file=25062024%20MODELO%20FINANCIERO%20REFERENCIA%20V7_RUNT.xlsm&amp;action=default&amp;mobileredirect=true</v>
      </c>
      <c r="AH136" s="28">
        <v>1</v>
      </c>
      <c r="AI136" s="28">
        <v>1</v>
      </c>
      <c r="AJ136" s="28"/>
      <c r="AK136" s="28"/>
    </row>
    <row r="137" spans="1:37" ht="18.75" customHeight="1" x14ac:dyDescent="0.25">
      <c r="A137" s="11">
        <v>2024</v>
      </c>
      <c r="B137" s="12" t="s">
        <v>53</v>
      </c>
      <c r="C137" s="15" t="s">
        <v>138</v>
      </c>
      <c r="D137" s="39">
        <v>45481.703359687497</v>
      </c>
      <c r="E137" s="15" t="s">
        <v>139</v>
      </c>
      <c r="F137" s="15" t="s">
        <v>140</v>
      </c>
      <c r="G137" s="15" t="s">
        <v>141</v>
      </c>
      <c r="H137" s="15" t="s">
        <v>142</v>
      </c>
      <c r="I137" s="15" t="s">
        <v>78</v>
      </c>
      <c r="J137" s="15" t="s">
        <v>143</v>
      </c>
      <c r="K137" s="15" t="s">
        <v>80</v>
      </c>
      <c r="L137" s="17">
        <f>VLOOKUP(E137,[1]Diccionario!C$2:AC$150,22,0)</f>
        <v>81162217</v>
      </c>
      <c r="M137" s="18">
        <f>VLOOKUP(E137,[1]Diccionario!C$2:AC$150,24,0)</f>
        <v>45444</v>
      </c>
      <c r="N137" s="19">
        <f>VLOOKUP(E137,[1]Diccionario!C$2:AC$150,25,0)</f>
        <v>45595</v>
      </c>
      <c r="O137" s="20">
        <f>VLOOKUP(E137,[1]Diccionario!C$2:AC$150,26,0)</f>
        <v>4.97</v>
      </c>
      <c r="P137" s="20">
        <f t="shared" si="28"/>
        <v>-1.9699999999999998</v>
      </c>
      <c r="Q137" s="20">
        <v>3</v>
      </c>
      <c r="R137" s="15">
        <v>5</v>
      </c>
      <c r="S137" s="21">
        <v>0.5</v>
      </c>
      <c r="T137" s="21">
        <v>0.4</v>
      </c>
      <c r="U137" s="22"/>
      <c r="V137" s="24"/>
      <c r="W137" s="24">
        <f t="shared" si="29"/>
        <v>32464886.800000001</v>
      </c>
      <c r="X137" s="24">
        <f t="shared" si="30"/>
        <v>40581108.5</v>
      </c>
      <c r="Y137" s="24">
        <f t="shared" si="31"/>
        <v>32464886.800000001</v>
      </c>
      <c r="Z137" s="24">
        <f t="shared" si="32"/>
        <v>-8116221.6999999993</v>
      </c>
      <c r="AA137" s="25" t="str">
        <f t="shared" si="33"/>
        <v>No se realizó gasto en este corte</v>
      </c>
      <c r="AB137" s="26" t="str">
        <f t="shared" si="34"/>
        <v>Costo eficiente: se está gastando menos de lo presupuestado</v>
      </c>
      <c r="AC137" s="26">
        <f t="shared" si="35"/>
        <v>0.8</v>
      </c>
      <c r="AD137" s="26" t="str">
        <f t="shared" si="36"/>
        <v>Proyecto atrasado con respecto al cronograma</v>
      </c>
      <c r="AE137" s="27">
        <f t="shared" si="37"/>
        <v>0</v>
      </c>
      <c r="AF137" s="27">
        <f t="shared" si="38"/>
        <v>-81162217</v>
      </c>
      <c r="AG137" s="28" t="str">
        <f>VLOOKUP(Indicador!E136,[1]Diccionario!C$1:AC$150,27,0)</f>
        <v>https://growdatasas.sharepoint.com/:x:/r/sites/Gestiondocumental/Administrativa/GD/Financiera/_layouts/15/Doc.aspx?sourcedoc=%7B3ECBF673-32CF-4911-B729-AC56604B4A34%7D&amp;file=25062024%20MODELO%20FINANCIERO%20REFERENCIA%20V7_RUNT.xlsm&amp;action=default&amp;mobileredirect=true</v>
      </c>
      <c r="AH137" s="28">
        <v>1</v>
      </c>
      <c r="AI137" s="28">
        <v>1</v>
      </c>
      <c r="AJ137" s="28"/>
      <c r="AK137" s="28"/>
    </row>
    <row r="138" spans="1:37" ht="18.75" customHeight="1" x14ac:dyDescent="0.25">
      <c r="A138" s="11">
        <v>2024</v>
      </c>
      <c r="B138" s="12" t="s">
        <v>54</v>
      </c>
      <c r="C138" s="15" t="s">
        <v>138</v>
      </c>
      <c r="D138" s="39">
        <v>45481.703359687497</v>
      </c>
      <c r="E138" s="15" t="s">
        <v>139</v>
      </c>
      <c r="F138" s="15" t="s">
        <v>140</v>
      </c>
      <c r="G138" s="15" t="s">
        <v>141</v>
      </c>
      <c r="H138" s="15" t="s">
        <v>142</v>
      </c>
      <c r="I138" s="15" t="s">
        <v>78</v>
      </c>
      <c r="J138" s="15" t="s">
        <v>143</v>
      </c>
      <c r="K138" s="15" t="s">
        <v>80</v>
      </c>
      <c r="L138" s="17">
        <f>VLOOKUP(E138,[1]Diccionario!C$2:AC$150,22,0)</f>
        <v>81162217</v>
      </c>
      <c r="M138" s="18">
        <f>VLOOKUP(E138,[1]Diccionario!C$2:AC$150,24,0)</f>
        <v>45444</v>
      </c>
      <c r="N138" s="19">
        <f>VLOOKUP(E138,[1]Diccionario!C$2:AC$150,25,0)</f>
        <v>45595</v>
      </c>
      <c r="O138" s="20">
        <f>VLOOKUP(E138,[1]Diccionario!C$2:AC$150,26,0)</f>
        <v>4.97</v>
      </c>
      <c r="P138" s="20">
        <f t="shared" si="28"/>
        <v>-0.96999999999999975</v>
      </c>
      <c r="Q138" s="20">
        <v>4</v>
      </c>
      <c r="R138" s="15">
        <v>5</v>
      </c>
      <c r="S138" s="21">
        <v>0.75</v>
      </c>
      <c r="T138" s="21">
        <v>0.65</v>
      </c>
      <c r="U138" s="22"/>
      <c r="V138" s="24"/>
      <c r="W138" s="24">
        <f t="shared" si="29"/>
        <v>52755441.050000004</v>
      </c>
      <c r="X138" s="24">
        <f t="shared" si="30"/>
        <v>60871662.75</v>
      </c>
      <c r="Y138" s="24">
        <f t="shared" si="31"/>
        <v>52755441.050000004</v>
      </c>
      <c r="Z138" s="24">
        <f t="shared" si="32"/>
        <v>-8116221.6999999955</v>
      </c>
      <c r="AA138" s="25" t="str">
        <f t="shared" si="33"/>
        <v>No se realizó gasto en este corte</v>
      </c>
      <c r="AB138" s="26" t="str">
        <f t="shared" si="34"/>
        <v>Costo eficiente: se está gastando menos de lo presupuestado</v>
      </c>
      <c r="AC138" s="26">
        <f t="shared" si="35"/>
        <v>0.8666666666666667</v>
      </c>
      <c r="AD138" s="26" t="str">
        <f t="shared" si="36"/>
        <v>Proyecto atrasado con respecto al cronograma</v>
      </c>
      <c r="AE138" s="27">
        <f t="shared" si="37"/>
        <v>0</v>
      </c>
      <c r="AF138" s="27">
        <f t="shared" si="38"/>
        <v>-81162217</v>
      </c>
      <c r="AG138" s="28" t="str">
        <f>VLOOKUP(Indicador!E137,[1]Diccionario!C$1:AC$150,27,0)</f>
        <v>https://growdatasas.sharepoint.com/:x:/r/sites/Gestiondocumental/Administrativa/GD/Financiera/_layouts/15/Doc.aspx?sourcedoc=%7B3ECBF673-32CF-4911-B729-AC56604B4A34%7D&amp;file=25062024%20MODELO%20FINANCIERO%20REFERENCIA%20V7_RUNT.xlsm&amp;action=default&amp;mobileredirect=true</v>
      </c>
      <c r="AH138" s="28">
        <v>1</v>
      </c>
      <c r="AI138" s="28">
        <v>1</v>
      </c>
      <c r="AJ138" s="28"/>
      <c r="AK138" s="28"/>
    </row>
    <row r="139" spans="1:37" ht="18.75" customHeight="1" x14ac:dyDescent="0.25">
      <c r="A139" s="11">
        <v>2024</v>
      </c>
      <c r="B139" s="12" t="s">
        <v>55</v>
      </c>
      <c r="C139" s="15" t="s">
        <v>138</v>
      </c>
      <c r="D139" s="39">
        <v>45481.703359687497</v>
      </c>
      <c r="E139" s="15" t="s">
        <v>139</v>
      </c>
      <c r="F139" s="15" t="s">
        <v>140</v>
      </c>
      <c r="G139" s="15" t="s">
        <v>141</v>
      </c>
      <c r="H139" s="15" t="s">
        <v>142</v>
      </c>
      <c r="I139" s="15" t="s">
        <v>78</v>
      </c>
      <c r="J139" s="15" t="s">
        <v>143</v>
      </c>
      <c r="K139" s="15" t="s">
        <v>80</v>
      </c>
      <c r="L139" s="17">
        <f>VLOOKUP(E139,[1]Diccionario!C$2:AC$150,22,0)</f>
        <v>81162217</v>
      </c>
      <c r="M139" s="18">
        <f>VLOOKUP(E139,[1]Diccionario!C$2:AC$150,24,0)</f>
        <v>45444</v>
      </c>
      <c r="N139" s="19">
        <f>VLOOKUP(E139,[1]Diccionario!C$2:AC$150,25,0)</f>
        <v>45595</v>
      </c>
      <c r="O139" s="20">
        <f>VLOOKUP(E139,[1]Diccionario!C$2:AC$150,26,0)</f>
        <v>4.97</v>
      </c>
      <c r="P139" s="20">
        <f t="shared" si="28"/>
        <v>3.0000000000000249E-2</v>
      </c>
      <c r="Q139" s="20">
        <v>5</v>
      </c>
      <c r="R139" s="15">
        <v>5</v>
      </c>
      <c r="S139" s="21">
        <v>1</v>
      </c>
      <c r="T139" s="21">
        <v>0.85</v>
      </c>
      <c r="U139" s="22"/>
      <c r="V139" s="24"/>
      <c r="W139" s="24">
        <f t="shared" si="29"/>
        <v>68987884.450000003</v>
      </c>
      <c r="X139" s="24">
        <f t="shared" si="30"/>
        <v>81162217</v>
      </c>
      <c r="Y139" s="24">
        <f t="shared" si="31"/>
        <v>68987884.450000003</v>
      </c>
      <c r="Z139" s="24">
        <f t="shared" si="32"/>
        <v>-12174332.549999997</v>
      </c>
      <c r="AA139" s="25" t="str">
        <f t="shared" si="33"/>
        <v>No se realizó gasto en este corte</v>
      </c>
      <c r="AB139" s="26" t="str">
        <f t="shared" si="34"/>
        <v>Costo eficiente: se está gastando menos de lo presupuestado</v>
      </c>
      <c r="AC139" s="26">
        <f t="shared" si="35"/>
        <v>0.85000000000000009</v>
      </c>
      <c r="AD139" s="26" t="str">
        <f t="shared" si="36"/>
        <v>Proyecto atrasado con respecto al cronograma</v>
      </c>
      <c r="AE139" s="27">
        <f t="shared" si="37"/>
        <v>0</v>
      </c>
      <c r="AF139" s="27">
        <f t="shared" si="38"/>
        <v>-81162217</v>
      </c>
      <c r="AG139" s="28" t="str">
        <f>VLOOKUP(Indicador!E138,[1]Diccionario!C$1:AC$150,27,0)</f>
        <v>https://growdatasas.sharepoint.com/:x:/r/sites/Gestiondocumental/Administrativa/GD/Financiera/_layouts/15/Doc.aspx?sourcedoc=%7B3ECBF673-32CF-4911-B729-AC56604B4A34%7D&amp;file=25062024%20MODELO%20FINANCIERO%20REFERENCIA%20V7_RUNT.xlsm&amp;action=default&amp;mobileredirect=true</v>
      </c>
      <c r="AH139" s="28">
        <v>1</v>
      </c>
      <c r="AI139" s="28">
        <v>1</v>
      </c>
      <c r="AJ139" s="28"/>
      <c r="AK139" s="28"/>
    </row>
    <row r="140" spans="1:37" ht="18.75" customHeight="1" x14ac:dyDescent="0.25">
      <c r="A140" s="11">
        <v>2024</v>
      </c>
      <c r="B140" s="12" t="s">
        <v>55</v>
      </c>
      <c r="C140" s="15" t="s">
        <v>138</v>
      </c>
      <c r="D140" s="39">
        <v>45481.703359687497</v>
      </c>
      <c r="E140" s="15" t="s">
        <v>139</v>
      </c>
      <c r="F140" s="15" t="s">
        <v>140</v>
      </c>
      <c r="G140" s="15" t="s">
        <v>141</v>
      </c>
      <c r="H140" s="15" t="s">
        <v>142</v>
      </c>
      <c r="I140" s="15" t="s">
        <v>78</v>
      </c>
      <c r="J140" s="15" t="s">
        <v>143</v>
      </c>
      <c r="K140" s="15" t="s">
        <v>80</v>
      </c>
      <c r="L140" s="17">
        <f>VLOOKUP(E140,[1]Diccionario!C$2:AC$150,22,0)</f>
        <v>81162217</v>
      </c>
      <c r="M140" s="18">
        <f>VLOOKUP(E140,[1]Diccionario!C$2:AC$150,24,0)</f>
        <v>45444</v>
      </c>
      <c r="N140" s="19">
        <f>VLOOKUP(E140,[1]Diccionario!C$2:AC$150,25,0)</f>
        <v>45595</v>
      </c>
      <c r="O140" s="20">
        <f>VLOOKUP(E140,[1]Diccionario!C$2:AC$150,26,0)</f>
        <v>4.97</v>
      </c>
      <c r="P140" s="20">
        <f t="shared" si="28"/>
        <v>1.0300000000000002</v>
      </c>
      <c r="Q140" s="20">
        <v>6</v>
      </c>
      <c r="R140" s="15">
        <v>5</v>
      </c>
      <c r="S140" s="21">
        <v>1</v>
      </c>
      <c r="T140" s="21">
        <v>1</v>
      </c>
      <c r="U140" s="22"/>
      <c r="V140" s="24"/>
      <c r="W140" s="24">
        <f t="shared" si="29"/>
        <v>81162217</v>
      </c>
      <c r="X140" s="24">
        <f t="shared" si="30"/>
        <v>81162217</v>
      </c>
      <c r="Y140" s="24">
        <f t="shared" si="31"/>
        <v>81162217</v>
      </c>
      <c r="Z140" s="24">
        <f t="shared" si="32"/>
        <v>0</v>
      </c>
      <c r="AA140" s="25" t="str">
        <f t="shared" si="33"/>
        <v>No se realizó gasto en este corte</v>
      </c>
      <c r="AB140" s="26" t="str">
        <f t="shared" si="34"/>
        <v>Costo eficiente: se está gastando menos de lo presupuestado</v>
      </c>
      <c r="AC140" s="26">
        <f t="shared" si="35"/>
        <v>1</v>
      </c>
      <c r="AD140" s="26" t="str">
        <f t="shared" si="36"/>
        <v>Proyecto a tiempo según lo planificado</v>
      </c>
      <c r="AE140" s="27">
        <f t="shared" si="37"/>
        <v>0</v>
      </c>
      <c r="AF140" s="27">
        <f t="shared" si="38"/>
        <v>-81162217</v>
      </c>
      <c r="AG140" s="28" t="str">
        <f>VLOOKUP(Indicador!E139,[1]Diccionario!C$1:AC$150,27,0)</f>
        <v>https://growdatasas.sharepoint.com/:x:/r/sites/Gestiondocumental/Administrativa/GD/Financiera/_layouts/15/Doc.aspx?sourcedoc=%7B3ECBF673-32CF-4911-B729-AC56604B4A34%7D&amp;file=25062024%20MODELO%20FINANCIERO%20REFERENCIA%20V7_RUNT.xlsm&amp;action=default&amp;mobileredirect=true</v>
      </c>
      <c r="AH140" s="28">
        <v>1</v>
      </c>
      <c r="AI140" s="28">
        <v>1</v>
      </c>
      <c r="AJ140" s="28"/>
      <c r="AK140" s="28"/>
    </row>
    <row r="141" spans="1:37" ht="18.75" customHeight="1" x14ac:dyDescent="0.25">
      <c r="A141" s="11">
        <v>2024</v>
      </c>
      <c r="B141" s="12" t="s">
        <v>50</v>
      </c>
      <c r="C141" s="15" t="s">
        <v>144</v>
      </c>
      <c r="D141" s="39">
        <v>45481.740478935186</v>
      </c>
      <c r="E141" s="15" t="s">
        <v>145</v>
      </c>
      <c r="F141" s="15" t="s">
        <v>95</v>
      </c>
      <c r="G141" s="15" t="s">
        <v>146</v>
      </c>
      <c r="H141" s="15" t="s">
        <v>147</v>
      </c>
      <c r="I141" s="15" t="s">
        <v>78</v>
      </c>
      <c r="J141" s="15" t="s">
        <v>148</v>
      </c>
      <c r="K141" s="15" t="s">
        <v>45</v>
      </c>
      <c r="L141" s="17">
        <f>VLOOKUP(E141,[1]Diccionario!C$2:AC$150,22,0)</f>
        <v>218649688</v>
      </c>
      <c r="M141" s="18">
        <f>VLOOKUP(E141,[1]Diccionario!C$2:AC$150,24,0)</f>
        <v>45413</v>
      </c>
      <c r="N141" s="19">
        <f>VLOOKUP(E141,[1]Diccionario!C$2:AC$150,25,0)</f>
        <v>45534</v>
      </c>
      <c r="O141" s="20">
        <f>VLOOKUP(E141,[1]Diccionario!C$2:AC$150,26,0)</f>
        <v>3.97</v>
      </c>
      <c r="P141" s="20">
        <f t="shared" ca="1" si="28"/>
        <v>19.03</v>
      </c>
      <c r="Q141" s="20">
        <f ca="1">DATEDIF(M141,TODAY(),"m")</f>
        <v>23</v>
      </c>
      <c r="R141" s="15">
        <v>4</v>
      </c>
      <c r="S141" s="21">
        <v>0.2</v>
      </c>
      <c r="T141" s="21">
        <v>0.15</v>
      </c>
      <c r="U141" s="22"/>
      <c r="V141" s="24"/>
      <c r="W141" s="24">
        <f t="shared" si="29"/>
        <v>32797453.199999999</v>
      </c>
      <c r="X141" s="24">
        <f t="shared" si="30"/>
        <v>43729937.600000001</v>
      </c>
      <c r="Y141" s="24">
        <f t="shared" si="31"/>
        <v>32797453.199999999</v>
      </c>
      <c r="Z141" s="24">
        <f t="shared" si="32"/>
        <v>-10932484.400000002</v>
      </c>
      <c r="AA141" s="25" t="str">
        <f t="shared" si="33"/>
        <v>No se realizó gasto en este corte</v>
      </c>
      <c r="AB141" s="26" t="str">
        <f t="shared" si="34"/>
        <v>Costo eficiente: se está gastando menos de lo presupuestado</v>
      </c>
      <c r="AC141" s="26">
        <f t="shared" si="35"/>
        <v>0.75</v>
      </c>
      <c r="AD141" s="26" t="str">
        <f t="shared" si="36"/>
        <v>Proyecto atrasado con respecto al cronograma</v>
      </c>
      <c r="AE141" s="27">
        <f t="shared" si="37"/>
        <v>0</v>
      </c>
      <c r="AF141" s="27">
        <f t="shared" si="38"/>
        <v>-218649688</v>
      </c>
      <c r="AG141" s="28" t="str">
        <f>VLOOKUP(Indicador!E86,[1]Diccionario!C$1:AC$150,27,0)</f>
        <v>https://growdatasas.sharepoint.com/sites/Gestiondocumental/Administrativa/GD/Financiera/Documentos%20compartidos/Forms/AllItems.aspx?id=%2Fsites%2FGestiondocumental%2FAdministrativa%2FGD%2FFinanciera%2FDocumentos%20compartidos%2FAN%C3%81LISIS%20FINANCIERO%2FPMO%20SEGUIMIENTO%20A%20PROYECTOS%2F328%2E%20INFOTIC%20%2D%20ICFES%20%2D%20PRUEBAS%20CSJ&amp;viewid=8ba7db0b%2Dbb48%2D40cc%2Da532%2D9b5bc18760d5</v>
      </c>
      <c r="AH141" s="28">
        <v>1</v>
      </c>
      <c r="AI141" s="28">
        <v>1</v>
      </c>
      <c r="AJ141" s="28"/>
      <c r="AK141" s="28"/>
    </row>
    <row r="142" spans="1:37" ht="18.75" customHeight="1" x14ac:dyDescent="0.25">
      <c r="A142" s="11">
        <v>2024</v>
      </c>
      <c r="B142" s="12" t="s">
        <v>51</v>
      </c>
      <c r="C142" s="15" t="s">
        <v>144</v>
      </c>
      <c r="D142" s="39">
        <v>45481.740478935186</v>
      </c>
      <c r="E142" s="15" t="s">
        <v>145</v>
      </c>
      <c r="F142" s="15" t="s">
        <v>95</v>
      </c>
      <c r="G142" s="15" t="s">
        <v>146</v>
      </c>
      <c r="H142" s="15" t="s">
        <v>147</v>
      </c>
      <c r="I142" s="15" t="s">
        <v>78</v>
      </c>
      <c r="J142" s="15" t="s">
        <v>148</v>
      </c>
      <c r="K142" s="15" t="s">
        <v>45</v>
      </c>
      <c r="L142" s="17">
        <f>VLOOKUP(E142,[1]Diccionario!C$2:AC$150,22,0)</f>
        <v>218649688</v>
      </c>
      <c r="M142" s="18">
        <f>VLOOKUP(E142,[1]Diccionario!C$2:AC$150,24,0)</f>
        <v>45413</v>
      </c>
      <c r="N142" s="19">
        <f>VLOOKUP(E142,[1]Diccionario!C$2:AC$150,25,0)</f>
        <v>45534</v>
      </c>
      <c r="O142" s="20">
        <f>VLOOKUP(E142,[1]Diccionario!C$2:AC$150,26,0)</f>
        <v>3.97</v>
      </c>
      <c r="P142" s="20">
        <f t="shared" ca="1" si="28"/>
        <v>19.03</v>
      </c>
      <c r="Q142" s="20">
        <f ca="1">DATEDIF(M142,TODAY(),"m")</f>
        <v>23</v>
      </c>
      <c r="R142" s="15">
        <v>4</v>
      </c>
      <c r="S142" s="21">
        <v>0.5</v>
      </c>
      <c r="T142" s="21">
        <v>0.56000000000000005</v>
      </c>
      <c r="U142" s="22"/>
      <c r="V142" s="24"/>
      <c r="W142" s="24">
        <f t="shared" si="29"/>
        <v>122443825.28000002</v>
      </c>
      <c r="X142" s="24">
        <f t="shared" si="30"/>
        <v>109324844</v>
      </c>
      <c r="Y142" s="24">
        <f t="shared" si="31"/>
        <v>122443825.28000002</v>
      </c>
      <c r="Z142" s="24">
        <f t="shared" si="32"/>
        <v>13118981.280000016</v>
      </c>
      <c r="AA142" s="25" t="str">
        <f t="shared" si="33"/>
        <v>No se realizó gasto en este corte</v>
      </c>
      <c r="AB142" s="26" t="str">
        <f t="shared" si="34"/>
        <v>Costo eficiente: se está gastando menos de lo presupuestado</v>
      </c>
      <c r="AC142" s="26">
        <f t="shared" si="35"/>
        <v>1.1200000000000001</v>
      </c>
      <c r="AD142" s="26" t="str">
        <f t="shared" si="36"/>
        <v>Proyecto adelantado respecto al cronograma</v>
      </c>
      <c r="AE142" s="27">
        <f t="shared" si="37"/>
        <v>0</v>
      </c>
      <c r="AF142" s="27">
        <f t="shared" si="38"/>
        <v>-218649688</v>
      </c>
      <c r="AG142" s="28" t="str">
        <f>VLOOKUP(Indicador!E87,[1]Diccionario!C$1:AC$150,27,0)</f>
        <v>https://growdatasas.sharepoint.com/sites/Gestiondocumental/Administrativa/GD/Financiera/Documentos%20compartidos/Forms/AllItems.aspx?id=%2Fsites%2FGestiondocumental%2FAdministrativa%2FGD%2FFinanciera%2FDocumentos%20compartidos%2FAN%C3%81LISIS%20FINANCIERO%2FPMO%20SEGUIMIENTO%20A%20PROYECTOS%2F328%2E%20INFOTIC%20%2D%20ICFES%20%2D%20PRUEBAS%20CSJ&amp;viewid=8ba7db0b%2Dbb48%2D40cc%2Da532%2D9b5bc18760d5</v>
      </c>
      <c r="AH142" s="28">
        <v>1</v>
      </c>
      <c r="AI142" s="28">
        <v>1</v>
      </c>
      <c r="AJ142" s="28"/>
      <c r="AK142" s="28"/>
    </row>
    <row r="143" spans="1:37" ht="18.75" customHeight="1" x14ac:dyDescent="0.25">
      <c r="A143" s="11">
        <v>2024</v>
      </c>
      <c r="B143" s="12" t="s">
        <v>52</v>
      </c>
      <c r="C143" s="15" t="s">
        <v>144</v>
      </c>
      <c r="D143" s="39">
        <v>45481.740478935186</v>
      </c>
      <c r="E143" s="15" t="s">
        <v>145</v>
      </c>
      <c r="F143" s="15" t="s">
        <v>95</v>
      </c>
      <c r="G143" s="15" t="s">
        <v>146</v>
      </c>
      <c r="H143" s="15" t="s">
        <v>147</v>
      </c>
      <c r="I143" s="15" t="s">
        <v>78</v>
      </c>
      <c r="J143" s="15" t="s">
        <v>148</v>
      </c>
      <c r="K143" s="15" t="s">
        <v>45</v>
      </c>
      <c r="L143" s="17">
        <f>VLOOKUP(E143,[1]Diccionario!C$2:AC$150,22,0)</f>
        <v>218649688</v>
      </c>
      <c r="M143" s="18">
        <f>VLOOKUP(E143,[1]Diccionario!C$2:AC$150,24,0)</f>
        <v>45413</v>
      </c>
      <c r="N143" s="19">
        <f>VLOOKUP(E143,[1]Diccionario!C$2:AC$150,25,0)</f>
        <v>45534</v>
      </c>
      <c r="O143" s="20">
        <f>VLOOKUP(E143,[1]Diccionario!C$2:AC$150,26,0)</f>
        <v>3.97</v>
      </c>
      <c r="P143" s="20">
        <f t="shared" ca="1" si="28"/>
        <v>19.03</v>
      </c>
      <c r="Q143" s="20">
        <f ca="1">DATEDIF(M143,TODAY(),"m")</f>
        <v>23</v>
      </c>
      <c r="R143" s="15">
        <v>4</v>
      </c>
      <c r="S143" s="21">
        <v>0.85</v>
      </c>
      <c r="T143" s="21">
        <v>0.67</v>
      </c>
      <c r="U143" s="22"/>
      <c r="V143" s="24"/>
      <c r="W143" s="24">
        <f t="shared" si="29"/>
        <v>146495290.96000001</v>
      </c>
      <c r="X143" s="24">
        <f t="shared" si="30"/>
        <v>185852234.79999998</v>
      </c>
      <c r="Y143" s="24">
        <f t="shared" si="31"/>
        <v>146495290.96000001</v>
      </c>
      <c r="Z143" s="24">
        <f t="shared" si="32"/>
        <v>-39356943.839999974</v>
      </c>
      <c r="AA143" s="25" t="str">
        <f t="shared" si="33"/>
        <v>No se realizó gasto en este corte</v>
      </c>
      <c r="AB143" s="26" t="str">
        <f t="shared" si="34"/>
        <v>Costo eficiente: se está gastando menos de lo presupuestado</v>
      </c>
      <c r="AC143" s="26">
        <f t="shared" si="35"/>
        <v>0.78823529411764715</v>
      </c>
      <c r="AD143" s="26" t="str">
        <f t="shared" si="36"/>
        <v>Proyecto atrasado con respecto al cronograma</v>
      </c>
      <c r="AE143" s="27">
        <f t="shared" si="37"/>
        <v>0</v>
      </c>
      <c r="AF143" s="27">
        <f t="shared" si="38"/>
        <v>-218649688</v>
      </c>
      <c r="AG143" s="28" t="str">
        <f>VLOOKUP(Indicador!E88,[1]Diccionario!C$1:AC$150,27,0)</f>
        <v>https://growdatasas.sharepoint.com/sites/Gestiondocumental/Administrativa/GD/Financiera/Documentos%20compartidos/Forms/AllItems.aspx?id=%2Fsites%2FGestiondocumental%2FAdministrativa%2FGD%2FFinanciera%2FDocumentos%20compartidos%2FAN%C3%81LISIS%20FINANCIERO%2FPMO%20SEGUIMIENTO%20A%20PROYECTOS%2F328%2E%20INFOTIC%20%2D%20ICFES%20%2D%20PRUEBAS%20CSJ&amp;viewid=8ba7db0b%2Dbb48%2D40cc%2Da532%2D9b5bc18760d5</v>
      </c>
      <c r="AH143" s="28">
        <v>1</v>
      </c>
      <c r="AI143" s="28">
        <v>1</v>
      </c>
      <c r="AJ143" s="28"/>
      <c r="AK143" s="28"/>
    </row>
    <row r="144" spans="1:37" ht="18.75" customHeight="1" x14ac:dyDescent="0.25">
      <c r="A144" s="11">
        <v>2024</v>
      </c>
      <c r="B144" s="12" t="s">
        <v>53</v>
      </c>
      <c r="C144" s="15" t="s">
        <v>144</v>
      </c>
      <c r="D144" s="39">
        <v>45481.740478935186</v>
      </c>
      <c r="E144" s="15" t="s">
        <v>145</v>
      </c>
      <c r="F144" s="15" t="s">
        <v>95</v>
      </c>
      <c r="G144" s="15" t="s">
        <v>146</v>
      </c>
      <c r="H144" s="15" t="s">
        <v>147</v>
      </c>
      <c r="I144" s="15" t="s">
        <v>78</v>
      </c>
      <c r="J144" s="15" t="s">
        <v>148</v>
      </c>
      <c r="K144" s="15" t="s">
        <v>45</v>
      </c>
      <c r="L144" s="17">
        <f>VLOOKUP(E144,[1]Diccionario!C$2:AC$150,22,0)</f>
        <v>218649688</v>
      </c>
      <c r="M144" s="18">
        <f>VLOOKUP(E144,[1]Diccionario!C$2:AC$150,24,0)</f>
        <v>45413</v>
      </c>
      <c r="N144" s="19">
        <f>VLOOKUP(E144,[1]Diccionario!C$2:AC$150,25,0)</f>
        <v>45534</v>
      </c>
      <c r="O144" s="20">
        <f>VLOOKUP(E144,[1]Diccionario!C$2:AC$150,26,0)</f>
        <v>3.97</v>
      </c>
      <c r="P144" s="20">
        <f t="shared" ca="1" si="28"/>
        <v>19.03</v>
      </c>
      <c r="Q144" s="20">
        <f ca="1">DATEDIF(M144,TODAY(),"m")</f>
        <v>23</v>
      </c>
      <c r="R144" s="15">
        <v>4</v>
      </c>
      <c r="S144" s="21">
        <v>1</v>
      </c>
      <c r="T144" s="21">
        <v>0.85</v>
      </c>
      <c r="U144" s="22"/>
      <c r="V144" s="24"/>
      <c r="W144" s="24">
        <f t="shared" si="29"/>
        <v>185852234.79999998</v>
      </c>
      <c r="X144" s="24">
        <f t="shared" si="30"/>
        <v>218649688</v>
      </c>
      <c r="Y144" s="24">
        <f t="shared" si="31"/>
        <v>185852234.79999998</v>
      </c>
      <c r="Z144" s="24">
        <f t="shared" si="32"/>
        <v>-32797453.200000018</v>
      </c>
      <c r="AA144" s="25" t="str">
        <f t="shared" si="33"/>
        <v>No se realizó gasto en este corte</v>
      </c>
      <c r="AB144" s="26" t="str">
        <f t="shared" si="34"/>
        <v>Costo eficiente: se está gastando menos de lo presupuestado</v>
      </c>
      <c r="AC144" s="26">
        <f t="shared" si="35"/>
        <v>0.84999999999999987</v>
      </c>
      <c r="AD144" s="26" t="str">
        <f t="shared" si="36"/>
        <v>Proyecto atrasado con respecto al cronograma</v>
      </c>
      <c r="AE144" s="27">
        <f t="shared" si="37"/>
        <v>0</v>
      </c>
      <c r="AF144" s="27">
        <f t="shared" si="38"/>
        <v>-218649688</v>
      </c>
      <c r="AG144" s="28" t="str">
        <f>VLOOKUP(Indicador!E89,[1]Diccionario!C$1:AC$150,27,0)</f>
        <v>https://growdatasas.sharepoint.com/sites/Gestiondocumental/Administrativa/GD/Financiera/Documentos%20compartidos/Forms/AllItems.aspx?id=%2Fsites%2FGestiondocumental%2FAdministrativa%2FGD%2FFinanciera%2FDocumentos%20compartidos%2FAN%C3%81LISIS%20FINANCIERO%2FPMO%20SEGUIMIENTO%20A%20PROYECTOS%2F328%2E%20INFOTIC%20%2D%20ICFES%20%2D%20PRUEBAS%20CSJ&amp;viewid=8ba7db0b%2Dbb48%2D40cc%2Da532%2D9b5bc18760d5</v>
      </c>
      <c r="AH144" s="28">
        <v>1</v>
      </c>
      <c r="AI144" s="28">
        <v>1</v>
      </c>
      <c r="AJ144" s="28"/>
      <c r="AK144" s="28"/>
    </row>
    <row r="145" spans="1:37" ht="18.75" customHeight="1" x14ac:dyDescent="0.25">
      <c r="A145" s="11">
        <v>2024</v>
      </c>
      <c r="B145" s="12" t="s">
        <v>53</v>
      </c>
      <c r="C145" s="15" t="s">
        <v>144</v>
      </c>
      <c r="D145" s="39">
        <v>45481.740478935186</v>
      </c>
      <c r="E145" s="15" t="s">
        <v>145</v>
      </c>
      <c r="F145" s="15" t="s">
        <v>95</v>
      </c>
      <c r="G145" s="15" t="s">
        <v>146</v>
      </c>
      <c r="H145" s="15" t="s">
        <v>147</v>
      </c>
      <c r="I145" s="15" t="s">
        <v>78</v>
      </c>
      <c r="J145" s="15" t="s">
        <v>148</v>
      </c>
      <c r="K145" s="15" t="s">
        <v>45</v>
      </c>
      <c r="L145" s="17">
        <f>VLOOKUP(E145,[1]Diccionario!C$2:AC$150,22,0)</f>
        <v>218649688</v>
      </c>
      <c r="M145" s="18">
        <f>VLOOKUP(E145,[1]Diccionario!C$2:AC$150,24,0)</f>
        <v>45413</v>
      </c>
      <c r="N145" s="19">
        <f>VLOOKUP(E145,[1]Diccionario!C$2:AC$150,25,0)</f>
        <v>45534</v>
      </c>
      <c r="O145" s="20">
        <f>VLOOKUP(E145,[1]Diccionario!C$2:AC$150,26,0)</f>
        <v>3.97</v>
      </c>
      <c r="P145" s="20">
        <f t="shared" ca="1" si="28"/>
        <v>19.03</v>
      </c>
      <c r="Q145" s="20">
        <f ca="1">DATEDIF(M145,TODAY(),"m")</f>
        <v>23</v>
      </c>
      <c r="R145" s="15">
        <v>4</v>
      </c>
      <c r="S145" s="21">
        <v>1</v>
      </c>
      <c r="T145" s="21">
        <v>1</v>
      </c>
      <c r="U145" s="22"/>
      <c r="V145" s="24"/>
      <c r="W145" s="24">
        <f t="shared" si="29"/>
        <v>218649688</v>
      </c>
      <c r="X145" s="24">
        <f t="shared" si="30"/>
        <v>218649688</v>
      </c>
      <c r="Y145" s="24">
        <f t="shared" si="31"/>
        <v>218649688</v>
      </c>
      <c r="Z145" s="24">
        <f t="shared" si="32"/>
        <v>0</v>
      </c>
      <c r="AA145" s="25" t="str">
        <f t="shared" si="33"/>
        <v>No se realizó gasto en este corte</v>
      </c>
      <c r="AB145" s="26" t="str">
        <f t="shared" si="34"/>
        <v>Costo eficiente: se está gastando menos de lo presupuestado</v>
      </c>
      <c r="AC145" s="26">
        <f t="shared" si="35"/>
        <v>1</v>
      </c>
      <c r="AD145" s="26" t="str">
        <f t="shared" si="36"/>
        <v>Proyecto a tiempo según lo planificado</v>
      </c>
      <c r="AE145" s="27">
        <f t="shared" si="37"/>
        <v>0</v>
      </c>
      <c r="AF145" s="27">
        <f t="shared" si="38"/>
        <v>-218649688</v>
      </c>
      <c r="AG145" s="28" t="str">
        <f>VLOOKUP(Indicador!E90,[1]Diccionario!C$1:AC$150,27,0)</f>
        <v>https://growdatasas.sharepoint.com/:x:/r/sites/Gestiondocumental/Administrativa/GD/Financiera/_layouts/15/Doc.aspx?sourcedoc=%7B0974E3E6-B78B-4C29-8F8A-9CF11A235CF4%7D&amp;file=20240530%20UT%20ENTERRITORIO%202027%20(SERVICIO).xlsm&amp;action=default&amp;mobileredirect=true</v>
      </c>
      <c r="AH145" s="28">
        <v>1</v>
      </c>
      <c r="AI145" s="28">
        <v>1</v>
      </c>
      <c r="AJ145" s="28"/>
      <c r="AK145" s="28"/>
    </row>
    <row r="146" spans="1:37" ht="18.75" customHeight="1" x14ac:dyDescent="0.25">
      <c r="A146" s="11">
        <v>2024</v>
      </c>
      <c r="B146" s="12" t="s">
        <v>49</v>
      </c>
      <c r="C146" s="15" t="s">
        <v>149</v>
      </c>
      <c r="D146" s="39">
        <v>45492.722849189813</v>
      </c>
      <c r="E146" s="15" t="s">
        <v>150</v>
      </c>
      <c r="F146" s="15" t="s">
        <v>151</v>
      </c>
      <c r="G146" s="15" t="s">
        <v>152</v>
      </c>
      <c r="H146" s="15" t="s">
        <v>153</v>
      </c>
      <c r="I146" s="15" t="s">
        <v>63</v>
      </c>
      <c r="J146" s="15" t="s">
        <v>154</v>
      </c>
      <c r="K146" s="15" t="s">
        <v>126</v>
      </c>
      <c r="L146" s="17">
        <f>VLOOKUP(E146,[1]Diccionario!C$2:AC$150,22,0)</f>
        <v>237007609</v>
      </c>
      <c r="M146" s="18">
        <f>VLOOKUP(E146,[1]Diccionario!C$2:AC$150,24,0)</f>
        <v>45383</v>
      </c>
      <c r="N146" s="19">
        <f>VLOOKUP(E146,[1]Diccionario!C$2:AC$150,25,0)</f>
        <v>45412</v>
      </c>
      <c r="O146" s="20">
        <f>VLOOKUP(E146,[1]Diccionario!C$2:AC$150,26,0)</f>
        <v>0.97</v>
      </c>
      <c r="P146" s="20">
        <f t="shared" si="28"/>
        <v>3.0000000000000027E-2</v>
      </c>
      <c r="Q146" s="20">
        <v>1</v>
      </c>
      <c r="R146" s="15">
        <v>1</v>
      </c>
      <c r="S146" s="21">
        <v>1</v>
      </c>
      <c r="T146" s="21">
        <v>1</v>
      </c>
      <c r="U146" s="22"/>
      <c r="V146" s="24"/>
      <c r="W146" s="24">
        <f t="shared" si="29"/>
        <v>237007609</v>
      </c>
      <c r="X146" s="24">
        <f t="shared" si="30"/>
        <v>237007609</v>
      </c>
      <c r="Y146" s="24">
        <f t="shared" si="31"/>
        <v>237007609</v>
      </c>
      <c r="Z146" s="24">
        <f t="shared" si="32"/>
        <v>0</v>
      </c>
      <c r="AA146" s="25" t="str">
        <f t="shared" si="33"/>
        <v>No se realizó gasto en este corte</v>
      </c>
      <c r="AB146" s="26" t="str">
        <f t="shared" si="34"/>
        <v>Costo eficiente: se está gastando menos de lo presupuestado</v>
      </c>
      <c r="AC146" s="26">
        <f t="shared" si="35"/>
        <v>1</v>
      </c>
      <c r="AD146" s="26" t="str">
        <f t="shared" si="36"/>
        <v>Proyecto a tiempo según lo planificado</v>
      </c>
      <c r="AE146" s="27">
        <f t="shared" si="37"/>
        <v>0</v>
      </c>
      <c r="AF146" s="27">
        <f t="shared" si="38"/>
        <v>-237007609</v>
      </c>
      <c r="AG146" s="28" t="str">
        <f>VLOOKUP(Indicador!E77,[1]Diccionario!C$1:AC$150,27,0)</f>
        <v>https://growdatasas.sharepoint.com/:x:/r/sites/Gestiondocumental/Administrativa/GD/Financiera/_layouts/15/Doc.aspx?sourcedoc=%7BB89BD188-BEAD-4E84-BC3B-FF43B34DCCB0%7D&amp;file=326.%20ICFES%20-%20FABRICA%20DE%20SOFTWARE%20PRUEBAS.xlsx&amp;action=default&amp;mobileredirect=true</v>
      </c>
      <c r="AH146" s="28">
        <v>1</v>
      </c>
      <c r="AI146" s="28">
        <v>1</v>
      </c>
      <c r="AJ146" s="28"/>
      <c r="AK146" s="28"/>
    </row>
    <row r="147" spans="1:37" ht="18.75" customHeight="1" x14ac:dyDescent="0.25">
      <c r="A147" s="11">
        <v>2024</v>
      </c>
      <c r="B147" s="12" t="s">
        <v>51</v>
      </c>
      <c r="C147" s="15" t="s">
        <v>155</v>
      </c>
      <c r="D147" s="39">
        <v>45518.816397303242</v>
      </c>
      <c r="E147" s="15" t="s">
        <v>156</v>
      </c>
      <c r="F147" s="15" t="s">
        <v>89</v>
      </c>
      <c r="G147" s="15" t="s">
        <v>157</v>
      </c>
      <c r="H147" s="15" t="s">
        <v>158</v>
      </c>
      <c r="I147" s="15" t="s">
        <v>43</v>
      </c>
      <c r="J147" s="15" t="s">
        <v>159</v>
      </c>
      <c r="K147" s="15" t="s">
        <v>80</v>
      </c>
      <c r="L147" s="17">
        <f>VLOOKUP(E147,[1]Diccionario!C$2:AC$150,22,0)</f>
        <v>1821030084</v>
      </c>
      <c r="M147" s="18">
        <f>VLOOKUP(E147,[1]Diccionario!C$2:AC$150,24,0)</f>
        <v>45473</v>
      </c>
      <c r="N147" s="19">
        <f>VLOOKUP(E147,[1]Diccionario!C$2:AC$150,25,0)</f>
        <v>45655</v>
      </c>
      <c r="O147" s="20">
        <f>VLOOKUP(E147,[1]Diccionario!C$2:AC$150,26,0)</f>
        <v>5.97</v>
      </c>
      <c r="P147" s="20">
        <f t="shared" si="28"/>
        <v>-4.97</v>
      </c>
      <c r="Q147" s="20">
        <v>1</v>
      </c>
      <c r="R147" s="15">
        <v>7</v>
      </c>
      <c r="S147" s="21">
        <v>0.15</v>
      </c>
      <c r="T147" s="21">
        <v>0.15</v>
      </c>
      <c r="U147" s="22"/>
      <c r="V147" s="24"/>
      <c r="W147" s="24">
        <f t="shared" si="29"/>
        <v>273154512.59999996</v>
      </c>
      <c r="X147" s="24">
        <f t="shared" si="30"/>
        <v>273154512.59999996</v>
      </c>
      <c r="Y147" s="24">
        <f t="shared" si="31"/>
        <v>273154512.59999996</v>
      </c>
      <c r="Z147" s="24">
        <f t="shared" si="32"/>
        <v>0</v>
      </c>
      <c r="AA147" s="25" t="str">
        <f t="shared" si="33"/>
        <v>No se realizó gasto en este corte</v>
      </c>
      <c r="AB147" s="26" t="str">
        <f t="shared" si="34"/>
        <v>Costo eficiente: se está gastando menos de lo presupuestado</v>
      </c>
      <c r="AC147" s="26">
        <f t="shared" si="35"/>
        <v>1</v>
      </c>
      <c r="AD147" s="26" t="str">
        <f t="shared" si="36"/>
        <v>Proyecto a tiempo según lo planificado</v>
      </c>
      <c r="AE147" s="27">
        <f t="shared" si="37"/>
        <v>0</v>
      </c>
      <c r="AF147" s="27">
        <f t="shared" si="38"/>
        <v>-1821030084</v>
      </c>
      <c r="AG147" s="28" t="str">
        <f>VLOOKUP(Indicador!E148,[1]Diccionario!C$1:AC$150,27,0)</f>
        <v>https://growdatasas.sharepoint.com/:x:/r/sites/Gestiondocumental/Administrativa/GD/Financiera/_layouts/15/Doc.aspx?sourcedoc=%7BE27BC622-4961-4BA4-8FF2-7949D6CE364A%7D&amp;file=20062024%20SNR%20MIGRACION.xlsm&amp;action=default&amp;mobileredirect=true</v>
      </c>
      <c r="AH147" s="28">
        <v>1</v>
      </c>
      <c r="AI147" s="28">
        <v>1</v>
      </c>
      <c r="AJ147" s="28"/>
      <c r="AK147" s="28"/>
    </row>
    <row r="148" spans="1:37" ht="18.75" customHeight="1" x14ac:dyDescent="0.25">
      <c r="A148" s="11">
        <v>2024</v>
      </c>
      <c r="B148" s="12" t="s">
        <v>52</v>
      </c>
      <c r="C148" s="15" t="s">
        <v>155</v>
      </c>
      <c r="D148" s="39">
        <v>45518.816397303242</v>
      </c>
      <c r="E148" s="15" t="s">
        <v>156</v>
      </c>
      <c r="F148" s="15" t="s">
        <v>89</v>
      </c>
      <c r="G148" s="15" t="s">
        <v>157</v>
      </c>
      <c r="H148" s="15" t="s">
        <v>158</v>
      </c>
      <c r="I148" s="15" t="s">
        <v>43</v>
      </c>
      <c r="J148" s="15" t="s">
        <v>159</v>
      </c>
      <c r="K148" s="15" t="s">
        <v>80</v>
      </c>
      <c r="L148" s="17">
        <f>VLOOKUP(E148,[1]Diccionario!C$2:AC$150,22,0)</f>
        <v>1821030084</v>
      </c>
      <c r="M148" s="18">
        <f>VLOOKUP(E148,[1]Diccionario!C$2:AC$150,24,0)</f>
        <v>45473</v>
      </c>
      <c r="N148" s="19">
        <f>VLOOKUP(E148,[1]Diccionario!C$2:AC$150,25,0)</f>
        <v>45655</v>
      </c>
      <c r="O148" s="20">
        <f>VLOOKUP(E148,[1]Diccionario!C$2:AC$150,26,0)</f>
        <v>5.97</v>
      </c>
      <c r="P148" s="20">
        <f t="shared" si="28"/>
        <v>-3.9699999999999998</v>
      </c>
      <c r="Q148" s="20">
        <v>2</v>
      </c>
      <c r="R148" s="15">
        <v>7</v>
      </c>
      <c r="S148" s="21">
        <v>0.2</v>
      </c>
      <c r="T148" s="21">
        <v>0.2</v>
      </c>
      <c r="U148" s="22"/>
      <c r="V148" s="24"/>
      <c r="W148" s="24">
        <f t="shared" si="29"/>
        <v>364206016.80000001</v>
      </c>
      <c r="X148" s="24">
        <f t="shared" si="30"/>
        <v>364206016.80000001</v>
      </c>
      <c r="Y148" s="24">
        <f t="shared" si="31"/>
        <v>364206016.80000001</v>
      </c>
      <c r="Z148" s="24">
        <f t="shared" si="32"/>
        <v>0</v>
      </c>
      <c r="AA148" s="25" t="str">
        <f t="shared" si="33"/>
        <v>No se realizó gasto en este corte</v>
      </c>
      <c r="AB148" s="26" t="str">
        <f t="shared" si="34"/>
        <v>Costo eficiente: se está gastando menos de lo presupuestado</v>
      </c>
      <c r="AC148" s="26">
        <f t="shared" si="35"/>
        <v>1</v>
      </c>
      <c r="AD148" s="26" t="str">
        <f t="shared" si="36"/>
        <v>Proyecto a tiempo según lo planificado</v>
      </c>
      <c r="AE148" s="27">
        <f t="shared" si="37"/>
        <v>0</v>
      </c>
      <c r="AF148" s="27">
        <f t="shared" si="38"/>
        <v>-1821030084</v>
      </c>
      <c r="AG148" s="28" t="str">
        <f>VLOOKUP(Indicador!E149,[1]Diccionario!C$1:AC$150,27,0)</f>
        <v>https://growdatasas.sharepoint.com/:x:/r/sites/Gestiondocumental/Administrativa/GD/Financiera/_layouts/15/Doc.aspx?sourcedoc=%7BE27BC622-4961-4BA4-8FF2-7949D6CE364A%7D&amp;file=20062024%20SNR%20MIGRACION.xlsm&amp;action=default&amp;mobileredirect=true</v>
      </c>
      <c r="AH148" s="28">
        <v>1</v>
      </c>
      <c r="AI148" s="28">
        <v>1</v>
      </c>
      <c r="AJ148" s="28"/>
      <c r="AK148" s="28"/>
    </row>
    <row r="149" spans="1:37" ht="18.75" customHeight="1" x14ac:dyDescent="0.25">
      <c r="A149" s="11">
        <v>2024</v>
      </c>
      <c r="B149" s="12" t="s">
        <v>53</v>
      </c>
      <c r="C149" s="15" t="s">
        <v>155</v>
      </c>
      <c r="D149" s="39">
        <v>45518.816397303242</v>
      </c>
      <c r="E149" s="15" t="s">
        <v>156</v>
      </c>
      <c r="F149" s="15" t="s">
        <v>89</v>
      </c>
      <c r="G149" s="15" t="s">
        <v>157</v>
      </c>
      <c r="H149" s="15" t="s">
        <v>158</v>
      </c>
      <c r="I149" s="15" t="s">
        <v>43</v>
      </c>
      <c r="J149" s="15" t="s">
        <v>159</v>
      </c>
      <c r="K149" s="15" t="s">
        <v>80</v>
      </c>
      <c r="L149" s="17">
        <f>VLOOKUP(E149,[1]Diccionario!C$2:AC$150,22,0)</f>
        <v>1821030084</v>
      </c>
      <c r="M149" s="18">
        <f>VLOOKUP(E149,[1]Diccionario!C$2:AC$150,24,0)</f>
        <v>45473</v>
      </c>
      <c r="N149" s="19">
        <f>VLOOKUP(E149,[1]Diccionario!C$2:AC$150,25,0)</f>
        <v>45655</v>
      </c>
      <c r="O149" s="20">
        <f>VLOOKUP(E149,[1]Diccionario!C$2:AC$150,26,0)</f>
        <v>5.97</v>
      </c>
      <c r="P149" s="20">
        <f t="shared" si="28"/>
        <v>-2.9699999999999998</v>
      </c>
      <c r="Q149" s="20">
        <v>3</v>
      </c>
      <c r="R149" s="15">
        <v>7</v>
      </c>
      <c r="S149" s="21">
        <v>0.4</v>
      </c>
      <c r="T149" s="21">
        <v>0.45</v>
      </c>
      <c r="U149" s="22"/>
      <c r="V149" s="24"/>
      <c r="W149" s="24">
        <f t="shared" si="29"/>
        <v>819463537.80000007</v>
      </c>
      <c r="X149" s="24">
        <f t="shared" si="30"/>
        <v>728412033.60000002</v>
      </c>
      <c r="Y149" s="24">
        <f t="shared" si="31"/>
        <v>819463537.80000007</v>
      </c>
      <c r="Z149" s="24">
        <f t="shared" si="32"/>
        <v>91051504.200000048</v>
      </c>
      <c r="AA149" s="25" t="str">
        <f t="shared" si="33"/>
        <v>No se realizó gasto en este corte</v>
      </c>
      <c r="AB149" s="26" t="str">
        <f t="shared" si="34"/>
        <v>Costo eficiente: se está gastando menos de lo presupuestado</v>
      </c>
      <c r="AC149" s="26">
        <f t="shared" si="35"/>
        <v>1.125</v>
      </c>
      <c r="AD149" s="26" t="str">
        <f t="shared" si="36"/>
        <v>Proyecto adelantado respecto al cronograma</v>
      </c>
      <c r="AE149" s="27">
        <f t="shared" si="37"/>
        <v>0</v>
      </c>
      <c r="AF149" s="27">
        <f t="shared" si="38"/>
        <v>-1821030084</v>
      </c>
      <c r="AG149" s="28" t="str">
        <f>VLOOKUP(Indicador!E150,[1]Diccionario!C$1:AC$150,27,0)</f>
        <v>https://growdatasas.sharepoint.com/:x:/r/sites/Gestiondocumental/Administrativa/GD/Financiera/_layouts/15/Doc.aspx?sourcedoc=%7BE27BC622-4961-4BA4-8FF2-7949D6CE364A%7D&amp;file=20062024%20SNR%20MIGRACION.xlsm&amp;action=default&amp;mobileredirect=true</v>
      </c>
      <c r="AH149" s="28">
        <v>1</v>
      </c>
      <c r="AI149" s="28">
        <v>1</v>
      </c>
      <c r="AJ149" s="28"/>
      <c r="AK149" s="28"/>
    </row>
    <row r="150" spans="1:37" ht="18.75" customHeight="1" x14ac:dyDescent="0.25">
      <c r="A150" s="11">
        <v>2024</v>
      </c>
      <c r="B150" s="12" t="s">
        <v>54</v>
      </c>
      <c r="C150" s="15" t="s">
        <v>155</v>
      </c>
      <c r="D150" s="39">
        <v>45518.816397303242</v>
      </c>
      <c r="E150" s="15" t="s">
        <v>156</v>
      </c>
      <c r="F150" s="15" t="s">
        <v>89</v>
      </c>
      <c r="G150" s="15" t="s">
        <v>157</v>
      </c>
      <c r="H150" s="15" t="s">
        <v>158</v>
      </c>
      <c r="I150" s="15" t="s">
        <v>43</v>
      </c>
      <c r="J150" s="15" t="s">
        <v>159</v>
      </c>
      <c r="K150" s="15" t="s">
        <v>80</v>
      </c>
      <c r="L150" s="17">
        <f>VLOOKUP(E150,[1]Diccionario!C$2:AC$150,22,0)</f>
        <v>1821030084</v>
      </c>
      <c r="M150" s="18">
        <f>VLOOKUP(E150,[1]Diccionario!C$2:AC$150,24,0)</f>
        <v>45473</v>
      </c>
      <c r="N150" s="19">
        <f>VLOOKUP(E150,[1]Diccionario!C$2:AC$150,25,0)</f>
        <v>45655</v>
      </c>
      <c r="O150" s="20">
        <f>VLOOKUP(E150,[1]Diccionario!C$2:AC$150,26,0)</f>
        <v>5.97</v>
      </c>
      <c r="P150" s="20">
        <f t="shared" si="28"/>
        <v>-1.9699999999999998</v>
      </c>
      <c r="Q150" s="20">
        <v>4</v>
      </c>
      <c r="R150" s="15">
        <v>7</v>
      </c>
      <c r="S150" s="21">
        <v>0.5</v>
      </c>
      <c r="T150" s="21">
        <v>0.5</v>
      </c>
      <c r="U150" s="22"/>
      <c r="V150" s="24"/>
      <c r="W150" s="24">
        <f t="shared" si="29"/>
        <v>910515042</v>
      </c>
      <c r="X150" s="24">
        <f t="shared" si="30"/>
        <v>910515042</v>
      </c>
      <c r="Y150" s="24">
        <f t="shared" si="31"/>
        <v>910515042</v>
      </c>
      <c r="Z150" s="24">
        <f t="shared" si="32"/>
        <v>0</v>
      </c>
      <c r="AA150" s="25" t="str">
        <f t="shared" si="33"/>
        <v>No se realizó gasto en este corte</v>
      </c>
      <c r="AB150" s="26" t="str">
        <f t="shared" si="34"/>
        <v>Costo eficiente: se está gastando menos de lo presupuestado</v>
      </c>
      <c r="AC150" s="26">
        <f t="shared" si="35"/>
        <v>1</v>
      </c>
      <c r="AD150" s="26" t="str">
        <f t="shared" si="36"/>
        <v>Proyecto a tiempo según lo planificado</v>
      </c>
      <c r="AE150" s="27">
        <f t="shared" si="37"/>
        <v>0</v>
      </c>
      <c r="AF150" s="27">
        <f t="shared" si="38"/>
        <v>-1821030084</v>
      </c>
      <c r="AG150" s="28" t="str">
        <f>VLOOKUP(Indicador!E151,[1]Diccionario!C$1:AC$150,27,0)</f>
        <v>https://growdatasas.sharepoint.com/:x:/r/sites/Gestiondocumental/Administrativa/GD/Financiera/_layouts/15/Doc.aspx?sourcedoc=%7BE27BC622-4961-4BA4-8FF2-7949D6CE364A%7D&amp;file=20062024%20SNR%20MIGRACION.xlsm&amp;action=default&amp;mobileredirect=true</v>
      </c>
      <c r="AH150" s="28">
        <v>1</v>
      </c>
      <c r="AI150" s="28">
        <v>1</v>
      </c>
      <c r="AJ150" s="28"/>
      <c r="AK150" s="28"/>
    </row>
    <row r="151" spans="1:37" ht="18.75" customHeight="1" x14ac:dyDescent="0.25">
      <c r="A151" s="11">
        <v>2024</v>
      </c>
      <c r="B151" s="12" t="s">
        <v>55</v>
      </c>
      <c r="C151" s="15" t="s">
        <v>155</v>
      </c>
      <c r="D151" s="39">
        <v>45518.816397303242</v>
      </c>
      <c r="E151" s="15" t="s">
        <v>156</v>
      </c>
      <c r="F151" s="15" t="s">
        <v>89</v>
      </c>
      <c r="G151" s="15" t="s">
        <v>157</v>
      </c>
      <c r="H151" s="15" t="s">
        <v>158</v>
      </c>
      <c r="I151" s="15" t="s">
        <v>43</v>
      </c>
      <c r="J151" s="15" t="s">
        <v>159</v>
      </c>
      <c r="K151" s="15" t="s">
        <v>80</v>
      </c>
      <c r="L151" s="17">
        <f>VLOOKUP(E151,[1]Diccionario!C$2:AC$150,22,0)</f>
        <v>1821030084</v>
      </c>
      <c r="M151" s="18">
        <f>VLOOKUP(E151,[1]Diccionario!C$2:AC$150,24,0)</f>
        <v>45473</v>
      </c>
      <c r="N151" s="19">
        <f>VLOOKUP(E151,[1]Diccionario!C$2:AC$150,25,0)</f>
        <v>45655</v>
      </c>
      <c r="O151" s="20">
        <f>VLOOKUP(E151,[1]Diccionario!C$2:AC$150,26,0)</f>
        <v>5.97</v>
      </c>
      <c r="P151" s="20">
        <f t="shared" si="28"/>
        <v>-0.96999999999999975</v>
      </c>
      <c r="Q151" s="20">
        <v>5</v>
      </c>
      <c r="R151" s="15">
        <v>7</v>
      </c>
      <c r="S151" s="21">
        <v>0.75</v>
      </c>
      <c r="T151" s="21">
        <v>0.8</v>
      </c>
      <c r="U151" s="22"/>
      <c r="V151" s="24"/>
      <c r="W151" s="24">
        <f t="shared" si="29"/>
        <v>1456824067.2</v>
      </c>
      <c r="X151" s="24">
        <f t="shared" si="30"/>
        <v>1365772563</v>
      </c>
      <c r="Y151" s="24">
        <f t="shared" si="31"/>
        <v>1456824067.2</v>
      </c>
      <c r="Z151" s="24">
        <f t="shared" si="32"/>
        <v>91051504.200000048</v>
      </c>
      <c r="AA151" s="25" t="str">
        <f t="shared" si="33"/>
        <v>No se realizó gasto en este corte</v>
      </c>
      <c r="AB151" s="26" t="str">
        <f t="shared" si="34"/>
        <v>Costo eficiente: se está gastando menos de lo presupuestado</v>
      </c>
      <c r="AC151" s="26">
        <f t="shared" si="35"/>
        <v>1.0666666666666667</v>
      </c>
      <c r="AD151" s="26" t="str">
        <f t="shared" si="36"/>
        <v>Proyecto adelantado respecto al cronograma</v>
      </c>
      <c r="AE151" s="27">
        <f t="shared" si="37"/>
        <v>0</v>
      </c>
      <c r="AF151" s="27">
        <f t="shared" si="38"/>
        <v>-1821030084</v>
      </c>
      <c r="AG151" s="28" t="str">
        <f>VLOOKUP(Indicador!E152,[1]Diccionario!C$1:AC$150,27,0)</f>
        <v>https://growdatasas.sharepoint.com/:x:/r/sites/Gestiondocumental/Administrativa/GD/Financiera/_layouts/15/Doc.aspx?sourcedoc=%7BE27BC622-4961-4BA4-8FF2-7949D6CE364A%7D&amp;file=20062024%20SNR%20MIGRACION.xlsm&amp;action=default&amp;mobileredirect=true</v>
      </c>
      <c r="AH151" s="28">
        <v>1</v>
      </c>
      <c r="AI151" s="28">
        <v>1</v>
      </c>
      <c r="AJ151" s="28"/>
      <c r="AK151" s="28"/>
    </row>
    <row r="152" spans="1:37" ht="18.75" customHeight="1" x14ac:dyDescent="0.25">
      <c r="A152" s="11">
        <v>2024</v>
      </c>
      <c r="B152" s="12" t="s">
        <v>56</v>
      </c>
      <c r="C152" s="15" t="s">
        <v>155</v>
      </c>
      <c r="D152" s="39">
        <v>45518.816397303242</v>
      </c>
      <c r="E152" s="15" t="s">
        <v>156</v>
      </c>
      <c r="F152" s="15" t="s">
        <v>89</v>
      </c>
      <c r="G152" s="15" t="s">
        <v>157</v>
      </c>
      <c r="H152" s="15" t="s">
        <v>158</v>
      </c>
      <c r="I152" s="15" t="s">
        <v>43</v>
      </c>
      <c r="J152" s="15" t="s">
        <v>159</v>
      </c>
      <c r="K152" s="15" t="s">
        <v>80</v>
      </c>
      <c r="L152" s="17">
        <f>VLOOKUP(E152,[1]Diccionario!C$2:AC$150,22,0)</f>
        <v>1821030084</v>
      </c>
      <c r="M152" s="18">
        <f>VLOOKUP(E152,[1]Diccionario!C$2:AC$150,24,0)</f>
        <v>45473</v>
      </c>
      <c r="N152" s="19">
        <f>VLOOKUP(E152,[1]Diccionario!C$2:AC$150,25,0)</f>
        <v>45655</v>
      </c>
      <c r="O152" s="20">
        <f>VLOOKUP(E152,[1]Diccionario!C$2:AC$150,26,0)</f>
        <v>5.97</v>
      </c>
      <c r="P152" s="20">
        <f t="shared" si="28"/>
        <v>3.0000000000000249E-2</v>
      </c>
      <c r="Q152" s="20">
        <v>6</v>
      </c>
      <c r="R152" s="15">
        <v>7</v>
      </c>
      <c r="S152" s="21">
        <v>0.85</v>
      </c>
      <c r="T152" s="21">
        <v>0.9</v>
      </c>
      <c r="U152" s="22"/>
      <c r="V152" s="24"/>
      <c r="W152" s="24">
        <f t="shared" si="29"/>
        <v>1638927075.6000001</v>
      </c>
      <c r="X152" s="24">
        <f t="shared" si="30"/>
        <v>1547875571.3999999</v>
      </c>
      <c r="Y152" s="24">
        <f t="shared" si="31"/>
        <v>1638927075.6000001</v>
      </c>
      <c r="Z152" s="24">
        <f t="shared" si="32"/>
        <v>91051504.200000286</v>
      </c>
      <c r="AA152" s="25" t="str">
        <f t="shared" si="33"/>
        <v>No se realizó gasto en este corte</v>
      </c>
      <c r="AB152" s="26" t="str">
        <f t="shared" si="34"/>
        <v>Costo eficiente: se está gastando menos de lo presupuestado</v>
      </c>
      <c r="AC152" s="26">
        <f t="shared" si="35"/>
        <v>1.0588235294117649</v>
      </c>
      <c r="AD152" s="26" t="str">
        <f t="shared" si="36"/>
        <v>Proyecto adelantado respecto al cronograma</v>
      </c>
      <c r="AE152" s="27">
        <f t="shared" si="37"/>
        <v>0</v>
      </c>
      <c r="AF152" s="27">
        <f t="shared" si="38"/>
        <v>-1821030084</v>
      </c>
      <c r="AG152" s="28" t="str">
        <f>VLOOKUP(Indicador!E153,[1]Diccionario!C$1:AC$150,27,0)</f>
        <v>https://growdatasas.sharepoint.com/:x:/r/sites/Gestiondocumental/Administrativa/GD/Financiera/_layouts/15/Doc.aspx?sourcedoc=%7BE27BC622-4961-4BA4-8FF2-7949D6CE364A%7D&amp;file=20062024%20SNR%20MIGRACION.xlsm&amp;action=default&amp;mobileredirect=true</v>
      </c>
      <c r="AH152" s="28">
        <v>1</v>
      </c>
      <c r="AI152" s="28">
        <v>1</v>
      </c>
      <c r="AJ152" s="28"/>
      <c r="AK152" s="28"/>
    </row>
    <row r="153" spans="1:37" ht="18.75" customHeight="1" x14ac:dyDescent="0.25">
      <c r="A153" s="11">
        <v>2024</v>
      </c>
      <c r="B153" s="12" t="s">
        <v>57</v>
      </c>
      <c r="C153" s="15" t="s">
        <v>155</v>
      </c>
      <c r="D153" s="39">
        <v>45518.816397303242</v>
      </c>
      <c r="E153" s="15" t="s">
        <v>156</v>
      </c>
      <c r="F153" s="15" t="s">
        <v>89</v>
      </c>
      <c r="G153" s="15" t="s">
        <v>157</v>
      </c>
      <c r="H153" s="15" t="s">
        <v>158</v>
      </c>
      <c r="I153" s="15" t="s">
        <v>43</v>
      </c>
      <c r="J153" s="15" t="s">
        <v>159</v>
      </c>
      <c r="K153" s="15" t="s">
        <v>80</v>
      </c>
      <c r="L153" s="17">
        <f>VLOOKUP(E153,[1]Diccionario!C$2:AC$150,22,0)</f>
        <v>1821030084</v>
      </c>
      <c r="M153" s="18">
        <f>VLOOKUP(E153,[1]Diccionario!C$2:AC$150,24,0)</f>
        <v>45473</v>
      </c>
      <c r="N153" s="19">
        <f>VLOOKUP(E153,[1]Diccionario!C$2:AC$150,25,0)</f>
        <v>45655</v>
      </c>
      <c r="O153" s="20">
        <f>VLOOKUP(E153,[1]Diccionario!C$2:AC$150,26,0)</f>
        <v>5.97</v>
      </c>
      <c r="P153" s="20">
        <f t="shared" si="28"/>
        <v>1.0300000000000002</v>
      </c>
      <c r="Q153" s="20">
        <v>7</v>
      </c>
      <c r="R153" s="15">
        <v>7</v>
      </c>
      <c r="S153" s="21">
        <v>1</v>
      </c>
      <c r="T153" s="21">
        <v>1</v>
      </c>
      <c r="U153" s="22"/>
      <c r="V153" s="24"/>
      <c r="W153" s="24">
        <f t="shared" si="29"/>
        <v>1821030084</v>
      </c>
      <c r="X153" s="24">
        <f t="shared" si="30"/>
        <v>1821030084</v>
      </c>
      <c r="Y153" s="24">
        <f t="shared" si="31"/>
        <v>1821030084</v>
      </c>
      <c r="Z153" s="24">
        <f t="shared" si="32"/>
        <v>0</v>
      </c>
      <c r="AA153" s="25" t="str">
        <f t="shared" si="33"/>
        <v>No se realizó gasto en este corte</v>
      </c>
      <c r="AB153" s="26" t="str">
        <f t="shared" si="34"/>
        <v>Costo eficiente: se está gastando menos de lo presupuestado</v>
      </c>
      <c r="AC153" s="26">
        <f t="shared" si="35"/>
        <v>1</v>
      </c>
      <c r="AD153" s="26" t="str">
        <f t="shared" si="36"/>
        <v>Proyecto a tiempo según lo planificado</v>
      </c>
      <c r="AE153" s="27">
        <f t="shared" si="37"/>
        <v>0</v>
      </c>
      <c r="AF153" s="27">
        <f t="shared" si="38"/>
        <v>-1821030084</v>
      </c>
      <c r="AG153" s="28" t="str">
        <f>VLOOKUP(Indicador!E154,[1]Diccionario!C$1:AC$150,27,0)</f>
        <v>https://growdatasas.sharepoint.com/:x:/r/sites/Gestiondocumental/Administrativa/GD/Financiera/_layouts/15/Doc.aspx?sourcedoc=%7B0288FE6C-6AAB-43FF-AEC6-9D8F73023920%7D&amp;file=29082024%20TELEFONICA_CORMAGDALENA%20V2.xlsm&amp;action=default&amp;mobileredirect=true</v>
      </c>
      <c r="AH153" s="28">
        <v>1</v>
      </c>
      <c r="AI153" s="28">
        <v>1</v>
      </c>
      <c r="AJ153" s="28"/>
      <c r="AK153" s="28"/>
    </row>
    <row r="154" spans="1:37" ht="18.75" customHeight="1" x14ac:dyDescent="0.25">
      <c r="A154" s="11">
        <v>2024</v>
      </c>
      <c r="B154" s="12" t="s">
        <v>53</v>
      </c>
      <c r="C154" s="15" t="s">
        <v>160</v>
      </c>
      <c r="D154" s="39">
        <v>45525.616732210648</v>
      </c>
      <c r="E154" s="15" t="s">
        <v>161</v>
      </c>
      <c r="F154" s="15" t="s">
        <v>162</v>
      </c>
      <c r="G154" s="15" t="s">
        <v>163</v>
      </c>
      <c r="H154" s="15" t="s">
        <v>164</v>
      </c>
      <c r="I154" s="15" t="s">
        <v>63</v>
      </c>
      <c r="J154" s="15" t="s">
        <v>165</v>
      </c>
      <c r="K154" s="15" t="s">
        <v>65</v>
      </c>
      <c r="L154" s="17">
        <f>VLOOKUP(E154,[1]Diccionario!C$2:AC$150,22,0)</f>
        <v>523479413</v>
      </c>
      <c r="M154" s="18">
        <f>VLOOKUP(E154,[1]Diccionario!C$2:AC$150,24,0)</f>
        <v>45516</v>
      </c>
      <c r="N154" s="19">
        <f>VLOOKUP(E154,[1]Diccionario!C$2:AC$150,25,0)</f>
        <v>45595</v>
      </c>
      <c r="O154" s="20">
        <f>VLOOKUP(E154,[1]Diccionario!C$2:AC$150,26,0)</f>
        <v>2.6</v>
      </c>
      <c r="P154" s="20">
        <f t="shared" si="28"/>
        <v>-1.6</v>
      </c>
      <c r="Q154" s="20">
        <v>1</v>
      </c>
      <c r="R154" s="15">
        <v>3</v>
      </c>
      <c r="S154" s="21">
        <v>0.35</v>
      </c>
      <c r="T154" s="21">
        <v>0.25</v>
      </c>
      <c r="U154" s="22"/>
      <c r="V154" s="24"/>
      <c r="W154" s="24">
        <f t="shared" si="29"/>
        <v>130869853.25</v>
      </c>
      <c r="X154" s="24">
        <f t="shared" si="30"/>
        <v>183217794.54999998</v>
      </c>
      <c r="Y154" s="24">
        <f t="shared" si="31"/>
        <v>130869853.25</v>
      </c>
      <c r="Z154" s="24">
        <f t="shared" si="32"/>
        <v>-52347941.299999982</v>
      </c>
      <c r="AA154" s="25" t="str">
        <f t="shared" si="33"/>
        <v>No se realizó gasto en este corte</v>
      </c>
      <c r="AB154" s="26" t="str">
        <f t="shared" si="34"/>
        <v>Costo eficiente: se está gastando menos de lo presupuestado</v>
      </c>
      <c r="AC154" s="26">
        <f t="shared" si="35"/>
        <v>0.7142857142857143</v>
      </c>
      <c r="AD154" s="26" t="str">
        <f t="shared" si="36"/>
        <v>Proyecto atrasado con respecto al cronograma</v>
      </c>
      <c r="AE154" s="27">
        <f t="shared" si="37"/>
        <v>0</v>
      </c>
      <c r="AF154" s="27">
        <f t="shared" si="38"/>
        <v>-523479413</v>
      </c>
      <c r="AG154" s="28" t="str">
        <f>VLOOKUP(Indicador!E170,[1]Diccionario!C$1:AC$150,27,0)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54" s="28">
        <v>1</v>
      </c>
      <c r="AI154" s="28">
        <v>1</v>
      </c>
      <c r="AJ154" s="28"/>
      <c r="AK154" s="28"/>
    </row>
    <row r="155" spans="1:37" ht="18.75" customHeight="1" x14ac:dyDescent="0.25">
      <c r="A155" s="11">
        <v>2024</v>
      </c>
      <c r="B155" s="12" t="s">
        <v>54</v>
      </c>
      <c r="C155" s="15" t="s">
        <v>160</v>
      </c>
      <c r="D155" s="39">
        <v>45525.616732210648</v>
      </c>
      <c r="E155" s="15" t="s">
        <v>161</v>
      </c>
      <c r="F155" s="15" t="s">
        <v>162</v>
      </c>
      <c r="G155" s="15" t="s">
        <v>163</v>
      </c>
      <c r="H155" s="15" t="s">
        <v>164</v>
      </c>
      <c r="I155" s="15" t="s">
        <v>63</v>
      </c>
      <c r="J155" s="15" t="s">
        <v>165</v>
      </c>
      <c r="K155" s="15" t="s">
        <v>65</v>
      </c>
      <c r="L155" s="17">
        <f>VLOOKUP(E155,[1]Diccionario!C$2:AC$150,22,0)</f>
        <v>523479413</v>
      </c>
      <c r="M155" s="18">
        <f>VLOOKUP(E155,[1]Diccionario!C$2:AC$150,24,0)</f>
        <v>45516</v>
      </c>
      <c r="N155" s="19">
        <f>VLOOKUP(E155,[1]Diccionario!C$2:AC$150,25,0)</f>
        <v>45595</v>
      </c>
      <c r="O155" s="20">
        <f>VLOOKUP(E155,[1]Diccionario!C$2:AC$150,26,0)</f>
        <v>2.6</v>
      </c>
      <c r="P155" s="20">
        <f t="shared" si="28"/>
        <v>-0.60000000000000009</v>
      </c>
      <c r="Q155" s="20">
        <v>2</v>
      </c>
      <c r="R155" s="15">
        <v>3</v>
      </c>
      <c r="S155" s="21">
        <v>0.75</v>
      </c>
      <c r="T155" s="21">
        <v>0.35</v>
      </c>
      <c r="U155" s="22"/>
      <c r="V155" s="24"/>
      <c r="W155" s="24">
        <f t="shared" si="29"/>
        <v>183217794.54999998</v>
      </c>
      <c r="X155" s="24">
        <f t="shared" si="30"/>
        <v>392609559.75</v>
      </c>
      <c r="Y155" s="24">
        <f t="shared" si="31"/>
        <v>183217794.54999998</v>
      </c>
      <c r="Z155" s="24">
        <f t="shared" si="32"/>
        <v>-209391765.20000002</v>
      </c>
      <c r="AA155" s="25" t="str">
        <f t="shared" si="33"/>
        <v>No se realizó gasto en este corte</v>
      </c>
      <c r="AB155" s="26" t="str">
        <f t="shared" si="34"/>
        <v>Costo eficiente: se está gastando menos de lo presupuestado</v>
      </c>
      <c r="AC155" s="26">
        <f t="shared" si="35"/>
        <v>0.46666666666666662</v>
      </c>
      <c r="AD155" s="26" t="str">
        <f t="shared" si="36"/>
        <v>Proyecto atrasado con respecto al cronograma</v>
      </c>
      <c r="AE155" s="27">
        <f t="shared" si="37"/>
        <v>0</v>
      </c>
      <c r="AF155" s="27">
        <f t="shared" si="38"/>
        <v>-523479413</v>
      </c>
      <c r="AG155" s="28" t="str">
        <f>VLOOKUP(Indicador!E171,[1]Diccionario!C$1:AC$150,27,0)</f>
        <v>https://growdatasas.sharepoint.com/:x:/r/sites/Gestiondocumental/Administrativa/GD/Financiera/_layouts/15/Doc.aspx?sourcedoc=%7B8532EC43-3D9D-499E-986C-E4DDBEFDC382%7D&amp;file=20250122%20ELECTROHUILA_Modelo%20de%20negocio%20-%20(versi%C3%B3n%20real)_v20250122.xlsm&amp;action=default&amp;mobileredirect=true</v>
      </c>
      <c r="AH155" s="28">
        <v>1</v>
      </c>
      <c r="AI155" s="28">
        <v>1</v>
      </c>
      <c r="AJ155" s="28"/>
      <c r="AK155" s="28"/>
    </row>
    <row r="156" spans="1:37" ht="18.75" customHeight="1" x14ac:dyDescent="0.25">
      <c r="A156" s="11">
        <v>2024</v>
      </c>
      <c r="B156" s="12" t="s">
        <v>55</v>
      </c>
      <c r="C156" s="15" t="s">
        <v>160</v>
      </c>
      <c r="D156" s="39">
        <v>45525.616732210648</v>
      </c>
      <c r="E156" s="15" t="s">
        <v>161</v>
      </c>
      <c r="F156" s="15" t="s">
        <v>162</v>
      </c>
      <c r="G156" s="15" t="s">
        <v>163</v>
      </c>
      <c r="H156" s="15" t="s">
        <v>164</v>
      </c>
      <c r="I156" s="15" t="s">
        <v>63</v>
      </c>
      <c r="J156" s="15" t="s">
        <v>165</v>
      </c>
      <c r="K156" s="15" t="s">
        <v>65</v>
      </c>
      <c r="L156" s="17">
        <f>VLOOKUP(E156,[1]Diccionario!C$2:AC$150,22,0)</f>
        <v>523479413</v>
      </c>
      <c r="M156" s="18">
        <f>VLOOKUP(E156,[1]Diccionario!C$2:AC$150,24,0)</f>
        <v>45516</v>
      </c>
      <c r="N156" s="19">
        <f>VLOOKUP(E156,[1]Diccionario!C$2:AC$150,25,0)</f>
        <v>45595</v>
      </c>
      <c r="O156" s="20">
        <f>VLOOKUP(E156,[1]Diccionario!C$2:AC$150,26,0)</f>
        <v>2.6</v>
      </c>
      <c r="P156" s="20">
        <f t="shared" si="28"/>
        <v>0.39999999999999991</v>
      </c>
      <c r="Q156" s="20">
        <v>3</v>
      </c>
      <c r="R156" s="15">
        <v>3</v>
      </c>
      <c r="S156" s="21">
        <v>1</v>
      </c>
      <c r="T156" s="21">
        <v>0.55000000000000004</v>
      </c>
      <c r="U156" s="22"/>
      <c r="V156" s="24"/>
      <c r="W156" s="24">
        <f t="shared" si="29"/>
        <v>287913677.15000004</v>
      </c>
      <c r="X156" s="24">
        <f t="shared" si="30"/>
        <v>523479413</v>
      </c>
      <c r="Y156" s="24">
        <f t="shared" si="31"/>
        <v>287913677.15000004</v>
      </c>
      <c r="Z156" s="24">
        <f t="shared" si="32"/>
        <v>-235565735.84999996</v>
      </c>
      <c r="AA156" s="25" t="str">
        <f t="shared" si="33"/>
        <v>No se realizó gasto en este corte</v>
      </c>
      <c r="AB156" s="26" t="str">
        <f t="shared" si="34"/>
        <v>Costo eficiente: se está gastando menos de lo presupuestado</v>
      </c>
      <c r="AC156" s="26">
        <f t="shared" si="35"/>
        <v>0.55000000000000004</v>
      </c>
      <c r="AD156" s="26" t="str">
        <f t="shared" si="36"/>
        <v>Proyecto atrasado con respecto al cronograma</v>
      </c>
      <c r="AE156" s="27">
        <f t="shared" si="37"/>
        <v>0</v>
      </c>
      <c r="AF156" s="27">
        <f t="shared" si="38"/>
        <v>-523479413</v>
      </c>
      <c r="AG156" s="28" t="str">
        <f>VLOOKUP(Indicador!E172,[1]Diccionario!C$1:AC$150,27,0)</f>
        <v>https://growdatasas.sharepoint.com/:x:/r/sites/Gestiondocumental/Administrativa/GD/Financiera/_layouts/15/Doc.aspx?sourcedoc=%7B8532EC43-3D9D-499E-986C-E4DDBEFDC382%7D&amp;file=20250122%20ELECTROHUILA_Modelo%20de%20negocio%20-%20(versi%C3%B3n%20real)_v20250122.xlsm&amp;action=default&amp;mobileredirect=true</v>
      </c>
      <c r="AH156" s="28">
        <v>1</v>
      </c>
      <c r="AI156" s="28">
        <v>1</v>
      </c>
      <c r="AJ156" s="28"/>
      <c r="AK156" s="28"/>
    </row>
    <row r="157" spans="1:37" ht="18.75" customHeight="1" x14ac:dyDescent="0.25">
      <c r="A157" s="11">
        <v>2024</v>
      </c>
      <c r="B157" s="12" t="s">
        <v>56</v>
      </c>
      <c r="C157" s="15" t="s">
        <v>160</v>
      </c>
      <c r="D157" s="39">
        <v>45525.616732210648</v>
      </c>
      <c r="E157" s="15" t="s">
        <v>161</v>
      </c>
      <c r="F157" s="15" t="s">
        <v>162</v>
      </c>
      <c r="G157" s="15" t="s">
        <v>163</v>
      </c>
      <c r="H157" s="15" t="s">
        <v>164</v>
      </c>
      <c r="I157" s="15" t="s">
        <v>63</v>
      </c>
      <c r="J157" s="15" t="s">
        <v>165</v>
      </c>
      <c r="K157" s="15" t="s">
        <v>65</v>
      </c>
      <c r="L157" s="17">
        <f>VLOOKUP(E157,[1]Diccionario!C$2:AC$150,22,0)</f>
        <v>523479413</v>
      </c>
      <c r="M157" s="18">
        <f>VLOOKUP(E157,[1]Diccionario!C$2:AC$150,24,0)</f>
        <v>45516</v>
      </c>
      <c r="N157" s="19">
        <f>VLOOKUP(E157,[1]Diccionario!C$2:AC$150,25,0)</f>
        <v>45595</v>
      </c>
      <c r="O157" s="20">
        <f>VLOOKUP(E157,[1]Diccionario!C$2:AC$150,26,0)</f>
        <v>2.6</v>
      </c>
      <c r="P157" s="20">
        <f t="shared" si="28"/>
        <v>1.4</v>
      </c>
      <c r="Q157" s="20">
        <v>4</v>
      </c>
      <c r="R157" s="15">
        <v>3</v>
      </c>
      <c r="S157" s="21">
        <v>1</v>
      </c>
      <c r="T157" s="21">
        <v>0.75</v>
      </c>
      <c r="U157" s="22"/>
      <c r="V157" s="24"/>
      <c r="W157" s="24">
        <f t="shared" si="29"/>
        <v>392609559.75</v>
      </c>
      <c r="X157" s="24">
        <f t="shared" si="30"/>
        <v>523479413</v>
      </c>
      <c r="Y157" s="24">
        <f t="shared" si="31"/>
        <v>392609559.75</v>
      </c>
      <c r="Z157" s="24">
        <f t="shared" si="32"/>
        <v>-130869853.25</v>
      </c>
      <c r="AA157" s="25" t="str">
        <f t="shared" si="33"/>
        <v>No se realizó gasto en este corte</v>
      </c>
      <c r="AB157" s="26" t="str">
        <f t="shared" si="34"/>
        <v>Costo eficiente: se está gastando menos de lo presupuestado</v>
      </c>
      <c r="AC157" s="26">
        <f t="shared" si="35"/>
        <v>0.75</v>
      </c>
      <c r="AD157" s="26" t="str">
        <f t="shared" si="36"/>
        <v>Proyecto atrasado con respecto al cronograma</v>
      </c>
      <c r="AE157" s="27">
        <f t="shared" si="37"/>
        <v>0</v>
      </c>
      <c r="AF157" s="27">
        <f t="shared" si="38"/>
        <v>-523479413</v>
      </c>
      <c r="AG157" s="28" t="str">
        <f>VLOOKUP(Indicador!E173,[1]Diccionario!C$1:AC$150,27,0)</f>
        <v>https://growdatasas.sharepoint.com/:x:/r/sites/Gestiondocumental/Administrativa/GD/Financiera/_layouts/15/Doc.aspx?sourcedoc=%7B8532EC43-3D9D-499E-986C-E4DDBEFDC382%7D&amp;file=20250122%20ELECTROHUILA_Modelo%20de%20negocio%20-%20(versi%C3%B3n%20real)_v20250122.xlsm&amp;action=default&amp;mobileredirect=true</v>
      </c>
      <c r="AH157" s="28">
        <v>1</v>
      </c>
      <c r="AI157" s="28">
        <v>1</v>
      </c>
      <c r="AJ157" s="28"/>
      <c r="AK157" s="28"/>
    </row>
    <row r="158" spans="1:37" ht="18.75" customHeight="1" x14ac:dyDescent="0.25">
      <c r="A158" s="11">
        <v>2024</v>
      </c>
      <c r="B158" s="12" t="s">
        <v>53</v>
      </c>
      <c r="C158" s="15" t="s">
        <v>166</v>
      </c>
      <c r="D158" s="39">
        <v>45531.972959953702</v>
      </c>
      <c r="E158" s="15" t="s">
        <v>167</v>
      </c>
      <c r="F158" s="15" t="s">
        <v>89</v>
      </c>
      <c r="G158" s="15" t="s">
        <v>168</v>
      </c>
      <c r="H158" s="15" t="s">
        <v>169</v>
      </c>
      <c r="I158" s="15" t="s">
        <v>63</v>
      </c>
      <c r="J158" s="15" t="s">
        <v>170</v>
      </c>
      <c r="K158" s="15" t="s">
        <v>45</v>
      </c>
      <c r="L158" s="17">
        <f>VLOOKUP(E158,[1]Diccionario!C$2:AC$150,22,0)</f>
        <v>7397230574</v>
      </c>
      <c r="M158" s="18">
        <f>VLOOKUP(E158,[1]Diccionario!C$2:AC$150,24,0)</f>
        <v>45505</v>
      </c>
      <c r="N158" s="19">
        <f>VLOOKUP(E158,[1]Diccionario!C$2:AC$150,25,0)</f>
        <v>45807</v>
      </c>
      <c r="O158" s="20">
        <f>VLOOKUP(E158,[1]Diccionario!C$2:AC$150,26,0)</f>
        <v>9.9700000000000006</v>
      </c>
      <c r="P158" s="20">
        <f t="shared" si="28"/>
        <v>-8.9700000000000006</v>
      </c>
      <c r="Q158" s="20">
        <v>1</v>
      </c>
      <c r="R158" s="15">
        <v>10</v>
      </c>
      <c r="S158" s="21">
        <v>0.1</v>
      </c>
      <c r="T158" s="21">
        <v>0.1</v>
      </c>
      <c r="U158" s="22"/>
      <c r="V158" s="24"/>
      <c r="W158" s="24">
        <f t="shared" si="29"/>
        <v>739723057.4000001</v>
      </c>
      <c r="X158" s="24">
        <f t="shared" si="30"/>
        <v>739723057.4000001</v>
      </c>
      <c r="Y158" s="24">
        <f t="shared" si="31"/>
        <v>739723057.4000001</v>
      </c>
      <c r="Z158" s="24">
        <f t="shared" si="32"/>
        <v>0</v>
      </c>
      <c r="AA158" s="25" t="str">
        <f t="shared" si="33"/>
        <v>No se realizó gasto en este corte</v>
      </c>
      <c r="AB158" s="26" t="str">
        <f t="shared" si="34"/>
        <v>Costo eficiente: se está gastando menos de lo presupuestado</v>
      </c>
      <c r="AC158" s="26">
        <f t="shared" si="35"/>
        <v>1</v>
      </c>
      <c r="AD158" s="26" t="str">
        <f t="shared" si="36"/>
        <v>Proyecto a tiempo según lo planificado</v>
      </c>
      <c r="AE158" s="27">
        <f t="shared" si="37"/>
        <v>0</v>
      </c>
      <c r="AF158" s="27">
        <f t="shared" si="38"/>
        <v>-7397230574</v>
      </c>
      <c r="AG158" s="28" t="str">
        <f>VLOOKUP(Indicador!E157,[1]Diccionario!C$1:AC$150,27,0)</f>
        <v>https://growdatasas.sharepoint.com/:x:/r/sites/Gestiondocumental/Administrativa/GD/Financiera/_layouts/15/Doc.aspx?sourcedoc=%7B0288FE6C-6AAB-43FF-AEC6-9D8F73023920%7D&amp;file=29082024%20TELEFONICA_CORMAGDALENA%20V2.xlsm&amp;action=default&amp;mobileredirect=true</v>
      </c>
      <c r="AH158" s="28">
        <v>1</v>
      </c>
      <c r="AI158" s="28">
        <v>1</v>
      </c>
      <c r="AJ158" s="28"/>
      <c r="AK158" s="28"/>
    </row>
    <row r="159" spans="1:37" ht="18.75" customHeight="1" x14ac:dyDescent="0.25">
      <c r="A159" s="11">
        <v>2024</v>
      </c>
      <c r="B159" s="12" t="s">
        <v>54</v>
      </c>
      <c r="C159" s="15" t="s">
        <v>166</v>
      </c>
      <c r="D159" s="39">
        <v>45531.972959953702</v>
      </c>
      <c r="E159" s="15" t="s">
        <v>167</v>
      </c>
      <c r="F159" s="15" t="s">
        <v>89</v>
      </c>
      <c r="G159" s="15" t="s">
        <v>168</v>
      </c>
      <c r="H159" s="15" t="s">
        <v>169</v>
      </c>
      <c r="I159" s="15" t="s">
        <v>63</v>
      </c>
      <c r="J159" s="15" t="s">
        <v>170</v>
      </c>
      <c r="K159" s="15" t="s">
        <v>45</v>
      </c>
      <c r="L159" s="17">
        <f>VLOOKUP(E159,[1]Diccionario!C$2:AC$150,22,0)</f>
        <v>7397230574</v>
      </c>
      <c r="M159" s="18">
        <f>VLOOKUP(E159,[1]Diccionario!C$2:AC$150,24,0)</f>
        <v>45505</v>
      </c>
      <c r="N159" s="19">
        <f>VLOOKUP(E159,[1]Diccionario!C$2:AC$150,25,0)</f>
        <v>45807</v>
      </c>
      <c r="O159" s="20">
        <f>VLOOKUP(E159,[1]Diccionario!C$2:AC$150,26,0)</f>
        <v>9.9700000000000006</v>
      </c>
      <c r="P159" s="20">
        <f t="shared" si="28"/>
        <v>-7.9700000000000006</v>
      </c>
      <c r="Q159" s="20">
        <v>2</v>
      </c>
      <c r="R159" s="15">
        <v>10</v>
      </c>
      <c r="S159" s="21">
        <v>0.2</v>
      </c>
      <c r="T159" s="21">
        <v>0.2</v>
      </c>
      <c r="U159" s="22"/>
      <c r="V159" s="24"/>
      <c r="W159" s="24">
        <f t="shared" si="29"/>
        <v>1479446114.8000002</v>
      </c>
      <c r="X159" s="24">
        <f t="shared" si="30"/>
        <v>1479446114.8000002</v>
      </c>
      <c r="Y159" s="24">
        <f t="shared" si="31"/>
        <v>1479446114.8000002</v>
      </c>
      <c r="Z159" s="24">
        <f t="shared" si="32"/>
        <v>0</v>
      </c>
      <c r="AA159" s="25" t="str">
        <f t="shared" si="33"/>
        <v>No se realizó gasto en este corte</v>
      </c>
      <c r="AB159" s="26" t="str">
        <f t="shared" si="34"/>
        <v>Costo eficiente: se está gastando menos de lo presupuestado</v>
      </c>
      <c r="AC159" s="26">
        <f t="shared" si="35"/>
        <v>1</v>
      </c>
      <c r="AD159" s="26" t="str">
        <f t="shared" si="36"/>
        <v>Proyecto a tiempo según lo planificado</v>
      </c>
      <c r="AE159" s="27">
        <f t="shared" si="37"/>
        <v>0</v>
      </c>
      <c r="AF159" s="27">
        <f t="shared" si="38"/>
        <v>-7397230574</v>
      </c>
      <c r="AG159" s="28" t="str">
        <f>VLOOKUP(Indicador!E158,[1]Diccionario!C$1:AC$150,27,0)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59" s="28">
        <v>1</v>
      </c>
      <c r="AI159" s="28">
        <v>1</v>
      </c>
      <c r="AJ159" s="28"/>
      <c r="AK159" s="28"/>
    </row>
    <row r="160" spans="1:37" ht="18.75" customHeight="1" x14ac:dyDescent="0.25">
      <c r="A160" s="11">
        <v>2024</v>
      </c>
      <c r="B160" s="12" t="s">
        <v>55</v>
      </c>
      <c r="C160" s="15" t="s">
        <v>166</v>
      </c>
      <c r="D160" s="39">
        <v>45531.972959953702</v>
      </c>
      <c r="E160" s="15" t="s">
        <v>167</v>
      </c>
      <c r="F160" s="15" t="s">
        <v>89</v>
      </c>
      <c r="G160" s="15" t="s">
        <v>168</v>
      </c>
      <c r="H160" s="15" t="s">
        <v>169</v>
      </c>
      <c r="I160" s="15" t="s">
        <v>63</v>
      </c>
      <c r="J160" s="15" t="s">
        <v>170</v>
      </c>
      <c r="K160" s="15" t="s">
        <v>45</v>
      </c>
      <c r="L160" s="17">
        <f>VLOOKUP(E160,[1]Diccionario!C$2:AC$150,22,0)</f>
        <v>7397230574</v>
      </c>
      <c r="M160" s="18">
        <f>VLOOKUP(E160,[1]Diccionario!C$2:AC$150,24,0)</f>
        <v>45505</v>
      </c>
      <c r="N160" s="19">
        <f>VLOOKUP(E160,[1]Diccionario!C$2:AC$150,25,0)</f>
        <v>45807</v>
      </c>
      <c r="O160" s="20">
        <f>VLOOKUP(E160,[1]Diccionario!C$2:AC$150,26,0)</f>
        <v>9.9700000000000006</v>
      </c>
      <c r="P160" s="20">
        <f t="shared" si="28"/>
        <v>-6.9700000000000006</v>
      </c>
      <c r="Q160" s="20">
        <v>3</v>
      </c>
      <c r="R160" s="15">
        <v>10</v>
      </c>
      <c r="S160" s="21">
        <v>0.3</v>
      </c>
      <c r="T160" s="21">
        <v>0.25</v>
      </c>
      <c r="U160" s="22"/>
      <c r="V160" s="24"/>
      <c r="W160" s="24">
        <f t="shared" si="29"/>
        <v>1849307643.5</v>
      </c>
      <c r="X160" s="24">
        <f t="shared" si="30"/>
        <v>2219169172.1999998</v>
      </c>
      <c r="Y160" s="24">
        <f t="shared" si="31"/>
        <v>1849307643.5</v>
      </c>
      <c r="Z160" s="24">
        <f t="shared" si="32"/>
        <v>-369861528.69999981</v>
      </c>
      <c r="AA160" s="25" t="str">
        <f t="shared" si="33"/>
        <v>No se realizó gasto en este corte</v>
      </c>
      <c r="AB160" s="26" t="str">
        <f t="shared" si="34"/>
        <v>Costo eficiente: se está gastando menos de lo presupuestado</v>
      </c>
      <c r="AC160" s="26">
        <f t="shared" si="35"/>
        <v>0.83333333333333337</v>
      </c>
      <c r="AD160" s="26" t="str">
        <f t="shared" si="36"/>
        <v>Proyecto atrasado con respecto al cronograma</v>
      </c>
      <c r="AE160" s="27">
        <f t="shared" si="37"/>
        <v>0</v>
      </c>
      <c r="AF160" s="27">
        <f t="shared" si="38"/>
        <v>-7397230574</v>
      </c>
      <c r="AG160" s="28" t="str">
        <f>VLOOKUP(Indicador!E159,[1]Diccionario!C$1:AC$150,27,0)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60" s="28">
        <v>1</v>
      </c>
      <c r="AI160" s="28">
        <v>1</v>
      </c>
      <c r="AJ160" s="28"/>
      <c r="AK160" s="28"/>
    </row>
    <row r="161" spans="1:37" ht="18.75" customHeight="1" x14ac:dyDescent="0.25">
      <c r="A161" s="11">
        <v>2024</v>
      </c>
      <c r="B161" s="12" t="s">
        <v>56</v>
      </c>
      <c r="C161" s="15" t="s">
        <v>166</v>
      </c>
      <c r="D161" s="39">
        <v>45531.972959953702</v>
      </c>
      <c r="E161" s="15" t="s">
        <v>167</v>
      </c>
      <c r="F161" s="15" t="s">
        <v>89</v>
      </c>
      <c r="G161" s="15" t="s">
        <v>168</v>
      </c>
      <c r="H161" s="15" t="s">
        <v>169</v>
      </c>
      <c r="I161" s="15" t="s">
        <v>63</v>
      </c>
      <c r="J161" s="15" t="s">
        <v>170</v>
      </c>
      <c r="K161" s="15" t="s">
        <v>45</v>
      </c>
      <c r="L161" s="17">
        <f>VLOOKUP(E161,[1]Diccionario!C$2:AC$150,22,0)</f>
        <v>7397230574</v>
      </c>
      <c r="M161" s="18">
        <f>VLOOKUP(E161,[1]Diccionario!C$2:AC$150,24,0)</f>
        <v>45505</v>
      </c>
      <c r="N161" s="19">
        <f>VLOOKUP(E161,[1]Diccionario!C$2:AC$150,25,0)</f>
        <v>45807</v>
      </c>
      <c r="O161" s="20">
        <f>VLOOKUP(E161,[1]Diccionario!C$2:AC$150,26,0)</f>
        <v>9.9700000000000006</v>
      </c>
      <c r="P161" s="20">
        <f t="shared" si="28"/>
        <v>-5.9700000000000006</v>
      </c>
      <c r="Q161" s="20">
        <v>4</v>
      </c>
      <c r="R161" s="15">
        <v>10</v>
      </c>
      <c r="S161" s="21">
        <v>0.4</v>
      </c>
      <c r="T161" s="21">
        <v>0.35</v>
      </c>
      <c r="U161" s="22"/>
      <c r="V161" s="24"/>
      <c r="W161" s="24">
        <f t="shared" si="29"/>
        <v>2589030700.8999996</v>
      </c>
      <c r="X161" s="24">
        <f t="shared" si="30"/>
        <v>2958892229.6000004</v>
      </c>
      <c r="Y161" s="24">
        <f t="shared" si="31"/>
        <v>2589030700.8999996</v>
      </c>
      <c r="Z161" s="24">
        <f t="shared" si="32"/>
        <v>-369861528.70000076</v>
      </c>
      <c r="AA161" s="25" t="str">
        <f t="shared" si="33"/>
        <v>No se realizó gasto en este corte</v>
      </c>
      <c r="AB161" s="26" t="str">
        <f t="shared" si="34"/>
        <v>Costo eficiente: se está gastando menos de lo presupuestado</v>
      </c>
      <c r="AC161" s="26">
        <f t="shared" si="35"/>
        <v>0.87499999999999978</v>
      </c>
      <c r="AD161" s="26" t="str">
        <f t="shared" si="36"/>
        <v>Proyecto atrasado con respecto al cronograma</v>
      </c>
      <c r="AE161" s="27">
        <f t="shared" si="37"/>
        <v>0</v>
      </c>
      <c r="AF161" s="27">
        <f t="shared" si="38"/>
        <v>-7397230574</v>
      </c>
      <c r="AG161" s="28" t="str">
        <f>VLOOKUP(Indicador!E160,[1]Diccionario!C$1:AC$150,27,0)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61" s="28">
        <v>1</v>
      </c>
      <c r="AI161" s="28">
        <v>1</v>
      </c>
      <c r="AJ161" s="28"/>
      <c r="AK161" s="28"/>
    </row>
    <row r="162" spans="1:37" ht="18.75" customHeight="1" x14ac:dyDescent="0.25">
      <c r="A162" s="11">
        <v>2024</v>
      </c>
      <c r="B162" s="12" t="s">
        <v>57</v>
      </c>
      <c r="C162" s="15" t="s">
        <v>166</v>
      </c>
      <c r="D162" s="39">
        <v>45531.972959953702</v>
      </c>
      <c r="E162" s="15" t="s">
        <v>167</v>
      </c>
      <c r="F162" s="15" t="s">
        <v>89</v>
      </c>
      <c r="G162" s="15" t="s">
        <v>168</v>
      </c>
      <c r="H162" s="15" t="s">
        <v>169</v>
      </c>
      <c r="I162" s="15" t="s">
        <v>63</v>
      </c>
      <c r="J162" s="15" t="s">
        <v>170</v>
      </c>
      <c r="K162" s="15" t="s">
        <v>45</v>
      </c>
      <c r="L162" s="17">
        <f>VLOOKUP(E162,[1]Diccionario!C$2:AC$150,22,0)</f>
        <v>7397230574</v>
      </c>
      <c r="M162" s="18">
        <f>VLOOKUP(E162,[1]Diccionario!C$2:AC$150,24,0)</f>
        <v>45505</v>
      </c>
      <c r="N162" s="19">
        <f>VLOOKUP(E162,[1]Diccionario!C$2:AC$150,25,0)</f>
        <v>45807</v>
      </c>
      <c r="O162" s="20">
        <f>VLOOKUP(E162,[1]Diccionario!C$2:AC$150,26,0)</f>
        <v>9.9700000000000006</v>
      </c>
      <c r="P162" s="20">
        <f t="shared" si="28"/>
        <v>-4.9700000000000006</v>
      </c>
      <c r="Q162" s="20">
        <v>5</v>
      </c>
      <c r="R162" s="15">
        <v>10</v>
      </c>
      <c r="S162" s="21">
        <v>0.5</v>
      </c>
      <c r="T162" s="21">
        <v>0.45</v>
      </c>
      <c r="U162" s="22"/>
      <c r="V162" s="24"/>
      <c r="W162" s="24">
        <f t="shared" si="29"/>
        <v>3328753758.3000002</v>
      </c>
      <c r="X162" s="24">
        <f t="shared" si="30"/>
        <v>3698615287</v>
      </c>
      <c r="Y162" s="24">
        <f t="shared" si="31"/>
        <v>3328753758.3000002</v>
      </c>
      <c r="Z162" s="24">
        <f t="shared" si="32"/>
        <v>-369861528.69999981</v>
      </c>
      <c r="AA162" s="25" t="str">
        <f t="shared" si="33"/>
        <v>No se realizó gasto en este corte</v>
      </c>
      <c r="AB162" s="26" t="str">
        <f t="shared" si="34"/>
        <v>Costo eficiente: se está gastando menos de lo presupuestado</v>
      </c>
      <c r="AC162" s="26">
        <f t="shared" si="35"/>
        <v>0.9</v>
      </c>
      <c r="AD162" s="26" t="str">
        <f t="shared" si="36"/>
        <v>Proyecto atrasado con respecto al cronograma</v>
      </c>
      <c r="AE162" s="27">
        <f t="shared" si="37"/>
        <v>0</v>
      </c>
      <c r="AF162" s="27">
        <f t="shared" si="38"/>
        <v>-7397230574</v>
      </c>
      <c r="AG162" s="28" t="str">
        <f>VLOOKUP(Indicador!E161,[1]Diccionario!C$1:AC$150,27,0)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62" s="28">
        <v>1</v>
      </c>
      <c r="AI162" s="28">
        <v>1</v>
      </c>
      <c r="AJ162" s="28"/>
      <c r="AK162" s="28"/>
    </row>
    <row r="163" spans="1:37" ht="18.75" customHeight="1" x14ac:dyDescent="0.25">
      <c r="A163" s="11">
        <v>2025</v>
      </c>
      <c r="B163" s="12" t="s">
        <v>37</v>
      </c>
      <c r="C163" s="15" t="s">
        <v>166</v>
      </c>
      <c r="D163" s="39">
        <v>45531.972959953702</v>
      </c>
      <c r="E163" s="15" t="s">
        <v>167</v>
      </c>
      <c r="F163" s="15" t="s">
        <v>89</v>
      </c>
      <c r="G163" s="15" t="s">
        <v>168</v>
      </c>
      <c r="H163" s="15" t="s">
        <v>169</v>
      </c>
      <c r="I163" s="15" t="s">
        <v>63</v>
      </c>
      <c r="J163" s="15" t="s">
        <v>170</v>
      </c>
      <c r="K163" s="15" t="s">
        <v>45</v>
      </c>
      <c r="L163" s="17">
        <f>VLOOKUP(E163,[1]Diccionario!C$2:AC$150,22,0)</f>
        <v>7397230574</v>
      </c>
      <c r="M163" s="18">
        <f>VLOOKUP(E163,[1]Diccionario!C$2:AC$150,24,0)</f>
        <v>45505</v>
      </c>
      <c r="N163" s="19">
        <f>VLOOKUP(E163,[1]Diccionario!C$2:AC$150,25,0)</f>
        <v>45807</v>
      </c>
      <c r="O163" s="20">
        <f>VLOOKUP(E163,[1]Diccionario!C$2:AC$150,26,0)</f>
        <v>9.9700000000000006</v>
      </c>
      <c r="P163" s="20">
        <f t="shared" si="28"/>
        <v>-3.9700000000000006</v>
      </c>
      <c r="Q163" s="20">
        <v>6</v>
      </c>
      <c r="R163" s="15">
        <v>10</v>
      </c>
      <c r="S163" s="21">
        <v>0.6</v>
      </c>
      <c r="T163" s="21">
        <v>0.5</v>
      </c>
      <c r="U163" s="22"/>
      <c r="V163" s="24"/>
      <c r="W163" s="24">
        <f t="shared" si="29"/>
        <v>3698615287</v>
      </c>
      <c r="X163" s="24">
        <f t="shared" si="30"/>
        <v>4438338344.3999996</v>
      </c>
      <c r="Y163" s="24">
        <f t="shared" si="31"/>
        <v>3698615287</v>
      </c>
      <c r="Z163" s="24">
        <f t="shared" si="32"/>
        <v>-739723057.39999962</v>
      </c>
      <c r="AA163" s="25" t="str">
        <f t="shared" si="33"/>
        <v>No se realizó gasto en este corte</v>
      </c>
      <c r="AB163" s="26" t="str">
        <f t="shared" si="34"/>
        <v>Costo eficiente: se está gastando menos de lo presupuestado</v>
      </c>
      <c r="AC163" s="26">
        <f t="shared" si="35"/>
        <v>0.83333333333333337</v>
      </c>
      <c r="AD163" s="26" t="str">
        <f t="shared" si="36"/>
        <v>Proyecto atrasado con respecto al cronograma</v>
      </c>
      <c r="AE163" s="27">
        <f t="shared" si="37"/>
        <v>0</v>
      </c>
      <c r="AF163" s="27">
        <f t="shared" si="38"/>
        <v>-7397230574</v>
      </c>
      <c r="AG163" s="28" t="str">
        <f>VLOOKUP(Indicador!E162,[1]Diccionario!C$1:AC$150,27,0)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63" s="28">
        <v>1</v>
      </c>
      <c r="AI163" s="28">
        <v>1</v>
      </c>
      <c r="AJ163" s="28"/>
      <c r="AK163" s="28"/>
    </row>
    <row r="164" spans="1:37" ht="18.75" customHeight="1" x14ac:dyDescent="0.25">
      <c r="A164" s="11">
        <v>2025</v>
      </c>
      <c r="B164" s="12" t="s">
        <v>47</v>
      </c>
      <c r="C164" s="15" t="s">
        <v>166</v>
      </c>
      <c r="D164" s="39">
        <v>45531.972959953702</v>
      </c>
      <c r="E164" s="15" t="s">
        <v>167</v>
      </c>
      <c r="F164" s="15" t="s">
        <v>89</v>
      </c>
      <c r="G164" s="15" t="s">
        <v>168</v>
      </c>
      <c r="H164" s="15" t="s">
        <v>169</v>
      </c>
      <c r="I164" s="15" t="s">
        <v>63</v>
      </c>
      <c r="J164" s="15" t="s">
        <v>170</v>
      </c>
      <c r="K164" s="15" t="s">
        <v>45</v>
      </c>
      <c r="L164" s="17">
        <f>VLOOKUP(E164,[1]Diccionario!C$2:AC$150,22,0)</f>
        <v>7397230574</v>
      </c>
      <c r="M164" s="18">
        <f>VLOOKUP(E164,[1]Diccionario!C$2:AC$150,24,0)</f>
        <v>45505</v>
      </c>
      <c r="N164" s="19">
        <f>VLOOKUP(E164,[1]Diccionario!C$2:AC$150,25,0)</f>
        <v>45807</v>
      </c>
      <c r="O164" s="20">
        <f>VLOOKUP(E164,[1]Diccionario!C$2:AC$150,26,0)</f>
        <v>9.9700000000000006</v>
      </c>
      <c r="P164" s="20">
        <f t="shared" si="28"/>
        <v>-2.9700000000000006</v>
      </c>
      <c r="Q164" s="20">
        <v>7</v>
      </c>
      <c r="R164" s="15">
        <v>10</v>
      </c>
      <c r="S164" s="21">
        <v>0.7</v>
      </c>
      <c r="T164" s="21">
        <v>0.6</v>
      </c>
      <c r="U164" s="22"/>
      <c r="V164" s="24"/>
      <c r="W164" s="24">
        <f t="shared" si="29"/>
        <v>4438338344.3999996</v>
      </c>
      <c r="X164" s="24">
        <f t="shared" si="30"/>
        <v>5178061401.7999992</v>
      </c>
      <c r="Y164" s="24">
        <f t="shared" si="31"/>
        <v>4438338344.3999996</v>
      </c>
      <c r="Z164" s="24">
        <f t="shared" si="32"/>
        <v>-739723057.39999962</v>
      </c>
      <c r="AA164" s="25" t="str">
        <f t="shared" si="33"/>
        <v>No se realizó gasto en este corte</v>
      </c>
      <c r="AB164" s="26" t="str">
        <f t="shared" si="34"/>
        <v>Costo eficiente: se está gastando menos de lo presupuestado</v>
      </c>
      <c r="AC164" s="26">
        <f t="shared" si="35"/>
        <v>0.85714285714285721</v>
      </c>
      <c r="AD164" s="26" t="str">
        <f t="shared" si="36"/>
        <v>Proyecto atrasado con respecto al cronograma</v>
      </c>
      <c r="AE164" s="27">
        <f t="shared" si="37"/>
        <v>0</v>
      </c>
      <c r="AF164" s="27">
        <f t="shared" si="38"/>
        <v>-7397230574</v>
      </c>
      <c r="AG164" s="28" t="str">
        <f>VLOOKUP(Indicador!E163,[1]Diccionario!C$1:AC$150,27,0)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64" s="28">
        <v>1</v>
      </c>
      <c r="AI164" s="28">
        <v>1</v>
      </c>
      <c r="AJ164" s="28"/>
      <c r="AK164" s="28"/>
    </row>
    <row r="165" spans="1:37" ht="18.75" customHeight="1" x14ac:dyDescent="0.25">
      <c r="A165" s="11">
        <v>2025</v>
      </c>
      <c r="B165" s="12" t="s">
        <v>48</v>
      </c>
      <c r="C165" s="15" t="s">
        <v>166</v>
      </c>
      <c r="D165" s="39">
        <v>45531.972959953702</v>
      </c>
      <c r="E165" s="15" t="s">
        <v>167</v>
      </c>
      <c r="F165" s="15" t="s">
        <v>89</v>
      </c>
      <c r="G165" s="15" t="s">
        <v>168</v>
      </c>
      <c r="H165" s="15" t="s">
        <v>169</v>
      </c>
      <c r="I165" s="15" t="s">
        <v>63</v>
      </c>
      <c r="J165" s="15" t="s">
        <v>170</v>
      </c>
      <c r="K165" s="15" t="s">
        <v>45</v>
      </c>
      <c r="L165" s="17">
        <f>VLOOKUP(E165,[1]Diccionario!C$2:AC$150,22,0)</f>
        <v>7397230574</v>
      </c>
      <c r="M165" s="18">
        <f>VLOOKUP(E165,[1]Diccionario!C$2:AC$150,24,0)</f>
        <v>45505</v>
      </c>
      <c r="N165" s="19">
        <f>VLOOKUP(E165,[1]Diccionario!C$2:AC$150,25,0)</f>
        <v>45807</v>
      </c>
      <c r="O165" s="20">
        <f>VLOOKUP(E165,[1]Diccionario!C$2:AC$150,26,0)</f>
        <v>9.9700000000000006</v>
      </c>
      <c r="P165" s="20">
        <f t="shared" si="28"/>
        <v>-1.9700000000000006</v>
      </c>
      <c r="Q165" s="20">
        <v>8</v>
      </c>
      <c r="R165" s="15">
        <v>10</v>
      </c>
      <c r="S165" s="21">
        <v>0.8</v>
      </c>
      <c r="T165" s="21">
        <v>0.75</v>
      </c>
      <c r="U165" s="22"/>
      <c r="V165" s="24"/>
      <c r="W165" s="24">
        <f t="shared" si="29"/>
        <v>5547922930.5</v>
      </c>
      <c r="X165" s="24">
        <f t="shared" si="30"/>
        <v>5917784459.2000008</v>
      </c>
      <c r="Y165" s="24">
        <f t="shared" si="31"/>
        <v>5547922930.5</v>
      </c>
      <c r="Z165" s="24">
        <f t="shared" si="32"/>
        <v>-369861528.70000076</v>
      </c>
      <c r="AA165" s="25" t="str">
        <f t="shared" si="33"/>
        <v>No se realizó gasto en este corte</v>
      </c>
      <c r="AB165" s="26" t="str">
        <f t="shared" si="34"/>
        <v>Costo eficiente: se está gastando menos de lo presupuestado</v>
      </c>
      <c r="AC165" s="26">
        <f t="shared" si="35"/>
        <v>0.93749999999999989</v>
      </c>
      <c r="AD165" s="26" t="str">
        <f t="shared" si="36"/>
        <v>Proyecto atrasado con respecto al cronograma</v>
      </c>
      <c r="AE165" s="27">
        <f t="shared" si="37"/>
        <v>0</v>
      </c>
      <c r="AF165" s="27">
        <f t="shared" si="38"/>
        <v>-7397230574</v>
      </c>
      <c r="AG165" s="28" t="str">
        <f>VLOOKUP(Indicador!E164,[1]Diccionario!C$1:AC$150,27,0)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65" s="28">
        <v>1</v>
      </c>
      <c r="AI165" s="28">
        <v>1</v>
      </c>
      <c r="AJ165" s="28"/>
      <c r="AK165" s="28"/>
    </row>
    <row r="166" spans="1:37" ht="18.75" customHeight="1" x14ac:dyDescent="0.25">
      <c r="A166" s="11">
        <v>2025</v>
      </c>
      <c r="B166" s="12" t="s">
        <v>49</v>
      </c>
      <c r="C166" s="15" t="s">
        <v>166</v>
      </c>
      <c r="D166" s="39">
        <v>45531.972959953702</v>
      </c>
      <c r="E166" s="15" t="s">
        <v>167</v>
      </c>
      <c r="F166" s="15" t="s">
        <v>89</v>
      </c>
      <c r="G166" s="15" t="s">
        <v>168</v>
      </c>
      <c r="H166" s="15" t="s">
        <v>169</v>
      </c>
      <c r="I166" s="15" t="s">
        <v>63</v>
      </c>
      <c r="J166" s="15" t="s">
        <v>170</v>
      </c>
      <c r="K166" s="15" t="s">
        <v>45</v>
      </c>
      <c r="L166" s="17">
        <f>VLOOKUP(E166,[1]Diccionario!C$2:AC$150,22,0)</f>
        <v>7397230574</v>
      </c>
      <c r="M166" s="18">
        <f>VLOOKUP(E166,[1]Diccionario!C$2:AC$150,24,0)</f>
        <v>45505</v>
      </c>
      <c r="N166" s="19">
        <f>VLOOKUP(E166,[1]Diccionario!C$2:AC$150,25,0)</f>
        <v>45807</v>
      </c>
      <c r="O166" s="20">
        <f>VLOOKUP(E166,[1]Diccionario!C$2:AC$150,26,0)</f>
        <v>9.9700000000000006</v>
      </c>
      <c r="P166" s="20">
        <f t="shared" si="28"/>
        <v>-0.97000000000000064</v>
      </c>
      <c r="Q166" s="20">
        <v>9</v>
      </c>
      <c r="R166" s="15">
        <v>10</v>
      </c>
      <c r="S166" s="21">
        <v>0.9</v>
      </c>
      <c r="T166" s="21">
        <v>0.85</v>
      </c>
      <c r="U166" s="22"/>
      <c r="V166" s="24"/>
      <c r="W166" s="24">
        <f t="shared" si="29"/>
        <v>6287645987.8999996</v>
      </c>
      <c r="X166" s="24">
        <f t="shared" si="30"/>
        <v>6657507516.6000004</v>
      </c>
      <c r="Y166" s="24">
        <f t="shared" si="31"/>
        <v>6287645987.8999996</v>
      </c>
      <c r="Z166" s="24">
        <f t="shared" si="32"/>
        <v>-369861528.70000076</v>
      </c>
      <c r="AA166" s="25" t="str">
        <f t="shared" si="33"/>
        <v>No se realizó gasto en este corte</v>
      </c>
      <c r="AB166" s="26" t="str">
        <f t="shared" si="34"/>
        <v>Costo eficiente: se está gastando menos de lo presupuestado</v>
      </c>
      <c r="AC166" s="26">
        <f t="shared" si="35"/>
        <v>0.94444444444444431</v>
      </c>
      <c r="AD166" s="26" t="str">
        <f t="shared" si="36"/>
        <v>Proyecto atrasado con respecto al cronograma</v>
      </c>
      <c r="AE166" s="27">
        <f t="shared" si="37"/>
        <v>0</v>
      </c>
      <c r="AF166" s="27">
        <f t="shared" si="38"/>
        <v>-7397230574</v>
      </c>
      <c r="AG166" s="28" t="str">
        <f>VLOOKUP(Indicador!E165,[1]Diccionario!C$1:AC$150,27,0)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66" s="28">
        <v>1</v>
      </c>
      <c r="AI166" s="28">
        <v>1</v>
      </c>
      <c r="AJ166" s="28"/>
      <c r="AK166" s="28"/>
    </row>
    <row r="167" spans="1:37" ht="18.75" customHeight="1" x14ac:dyDescent="0.25">
      <c r="A167" s="11">
        <v>2025</v>
      </c>
      <c r="B167" s="12" t="s">
        <v>50</v>
      </c>
      <c r="C167" s="15" t="s">
        <v>166</v>
      </c>
      <c r="D167" s="39">
        <v>45531.972959953702</v>
      </c>
      <c r="E167" s="15" t="s">
        <v>167</v>
      </c>
      <c r="F167" s="15" t="s">
        <v>89</v>
      </c>
      <c r="G167" s="15" t="s">
        <v>168</v>
      </c>
      <c r="H167" s="15" t="s">
        <v>169</v>
      </c>
      <c r="I167" s="15" t="s">
        <v>63</v>
      </c>
      <c r="J167" s="15" t="s">
        <v>170</v>
      </c>
      <c r="K167" s="15" t="s">
        <v>45</v>
      </c>
      <c r="L167" s="17">
        <f>VLOOKUP(E167,[1]Diccionario!C$2:AC$150,22,0)</f>
        <v>7397230574</v>
      </c>
      <c r="M167" s="18">
        <f>VLOOKUP(E167,[1]Diccionario!C$2:AC$150,24,0)</f>
        <v>45505</v>
      </c>
      <c r="N167" s="19">
        <f>VLOOKUP(E167,[1]Diccionario!C$2:AC$150,25,0)</f>
        <v>45807</v>
      </c>
      <c r="O167" s="20">
        <f>VLOOKUP(E167,[1]Diccionario!C$2:AC$150,26,0)</f>
        <v>9.9700000000000006</v>
      </c>
      <c r="P167" s="20">
        <f t="shared" si="28"/>
        <v>2.9999999999999361E-2</v>
      </c>
      <c r="Q167" s="20">
        <v>10</v>
      </c>
      <c r="R167" s="15">
        <v>10</v>
      </c>
      <c r="S167" s="21">
        <v>0.95</v>
      </c>
      <c r="T167" s="21">
        <v>0.9</v>
      </c>
      <c r="U167" s="22"/>
      <c r="V167" s="24"/>
      <c r="W167" s="24">
        <f t="shared" si="29"/>
        <v>6657507516.6000004</v>
      </c>
      <c r="X167" s="24">
        <f t="shared" si="30"/>
        <v>7027369045.2999992</v>
      </c>
      <c r="Y167" s="24">
        <f t="shared" si="31"/>
        <v>6657507516.6000004</v>
      </c>
      <c r="Z167" s="24">
        <f t="shared" si="32"/>
        <v>-369861528.69999886</v>
      </c>
      <c r="AA167" s="25" t="str">
        <f t="shared" si="33"/>
        <v>No se realizó gasto en este corte</v>
      </c>
      <c r="AB167" s="26" t="str">
        <f t="shared" si="34"/>
        <v>Costo eficiente: se está gastando menos de lo presupuestado</v>
      </c>
      <c r="AC167" s="26">
        <f t="shared" si="35"/>
        <v>0.94736842105263175</v>
      </c>
      <c r="AD167" s="26" t="str">
        <f t="shared" si="36"/>
        <v>Proyecto atrasado con respecto al cronograma</v>
      </c>
      <c r="AE167" s="27">
        <f t="shared" si="37"/>
        <v>0</v>
      </c>
      <c r="AF167" s="27">
        <f t="shared" si="38"/>
        <v>-7397230574</v>
      </c>
      <c r="AG167" s="28" t="str">
        <f>VLOOKUP(Indicador!E166,[1]Diccionario!C$1:AC$150,27,0)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67" s="28">
        <v>1</v>
      </c>
      <c r="AI167" s="28">
        <v>1</v>
      </c>
      <c r="AJ167" s="28"/>
      <c r="AK167" s="28"/>
    </row>
    <row r="168" spans="1:37" ht="18.75" customHeight="1" x14ac:dyDescent="0.25">
      <c r="A168" s="11">
        <v>2025</v>
      </c>
      <c r="B168" s="12" t="s">
        <v>51</v>
      </c>
      <c r="C168" s="15" t="s">
        <v>166</v>
      </c>
      <c r="D168" s="39">
        <v>45531.972959953702</v>
      </c>
      <c r="E168" s="15" t="s">
        <v>167</v>
      </c>
      <c r="F168" s="15" t="s">
        <v>89</v>
      </c>
      <c r="G168" s="15" t="s">
        <v>168</v>
      </c>
      <c r="H168" s="15" t="s">
        <v>169</v>
      </c>
      <c r="I168" s="15" t="s">
        <v>63</v>
      </c>
      <c r="J168" s="15" t="s">
        <v>170</v>
      </c>
      <c r="K168" s="15" t="s">
        <v>45</v>
      </c>
      <c r="L168" s="17">
        <f>VLOOKUP(E168,[1]Diccionario!C$2:AC$150,22,0)</f>
        <v>7397230574</v>
      </c>
      <c r="M168" s="18">
        <f>VLOOKUP(E168,[1]Diccionario!C$2:AC$150,24,0)</f>
        <v>45505</v>
      </c>
      <c r="N168" s="19">
        <f>VLOOKUP(E168,[1]Diccionario!C$2:AC$150,25,0)</f>
        <v>45807</v>
      </c>
      <c r="O168" s="20">
        <f>VLOOKUP(E168,[1]Diccionario!C$2:AC$150,26,0)</f>
        <v>9.9700000000000006</v>
      </c>
      <c r="P168" s="20">
        <f t="shared" si="28"/>
        <v>1.0299999999999994</v>
      </c>
      <c r="Q168" s="20">
        <v>11</v>
      </c>
      <c r="R168" s="15">
        <v>10</v>
      </c>
      <c r="S168" s="21">
        <v>1</v>
      </c>
      <c r="T168" s="21">
        <v>0.95</v>
      </c>
      <c r="U168" s="22"/>
      <c r="V168" s="24"/>
      <c r="W168" s="24">
        <f t="shared" si="29"/>
        <v>7027369045.2999992</v>
      </c>
      <c r="X168" s="24">
        <f t="shared" si="30"/>
        <v>7397230574</v>
      </c>
      <c r="Y168" s="24">
        <f t="shared" si="31"/>
        <v>7027369045.2999992</v>
      </c>
      <c r="Z168" s="24">
        <f t="shared" si="32"/>
        <v>-369861528.70000076</v>
      </c>
      <c r="AA168" s="25" t="str">
        <f t="shared" si="33"/>
        <v>No se realizó gasto en este corte</v>
      </c>
      <c r="AB168" s="26" t="str">
        <f t="shared" si="34"/>
        <v>Costo eficiente: se está gastando menos de lo presupuestado</v>
      </c>
      <c r="AC168" s="26">
        <f t="shared" si="35"/>
        <v>0.94999999999999984</v>
      </c>
      <c r="AD168" s="26" t="str">
        <f t="shared" si="36"/>
        <v>Proyecto atrasado con respecto al cronograma</v>
      </c>
      <c r="AE168" s="27">
        <f t="shared" si="37"/>
        <v>0</v>
      </c>
      <c r="AF168" s="27">
        <f t="shared" si="38"/>
        <v>-7397230574</v>
      </c>
      <c r="AG168" s="28" t="str">
        <f>VLOOKUP(Indicador!E167,[1]Diccionario!C$1:AC$150,27,0)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68" s="28">
        <v>1</v>
      </c>
      <c r="AI168" s="28">
        <v>1</v>
      </c>
      <c r="AJ168" s="28"/>
      <c r="AK168" s="28"/>
    </row>
    <row r="169" spans="1:37" ht="18.75" customHeight="1" x14ac:dyDescent="0.25">
      <c r="A169" s="11">
        <v>2025</v>
      </c>
      <c r="B169" s="12" t="s">
        <v>52</v>
      </c>
      <c r="C169" s="15" t="s">
        <v>166</v>
      </c>
      <c r="D169" s="39">
        <v>45531.972959953702</v>
      </c>
      <c r="E169" s="15" t="s">
        <v>167</v>
      </c>
      <c r="F169" s="15" t="s">
        <v>89</v>
      </c>
      <c r="G169" s="15" t="s">
        <v>168</v>
      </c>
      <c r="H169" s="15" t="s">
        <v>169</v>
      </c>
      <c r="I169" s="15" t="s">
        <v>63</v>
      </c>
      <c r="J169" s="15" t="s">
        <v>170</v>
      </c>
      <c r="K169" s="15" t="s">
        <v>45</v>
      </c>
      <c r="L169" s="17">
        <f>VLOOKUP(E169,[1]Diccionario!C$2:AC$150,22,0)</f>
        <v>7397230574</v>
      </c>
      <c r="M169" s="18">
        <f>VLOOKUP(E169,[1]Diccionario!C$2:AC$150,24,0)</f>
        <v>45505</v>
      </c>
      <c r="N169" s="19">
        <f>VLOOKUP(E169,[1]Diccionario!C$2:AC$150,25,0)</f>
        <v>45807</v>
      </c>
      <c r="O169" s="20">
        <f>VLOOKUP(E169,[1]Diccionario!C$2:AC$150,26,0)</f>
        <v>9.9700000000000006</v>
      </c>
      <c r="P169" s="20">
        <f t="shared" si="28"/>
        <v>2.0299999999999994</v>
      </c>
      <c r="Q169" s="20">
        <v>12</v>
      </c>
      <c r="R169" s="15">
        <v>10</v>
      </c>
      <c r="S169" s="21">
        <v>1</v>
      </c>
      <c r="T169" s="21">
        <v>0.97</v>
      </c>
      <c r="U169" s="22"/>
      <c r="V169" s="24"/>
      <c r="W169" s="24">
        <f t="shared" si="29"/>
        <v>7175313656.7799997</v>
      </c>
      <c r="X169" s="24">
        <f t="shared" si="30"/>
        <v>7397230574</v>
      </c>
      <c r="Y169" s="24">
        <f t="shared" si="31"/>
        <v>7175313656.7799997</v>
      </c>
      <c r="Z169" s="24">
        <f t="shared" si="32"/>
        <v>-221916917.22000027</v>
      </c>
      <c r="AA169" s="25" t="str">
        <f t="shared" si="33"/>
        <v>No se realizó gasto en este corte</v>
      </c>
      <c r="AB169" s="26" t="str">
        <f t="shared" si="34"/>
        <v>Costo eficiente: se está gastando menos de lo presupuestado</v>
      </c>
      <c r="AC169" s="26">
        <f t="shared" si="35"/>
        <v>0.97</v>
      </c>
      <c r="AD169" s="26" t="str">
        <f t="shared" si="36"/>
        <v>Proyecto atrasado con respecto al cronograma</v>
      </c>
      <c r="AE169" s="27">
        <f t="shared" si="37"/>
        <v>0</v>
      </c>
      <c r="AF169" s="27">
        <f t="shared" si="38"/>
        <v>-7397230574</v>
      </c>
      <c r="AG169" s="28" t="str">
        <f>VLOOKUP(Indicador!E168,[1]Diccionario!C$1:AC$150,27,0)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69" s="28">
        <v>1</v>
      </c>
      <c r="AI169" s="28">
        <v>1</v>
      </c>
      <c r="AJ169" s="28"/>
      <c r="AK169" s="28"/>
    </row>
    <row r="170" spans="1:37" ht="18.75" customHeight="1" x14ac:dyDescent="0.25">
      <c r="A170" s="11">
        <v>2025</v>
      </c>
      <c r="B170" s="12" t="s">
        <v>53</v>
      </c>
      <c r="C170" s="15" t="s">
        <v>166</v>
      </c>
      <c r="D170" s="39">
        <v>45531.972959953702</v>
      </c>
      <c r="E170" s="15" t="s">
        <v>167</v>
      </c>
      <c r="F170" s="15" t="s">
        <v>89</v>
      </c>
      <c r="G170" s="15" t="s">
        <v>168</v>
      </c>
      <c r="H170" s="15" t="s">
        <v>169</v>
      </c>
      <c r="I170" s="15" t="s">
        <v>63</v>
      </c>
      <c r="J170" s="15" t="s">
        <v>170</v>
      </c>
      <c r="K170" s="15" t="s">
        <v>45</v>
      </c>
      <c r="L170" s="17">
        <f>VLOOKUP(E170,[1]Diccionario!C$2:AC$150,22,0)</f>
        <v>7397230574</v>
      </c>
      <c r="M170" s="18">
        <f>VLOOKUP(E170,[1]Diccionario!C$2:AC$150,24,0)</f>
        <v>45505</v>
      </c>
      <c r="N170" s="19">
        <f>VLOOKUP(E170,[1]Diccionario!C$2:AC$150,25,0)</f>
        <v>45807</v>
      </c>
      <c r="O170" s="20">
        <f>VLOOKUP(E170,[1]Diccionario!C$2:AC$150,26,0)</f>
        <v>9.9700000000000006</v>
      </c>
      <c r="P170" s="20">
        <f t="shared" si="28"/>
        <v>3.0299999999999994</v>
      </c>
      <c r="Q170" s="20">
        <v>13</v>
      </c>
      <c r="R170" s="15">
        <v>10</v>
      </c>
      <c r="S170" s="21">
        <v>1</v>
      </c>
      <c r="T170" s="21">
        <v>1</v>
      </c>
      <c r="U170" s="22"/>
      <c r="V170" s="24"/>
      <c r="W170" s="24">
        <f t="shared" si="29"/>
        <v>7397230574</v>
      </c>
      <c r="X170" s="24">
        <f t="shared" si="30"/>
        <v>7397230574</v>
      </c>
      <c r="Y170" s="24">
        <f t="shared" si="31"/>
        <v>7397230574</v>
      </c>
      <c r="Z170" s="24">
        <f t="shared" si="32"/>
        <v>0</v>
      </c>
      <c r="AA170" s="25" t="str">
        <f t="shared" si="33"/>
        <v>No se realizó gasto en este corte</v>
      </c>
      <c r="AB170" s="26" t="str">
        <f t="shared" si="34"/>
        <v>Costo eficiente: se está gastando menos de lo presupuestado</v>
      </c>
      <c r="AC170" s="26">
        <f t="shared" si="35"/>
        <v>1</v>
      </c>
      <c r="AD170" s="26" t="str">
        <f t="shared" si="36"/>
        <v>Proyecto a tiempo según lo planificado</v>
      </c>
      <c r="AE170" s="27">
        <f t="shared" si="37"/>
        <v>0</v>
      </c>
      <c r="AF170" s="27">
        <f t="shared" si="38"/>
        <v>-7397230574</v>
      </c>
      <c r="AG170" s="28" t="str">
        <f>VLOOKUP(Indicador!E169,[1]Diccionario!C$1:AC$150,27,0)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70" s="28">
        <v>1</v>
      </c>
      <c r="AI170" s="28">
        <v>1</v>
      </c>
      <c r="AJ170" s="28"/>
      <c r="AK170" s="28"/>
    </row>
    <row r="171" spans="1:37" ht="18.75" customHeight="1" x14ac:dyDescent="0.25">
      <c r="A171" s="11">
        <v>2024</v>
      </c>
      <c r="B171" s="12" t="s">
        <v>54</v>
      </c>
      <c r="C171" s="15" t="s">
        <v>171</v>
      </c>
      <c r="D171" s="39">
        <v>45537.685983530093</v>
      </c>
      <c r="E171" s="15" t="s">
        <v>172</v>
      </c>
      <c r="F171" s="15" t="s">
        <v>151</v>
      </c>
      <c r="G171" s="15" t="s">
        <v>173</v>
      </c>
      <c r="H171" s="15" t="s">
        <v>174</v>
      </c>
      <c r="I171" s="15" t="s">
        <v>63</v>
      </c>
      <c r="J171" s="15" t="s">
        <v>175</v>
      </c>
      <c r="K171" s="15" t="s">
        <v>80</v>
      </c>
      <c r="L171" s="17">
        <f>VLOOKUP(E171,[1]Diccionario!C$2:AC$150,22,0)</f>
        <v>370376769</v>
      </c>
      <c r="M171" s="18">
        <f>VLOOKUP(E171,[1]Diccionario!C$2:AC$150,24,0)</f>
        <v>45536</v>
      </c>
      <c r="N171" s="19">
        <f>VLOOKUP(E171,[1]Diccionario!C$2:AC$150,25,0)</f>
        <v>45596</v>
      </c>
      <c r="O171" s="20">
        <f>VLOOKUP(E171,[1]Diccionario!C$2:AC$150,26,0)</f>
        <v>2</v>
      </c>
      <c r="P171" s="20">
        <f t="shared" si="28"/>
        <v>-1</v>
      </c>
      <c r="Q171" s="20">
        <v>1</v>
      </c>
      <c r="R171" s="15">
        <v>2</v>
      </c>
      <c r="S171" s="21">
        <v>0.5</v>
      </c>
      <c r="T171" s="21">
        <v>0.25</v>
      </c>
      <c r="U171" s="22"/>
      <c r="V171" s="24"/>
      <c r="W171" s="24">
        <f t="shared" si="29"/>
        <v>92594192.25</v>
      </c>
      <c r="X171" s="24">
        <f t="shared" si="30"/>
        <v>185188384.5</v>
      </c>
      <c r="Y171" s="24">
        <f t="shared" si="31"/>
        <v>92594192.25</v>
      </c>
      <c r="Z171" s="24">
        <f t="shared" si="32"/>
        <v>-92594192.25</v>
      </c>
      <c r="AA171" s="25" t="str">
        <f t="shared" si="33"/>
        <v>No se realizó gasto en este corte</v>
      </c>
      <c r="AB171" s="26" t="str">
        <f t="shared" si="34"/>
        <v>Costo eficiente: se está gastando menos de lo presupuestado</v>
      </c>
      <c r="AC171" s="26">
        <f t="shared" si="35"/>
        <v>0.5</v>
      </c>
      <c r="AD171" s="26" t="str">
        <f t="shared" si="36"/>
        <v>Proyecto atrasado con respecto al cronograma</v>
      </c>
      <c r="AE171" s="27">
        <f t="shared" si="37"/>
        <v>0</v>
      </c>
      <c r="AF171" s="27">
        <f t="shared" si="38"/>
        <v>-370376769</v>
      </c>
      <c r="AG171" s="28" t="str">
        <f>VLOOKUP(Indicador!E180,[1]Diccionario!C$1:AC$150,27,0)</f>
        <v>https://growdatasas.sharepoint.com/:x:/r/sites/Gestiondocumental/Administrativa/GD/Financiera/_layouts/15/Doc.aspx?sourcedoc=%7BE250AEF5-F247-458E-91D3-6BE23701DF39%7D&amp;file=RUNT%20CONTENEDORES%20ESTRATEGICOS%20V5.xlsm&amp;action=default&amp;mobileredirect=true</v>
      </c>
      <c r="AH171" s="28">
        <v>1</v>
      </c>
      <c r="AI171" s="28">
        <v>1</v>
      </c>
      <c r="AJ171" s="28"/>
      <c r="AK171" s="28"/>
    </row>
    <row r="172" spans="1:37" ht="18.75" customHeight="1" x14ac:dyDescent="0.25">
      <c r="A172" s="11">
        <v>2024</v>
      </c>
      <c r="B172" s="12" t="s">
        <v>55</v>
      </c>
      <c r="C172" s="15" t="s">
        <v>171</v>
      </c>
      <c r="D172" s="39">
        <v>45537.685983530093</v>
      </c>
      <c r="E172" s="15" t="s">
        <v>172</v>
      </c>
      <c r="F172" s="15" t="s">
        <v>151</v>
      </c>
      <c r="G172" s="15" t="s">
        <v>173</v>
      </c>
      <c r="H172" s="15" t="s">
        <v>174</v>
      </c>
      <c r="I172" s="15" t="s">
        <v>63</v>
      </c>
      <c r="J172" s="15" t="s">
        <v>175</v>
      </c>
      <c r="K172" s="15" t="s">
        <v>80</v>
      </c>
      <c r="L172" s="17">
        <f>VLOOKUP(E172,[1]Diccionario!C$2:AC$150,22,0)</f>
        <v>370376769</v>
      </c>
      <c r="M172" s="18">
        <f>VLOOKUP(E172,[1]Diccionario!C$2:AC$150,24,0)</f>
        <v>45536</v>
      </c>
      <c r="N172" s="19">
        <f>VLOOKUP(E172,[1]Diccionario!C$2:AC$150,25,0)</f>
        <v>45596</v>
      </c>
      <c r="O172" s="20">
        <f>VLOOKUP(E172,[1]Diccionario!C$2:AC$150,26,0)</f>
        <v>2</v>
      </c>
      <c r="P172" s="20">
        <f t="shared" si="28"/>
        <v>0</v>
      </c>
      <c r="Q172" s="20">
        <v>2</v>
      </c>
      <c r="R172" s="15">
        <v>2</v>
      </c>
      <c r="S172" s="21">
        <v>1</v>
      </c>
      <c r="T172" s="21">
        <v>0.5</v>
      </c>
      <c r="U172" s="22"/>
      <c r="V172" s="24"/>
      <c r="W172" s="24">
        <f t="shared" si="29"/>
        <v>185188384.5</v>
      </c>
      <c r="X172" s="24">
        <f t="shared" si="30"/>
        <v>370376769</v>
      </c>
      <c r="Y172" s="24">
        <f t="shared" si="31"/>
        <v>185188384.5</v>
      </c>
      <c r="Z172" s="24">
        <f t="shared" si="32"/>
        <v>-185188384.5</v>
      </c>
      <c r="AA172" s="25" t="str">
        <f t="shared" si="33"/>
        <v>No se realizó gasto en este corte</v>
      </c>
      <c r="AB172" s="26" t="str">
        <f t="shared" si="34"/>
        <v>Costo eficiente: se está gastando menos de lo presupuestado</v>
      </c>
      <c r="AC172" s="26">
        <f t="shared" si="35"/>
        <v>0.5</v>
      </c>
      <c r="AD172" s="26" t="str">
        <f t="shared" si="36"/>
        <v>Proyecto atrasado con respecto al cronograma</v>
      </c>
      <c r="AE172" s="27">
        <f t="shared" si="37"/>
        <v>0</v>
      </c>
      <c r="AF172" s="27">
        <f t="shared" si="38"/>
        <v>-370376769</v>
      </c>
      <c r="AG172" s="28" t="str">
        <f>VLOOKUP(Indicador!E181,[1]Diccionario!C$1:AC$150,27,0)</f>
        <v>https://growdatasas.sharepoint.com/:x:/r/sites/Gestiondocumental/Administrativa/GD/Financiera/_layouts/15/Doc.aspx?sourcedoc=%7BE250AEF5-F247-458E-91D3-6BE23701DF39%7D&amp;file=RUNT%20CONTENEDORES%20ESTRATEGICOS%20V5.xlsm&amp;action=default&amp;mobileredirect=true</v>
      </c>
      <c r="AH172" s="28">
        <v>1</v>
      </c>
      <c r="AI172" s="28">
        <v>1</v>
      </c>
      <c r="AJ172" s="28"/>
      <c r="AK172" s="28"/>
    </row>
    <row r="173" spans="1:37" ht="18.75" customHeight="1" x14ac:dyDescent="0.25">
      <c r="A173" s="11">
        <v>2024</v>
      </c>
      <c r="B173" s="12" t="s">
        <v>56</v>
      </c>
      <c r="C173" s="15" t="s">
        <v>171</v>
      </c>
      <c r="D173" s="39">
        <v>45537.685983530093</v>
      </c>
      <c r="E173" s="15" t="s">
        <v>172</v>
      </c>
      <c r="F173" s="15" t="s">
        <v>151</v>
      </c>
      <c r="G173" s="15" t="s">
        <v>173</v>
      </c>
      <c r="H173" s="15" t="s">
        <v>174</v>
      </c>
      <c r="I173" s="15" t="s">
        <v>63</v>
      </c>
      <c r="J173" s="15" t="s">
        <v>175</v>
      </c>
      <c r="K173" s="15" t="s">
        <v>80</v>
      </c>
      <c r="L173" s="17">
        <f>VLOOKUP(E173,[1]Diccionario!C$2:AC$150,22,0)</f>
        <v>370376769</v>
      </c>
      <c r="M173" s="18">
        <f>VLOOKUP(E173,[1]Diccionario!C$2:AC$150,24,0)</f>
        <v>45536</v>
      </c>
      <c r="N173" s="19">
        <f>VLOOKUP(E173,[1]Diccionario!C$2:AC$150,25,0)</f>
        <v>45596</v>
      </c>
      <c r="O173" s="20">
        <f>VLOOKUP(E173,[1]Diccionario!C$2:AC$150,26,0)</f>
        <v>2</v>
      </c>
      <c r="P173" s="20">
        <f t="shared" si="28"/>
        <v>1</v>
      </c>
      <c r="Q173" s="20">
        <v>3</v>
      </c>
      <c r="R173" s="15">
        <v>2</v>
      </c>
      <c r="S173" s="21">
        <v>1</v>
      </c>
      <c r="T173" s="21">
        <v>1</v>
      </c>
      <c r="U173" s="22"/>
      <c r="V173" s="24"/>
      <c r="W173" s="24">
        <f t="shared" si="29"/>
        <v>370376769</v>
      </c>
      <c r="X173" s="24">
        <f t="shared" si="30"/>
        <v>370376769</v>
      </c>
      <c r="Y173" s="24">
        <f t="shared" si="31"/>
        <v>370376769</v>
      </c>
      <c r="Z173" s="24">
        <f t="shared" si="32"/>
        <v>0</v>
      </c>
      <c r="AA173" s="25" t="str">
        <f t="shared" si="33"/>
        <v>No se realizó gasto en este corte</v>
      </c>
      <c r="AB173" s="26" t="str">
        <f t="shared" si="34"/>
        <v>Costo eficiente: se está gastando menos de lo presupuestado</v>
      </c>
      <c r="AC173" s="26">
        <f t="shared" si="35"/>
        <v>1</v>
      </c>
      <c r="AD173" s="26" t="str">
        <f t="shared" si="36"/>
        <v>Proyecto a tiempo según lo planificado</v>
      </c>
      <c r="AE173" s="27">
        <f t="shared" si="37"/>
        <v>0</v>
      </c>
      <c r="AF173" s="27">
        <f t="shared" si="38"/>
        <v>-370376769</v>
      </c>
      <c r="AG173" s="28" t="str">
        <f>VLOOKUP(Indicador!E182,[1]Diccionario!C$1:AC$150,27,0)</f>
        <v>https://growdatasas.sharepoint.com/:x:/r/sites/Gestiondocumental/Administrativa/GD/Financiera/_layouts/15/Doc.aspx?sourcedoc=%7BE250AEF5-F247-458E-91D3-6BE23701DF39%7D&amp;file=RUNT%20CONTENEDORES%20ESTRATEGICOS%20V5.xlsm&amp;action=default&amp;mobileredirect=true</v>
      </c>
      <c r="AH173" s="28">
        <v>1</v>
      </c>
      <c r="AI173" s="28">
        <v>1</v>
      </c>
      <c r="AJ173" s="28"/>
      <c r="AK173" s="28"/>
    </row>
    <row r="174" spans="1:37" ht="18.75" customHeight="1" x14ac:dyDescent="0.25">
      <c r="A174" s="11">
        <v>2024</v>
      </c>
      <c r="B174" s="12" t="s">
        <v>54</v>
      </c>
      <c r="C174" s="15" t="s">
        <v>176</v>
      </c>
      <c r="D174" s="39">
        <v>45558.660403622685</v>
      </c>
      <c r="E174" s="15" t="s">
        <v>177</v>
      </c>
      <c r="F174" s="15" t="s">
        <v>178</v>
      </c>
      <c r="G174" s="15" t="s">
        <v>179</v>
      </c>
      <c r="H174" s="15" t="s">
        <v>180</v>
      </c>
      <c r="I174" s="15" t="s">
        <v>43</v>
      </c>
      <c r="J174" s="15" t="s">
        <v>181</v>
      </c>
      <c r="K174" s="15" t="s">
        <v>45</v>
      </c>
      <c r="L174" s="17">
        <f>VLOOKUP(E174,[1]Diccionario!C$2:AC$150,22,0)</f>
        <v>792295683</v>
      </c>
      <c r="M174" s="18">
        <f>VLOOKUP(E174,[1]Diccionario!C$2:AC$150,24,0)</f>
        <v>45537</v>
      </c>
      <c r="N174" s="19">
        <f>VLOOKUP(E174,[1]Diccionario!C$2:AC$150,25,0)</f>
        <v>45838</v>
      </c>
      <c r="O174" s="20">
        <f>VLOOKUP(E174,[1]Diccionario!C$2:AC$150,26,0)</f>
        <v>9.93</v>
      </c>
      <c r="P174" s="20">
        <f t="shared" si="28"/>
        <v>-8.93</v>
      </c>
      <c r="Q174" s="20">
        <v>1</v>
      </c>
      <c r="R174" s="15">
        <v>10</v>
      </c>
      <c r="S174" s="21">
        <v>0.1</v>
      </c>
      <c r="T174" s="21">
        <v>0.1</v>
      </c>
      <c r="U174" s="22"/>
      <c r="V174" s="24"/>
      <c r="W174" s="24">
        <f t="shared" si="29"/>
        <v>79229568.299999997</v>
      </c>
      <c r="X174" s="24">
        <f t="shared" si="30"/>
        <v>79229568.299999997</v>
      </c>
      <c r="Y174" s="24">
        <f t="shared" si="31"/>
        <v>79229568.299999997</v>
      </c>
      <c r="Z174" s="24">
        <f t="shared" si="32"/>
        <v>0</v>
      </c>
      <c r="AA174" s="25" t="str">
        <f t="shared" si="33"/>
        <v>No se realizó gasto en este corte</v>
      </c>
      <c r="AB174" s="26" t="str">
        <f t="shared" si="34"/>
        <v>Costo eficiente: se está gastando menos de lo presupuestado</v>
      </c>
      <c r="AC174" s="26">
        <f t="shared" si="35"/>
        <v>1</v>
      </c>
      <c r="AD174" s="26" t="str">
        <f t="shared" si="36"/>
        <v>Proyecto a tiempo según lo planificado</v>
      </c>
      <c r="AE174" s="27">
        <f t="shared" si="37"/>
        <v>0</v>
      </c>
      <c r="AF174" s="27">
        <f t="shared" si="38"/>
        <v>-792295683</v>
      </c>
      <c r="AG174" s="28" t="str">
        <f>VLOOKUP(Indicador!E183,[1]Diccionario!C$1:AC$150,27,0)</f>
        <v>https://growdatasas.sharepoint.com/:x:/r/sites/Gestiondocumental/Administrativa/GD/Financiera/_layouts/15/Doc.aspx?sourcedoc=%7BE250AEF5-F247-458E-91D3-6BE23701DF39%7D&amp;file=RUNT%20CONTENEDORES%20ESTRATEGICOS%20V5.xlsm&amp;action=default&amp;mobileredirect=true</v>
      </c>
      <c r="AH174" s="28">
        <v>1</v>
      </c>
      <c r="AI174" s="28">
        <v>1</v>
      </c>
      <c r="AJ174" s="28"/>
      <c r="AK174" s="28"/>
    </row>
    <row r="175" spans="1:37" ht="18.75" customHeight="1" x14ac:dyDescent="0.25">
      <c r="A175" s="11">
        <v>2024</v>
      </c>
      <c r="B175" s="12" t="s">
        <v>55</v>
      </c>
      <c r="C175" s="15" t="s">
        <v>176</v>
      </c>
      <c r="D175" s="39">
        <v>45558.660403622685</v>
      </c>
      <c r="E175" s="15" t="s">
        <v>177</v>
      </c>
      <c r="F175" s="15" t="s">
        <v>178</v>
      </c>
      <c r="G175" s="15" t="s">
        <v>179</v>
      </c>
      <c r="H175" s="15" t="s">
        <v>180</v>
      </c>
      <c r="I175" s="15" t="s">
        <v>43</v>
      </c>
      <c r="J175" s="15" t="s">
        <v>181</v>
      </c>
      <c r="K175" s="15" t="s">
        <v>45</v>
      </c>
      <c r="L175" s="17">
        <f>VLOOKUP(E175,[1]Diccionario!C$2:AC$150,22,0)</f>
        <v>792295683</v>
      </c>
      <c r="M175" s="18">
        <f>VLOOKUP(E175,[1]Diccionario!C$2:AC$150,24,0)</f>
        <v>45537</v>
      </c>
      <c r="N175" s="19">
        <f>VLOOKUP(E175,[1]Diccionario!C$2:AC$150,25,0)</f>
        <v>45838</v>
      </c>
      <c r="O175" s="20">
        <f>VLOOKUP(E175,[1]Diccionario!C$2:AC$150,26,0)</f>
        <v>9.93</v>
      </c>
      <c r="P175" s="20">
        <f t="shared" si="28"/>
        <v>-7.93</v>
      </c>
      <c r="Q175" s="20">
        <v>2</v>
      </c>
      <c r="R175" s="15">
        <v>10</v>
      </c>
      <c r="S175" s="21">
        <v>0.2</v>
      </c>
      <c r="T175" s="21">
        <v>0.2</v>
      </c>
      <c r="U175" s="22"/>
      <c r="V175" s="24"/>
      <c r="W175" s="24">
        <f t="shared" si="29"/>
        <v>158459136.59999999</v>
      </c>
      <c r="X175" s="24">
        <f t="shared" si="30"/>
        <v>158459136.59999999</v>
      </c>
      <c r="Y175" s="24">
        <f t="shared" si="31"/>
        <v>158459136.59999999</v>
      </c>
      <c r="Z175" s="24">
        <f t="shared" si="32"/>
        <v>0</v>
      </c>
      <c r="AA175" s="25" t="str">
        <f t="shared" si="33"/>
        <v>No se realizó gasto en este corte</v>
      </c>
      <c r="AB175" s="26" t="str">
        <f t="shared" si="34"/>
        <v>Costo eficiente: se está gastando menos de lo presupuestado</v>
      </c>
      <c r="AC175" s="26">
        <f t="shared" si="35"/>
        <v>1</v>
      </c>
      <c r="AD175" s="26" t="str">
        <f t="shared" si="36"/>
        <v>Proyecto a tiempo según lo planificado</v>
      </c>
      <c r="AE175" s="27">
        <f t="shared" si="37"/>
        <v>0</v>
      </c>
      <c r="AF175" s="27">
        <f t="shared" si="38"/>
        <v>-792295683</v>
      </c>
      <c r="AG175" s="28" t="str">
        <f>VLOOKUP(Indicador!E184,[1]Diccionario!C$1:AC$150,27,0)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75" s="28">
        <v>1</v>
      </c>
      <c r="AI175" s="28">
        <v>1</v>
      </c>
      <c r="AJ175" s="28"/>
      <c r="AK175" s="28"/>
    </row>
    <row r="176" spans="1:37" ht="18.75" customHeight="1" x14ac:dyDescent="0.25">
      <c r="A176" s="11">
        <v>2024</v>
      </c>
      <c r="B176" s="12" t="s">
        <v>56</v>
      </c>
      <c r="C176" s="15" t="s">
        <v>176</v>
      </c>
      <c r="D176" s="39">
        <v>45558.660403622685</v>
      </c>
      <c r="E176" s="15" t="s">
        <v>177</v>
      </c>
      <c r="F176" s="15" t="s">
        <v>178</v>
      </c>
      <c r="G176" s="15" t="s">
        <v>179</v>
      </c>
      <c r="H176" s="15" t="s">
        <v>180</v>
      </c>
      <c r="I176" s="15" t="s">
        <v>43</v>
      </c>
      <c r="J176" s="15" t="s">
        <v>181</v>
      </c>
      <c r="K176" s="15" t="s">
        <v>45</v>
      </c>
      <c r="L176" s="17">
        <f>VLOOKUP(E176,[1]Diccionario!C$2:AC$150,22,0)</f>
        <v>792295683</v>
      </c>
      <c r="M176" s="18">
        <f>VLOOKUP(E176,[1]Diccionario!C$2:AC$150,24,0)</f>
        <v>45537</v>
      </c>
      <c r="N176" s="19">
        <f>VLOOKUP(E176,[1]Diccionario!C$2:AC$150,25,0)</f>
        <v>45838</v>
      </c>
      <c r="O176" s="20">
        <f>VLOOKUP(E176,[1]Diccionario!C$2:AC$150,26,0)</f>
        <v>9.93</v>
      </c>
      <c r="P176" s="20">
        <f t="shared" si="28"/>
        <v>-6.93</v>
      </c>
      <c r="Q176" s="20">
        <v>3</v>
      </c>
      <c r="R176" s="15">
        <v>10</v>
      </c>
      <c r="S176" s="21">
        <v>0.3</v>
      </c>
      <c r="T176" s="21">
        <v>0.3</v>
      </c>
      <c r="U176" s="22"/>
      <c r="V176" s="24"/>
      <c r="W176" s="24">
        <f t="shared" si="29"/>
        <v>237688704.90000001</v>
      </c>
      <c r="X176" s="24">
        <f t="shared" si="30"/>
        <v>237688704.90000001</v>
      </c>
      <c r="Y176" s="24">
        <f t="shared" si="31"/>
        <v>237688704.90000001</v>
      </c>
      <c r="Z176" s="24">
        <f t="shared" si="32"/>
        <v>0</v>
      </c>
      <c r="AA176" s="25" t="str">
        <f t="shared" si="33"/>
        <v>No se realizó gasto en este corte</v>
      </c>
      <c r="AB176" s="26" t="str">
        <f t="shared" si="34"/>
        <v>Costo eficiente: se está gastando menos de lo presupuestado</v>
      </c>
      <c r="AC176" s="26">
        <f t="shared" si="35"/>
        <v>1</v>
      </c>
      <c r="AD176" s="26" t="str">
        <f t="shared" si="36"/>
        <v>Proyecto a tiempo según lo planificado</v>
      </c>
      <c r="AE176" s="27">
        <f t="shared" si="37"/>
        <v>0</v>
      </c>
      <c r="AF176" s="27">
        <f t="shared" si="38"/>
        <v>-792295683</v>
      </c>
      <c r="AG176" s="28" t="str">
        <f>VLOOKUP(Indicador!E185,[1]Diccionario!C$1:AC$150,27,0)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76" s="28">
        <v>1</v>
      </c>
      <c r="AI176" s="28">
        <v>1</v>
      </c>
      <c r="AJ176" s="28"/>
      <c r="AK176" s="28"/>
    </row>
    <row r="177" spans="1:37" ht="18.75" customHeight="1" x14ac:dyDescent="0.25">
      <c r="A177" s="11">
        <v>2024</v>
      </c>
      <c r="B177" s="12" t="s">
        <v>57</v>
      </c>
      <c r="C177" s="15" t="s">
        <v>176</v>
      </c>
      <c r="D177" s="39">
        <v>45558.660403622685</v>
      </c>
      <c r="E177" s="15" t="s">
        <v>177</v>
      </c>
      <c r="F177" s="15" t="s">
        <v>178</v>
      </c>
      <c r="G177" s="15" t="s">
        <v>179</v>
      </c>
      <c r="H177" s="15" t="s">
        <v>180</v>
      </c>
      <c r="I177" s="15" t="s">
        <v>43</v>
      </c>
      <c r="J177" s="15" t="s">
        <v>181</v>
      </c>
      <c r="K177" s="15" t="s">
        <v>45</v>
      </c>
      <c r="L177" s="17">
        <f>VLOOKUP(E177,[1]Diccionario!C$2:AC$150,22,0)</f>
        <v>792295683</v>
      </c>
      <c r="M177" s="18">
        <f>VLOOKUP(E177,[1]Diccionario!C$2:AC$150,24,0)</f>
        <v>45537</v>
      </c>
      <c r="N177" s="19">
        <f>VLOOKUP(E177,[1]Diccionario!C$2:AC$150,25,0)</f>
        <v>45838</v>
      </c>
      <c r="O177" s="20">
        <f>VLOOKUP(E177,[1]Diccionario!C$2:AC$150,26,0)</f>
        <v>9.93</v>
      </c>
      <c r="P177" s="20">
        <f t="shared" si="28"/>
        <v>-5.93</v>
      </c>
      <c r="Q177" s="20">
        <v>4</v>
      </c>
      <c r="R177" s="15">
        <v>10</v>
      </c>
      <c r="S177" s="21">
        <v>0.4</v>
      </c>
      <c r="T177" s="21">
        <v>0.4</v>
      </c>
      <c r="U177" s="22"/>
      <c r="V177" s="24"/>
      <c r="W177" s="24">
        <f t="shared" si="29"/>
        <v>316918273.19999999</v>
      </c>
      <c r="X177" s="24">
        <f t="shared" si="30"/>
        <v>316918273.19999999</v>
      </c>
      <c r="Y177" s="24">
        <f t="shared" si="31"/>
        <v>316918273.19999999</v>
      </c>
      <c r="Z177" s="24">
        <f t="shared" si="32"/>
        <v>0</v>
      </c>
      <c r="AA177" s="25" t="str">
        <f t="shared" si="33"/>
        <v>No se realizó gasto en este corte</v>
      </c>
      <c r="AB177" s="26" t="str">
        <f t="shared" si="34"/>
        <v>Costo eficiente: se está gastando menos de lo presupuestado</v>
      </c>
      <c r="AC177" s="26">
        <f t="shared" si="35"/>
        <v>1</v>
      </c>
      <c r="AD177" s="26" t="str">
        <f t="shared" si="36"/>
        <v>Proyecto a tiempo según lo planificado</v>
      </c>
      <c r="AE177" s="27">
        <f t="shared" si="37"/>
        <v>0</v>
      </c>
      <c r="AF177" s="27">
        <f t="shared" si="38"/>
        <v>-792295683</v>
      </c>
      <c r="AG177" s="28" t="str">
        <f>VLOOKUP(Indicador!E186,[1]Diccionario!C$1:AC$150,27,0)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77" s="28">
        <v>1</v>
      </c>
      <c r="AI177" s="28">
        <v>1</v>
      </c>
      <c r="AJ177" s="28"/>
      <c r="AK177" s="28"/>
    </row>
    <row r="178" spans="1:37" ht="18.75" customHeight="1" x14ac:dyDescent="0.25">
      <c r="A178" s="11">
        <v>2024</v>
      </c>
      <c r="B178" s="12" t="s">
        <v>37</v>
      </c>
      <c r="C178" s="15" t="s">
        <v>176</v>
      </c>
      <c r="D178" s="39">
        <v>45558.660403622685</v>
      </c>
      <c r="E178" s="15" t="s">
        <v>177</v>
      </c>
      <c r="F178" s="15" t="s">
        <v>178</v>
      </c>
      <c r="G178" s="15" t="s">
        <v>179</v>
      </c>
      <c r="H178" s="15" t="s">
        <v>180</v>
      </c>
      <c r="I178" s="15" t="s">
        <v>43</v>
      </c>
      <c r="J178" s="15" t="s">
        <v>181</v>
      </c>
      <c r="K178" s="15" t="s">
        <v>45</v>
      </c>
      <c r="L178" s="17">
        <f>VLOOKUP(E178,[1]Diccionario!C$2:AC$150,22,0)</f>
        <v>792295683</v>
      </c>
      <c r="M178" s="18">
        <f>VLOOKUP(E178,[1]Diccionario!C$2:AC$150,24,0)</f>
        <v>45537</v>
      </c>
      <c r="N178" s="19">
        <f>VLOOKUP(E178,[1]Diccionario!C$2:AC$150,25,0)</f>
        <v>45838</v>
      </c>
      <c r="O178" s="20">
        <f>VLOOKUP(E178,[1]Diccionario!C$2:AC$150,26,0)</f>
        <v>9.93</v>
      </c>
      <c r="P178" s="20">
        <f t="shared" si="28"/>
        <v>-4.93</v>
      </c>
      <c r="Q178" s="20">
        <v>5</v>
      </c>
      <c r="R178" s="15">
        <v>10</v>
      </c>
      <c r="S178" s="21">
        <v>0.5</v>
      </c>
      <c r="T178" s="21">
        <v>0.5</v>
      </c>
      <c r="U178" s="22"/>
      <c r="V178" s="24"/>
      <c r="W178" s="24">
        <f t="shared" si="29"/>
        <v>396147841.5</v>
      </c>
      <c r="X178" s="24">
        <f t="shared" si="30"/>
        <v>396147841.5</v>
      </c>
      <c r="Y178" s="24">
        <f t="shared" si="31"/>
        <v>396147841.5</v>
      </c>
      <c r="Z178" s="24">
        <f t="shared" si="32"/>
        <v>0</v>
      </c>
      <c r="AA178" s="25" t="str">
        <f t="shared" si="33"/>
        <v>No se realizó gasto en este corte</v>
      </c>
      <c r="AB178" s="26" t="str">
        <f t="shared" si="34"/>
        <v>Costo eficiente: se está gastando menos de lo presupuestado</v>
      </c>
      <c r="AC178" s="26">
        <f t="shared" si="35"/>
        <v>1</v>
      </c>
      <c r="AD178" s="26" t="str">
        <f t="shared" si="36"/>
        <v>Proyecto a tiempo según lo planificado</v>
      </c>
      <c r="AE178" s="27">
        <f t="shared" si="37"/>
        <v>0</v>
      </c>
      <c r="AF178" s="27">
        <f t="shared" si="38"/>
        <v>-792295683</v>
      </c>
      <c r="AG178" s="28" t="str">
        <f>VLOOKUP(Indicador!E187,[1]Diccionario!C$1:AC$150,27,0)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78" s="28">
        <v>1</v>
      </c>
      <c r="AI178" s="28">
        <v>1</v>
      </c>
      <c r="AJ178" s="28"/>
      <c r="AK178" s="28"/>
    </row>
    <row r="179" spans="1:37" ht="18.75" customHeight="1" x14ac:dyDescent="0.25">
      <c r="A179" s="11">
        <v>2024</v>
      </c>
      <c r="B179" s="12" t="s">
        <v>47</v>
      </c>
      <c r="C179" s="15" t="s">
        <v>176</v>
      </c>
      <c r="D179" s="39">
        <v>45558.660403622685</v>
      </c>
      <c r="E179" s="15" t="s">
        <v>177</v>
      </c>
      <c r="F179" s="15" t="s">
        <v>178</v>
      </c>
      <c r="G179" s="15" t="s">
        <v>179</v>
      </c>
      <c r="H179" s="15" t="s">
        <v>180</v>
      </c>
      <c r="I179" s="15" t="s">
        <v>43</v>
      </c>
      <c r="J179" s="15" t="s">
        <v>181</v>
      </c>
      <c r="K179" s="15" t="s">
        <v>45</v>
      </c>
      <c r="L179" s="17">
        <f>VLOOKUP(E179,[1]Diccionario!C$2:AC$150,22,0)</f>
        <v>792295683</v>
      </c>
      <c r="M179" s="18">
        <f>VLOOKUP(E179,[1]Diccionario!C$2:AC$150,24,0)</f>
        <v>45537</v>
      </c>
      <c r="N179" s="19">
        <f>VLOOKUP(E179,[1]Diccionario!C$2:AC$150,25,0)</f>
        <v>45838</v>
      </c>
      <c r="O179" s="20">
        <f>VLOOKUP(E179,[1]Diccionario!C$2:AC$150,26,0)</f>
        <v>9.93</v>
      </c>
      <c r="P179" s="20">
        <f t="shared" si="28"/>
        <v>-3.9299999999999997</v>
      </c>
      <c r="Q179" s="20">
        <v>6</v>
      </c>
      <c r="R179" s="15">
        <v>10</v>
      </c>
      <c r="S179" s="21">
        <v>0.6</v>
      </c>
      <c r="T179" s="21">
        <v>0.6</v>
      </c>
      <c r="U179" s="22"/>
      <c r="V179" s="24"/>
      <c r="W179" s="24">
        <f t="shared" si="29"/>
        <v>475377409.80000001</v>
      </c>
      <c r="X179" s="24">
        <f t="shared" si="30"/>
        <v>475377409.80000001</v>
      </c>
      <c r="Y179" s="24">
        <f t="shared" si="31"/>
        <v>475377409.80000001</v>
      </c>
      <c r="Z179" s="24">
        <f t="shared" si="32"/>
        <v>0</v>
      </c>
      <c r="AA179" s="25" t="str">
        <f t="shared" si="33"/>
        <v>No se realizó gasto en este corte</v>
      </c>
      <c r="AB179" s="26" t="str">
        <f t="shared" si="34"/>
        <v>Costo eficiente: se está gastando menos de lo presupuestado</v>
      </c>
      <c r="AC179" s="26">
        <f t="shared" si="35"/>
        <v>1</v>
      </c>
      <c r="AD179" s="26" t="str">
        <f t="shared" si="36"/>
        <v>Proyecto a tiempo según lo planificado</v>
      </c>
      <c r="AE179" s="27">
        <f t="shared" si="37"/>
        <v>0</v>
      </c>
      <c r="AF179" s="27">
        <f t="shared" si="38"/>
        <v>-792295683</v>
      </c>
      <c r="AG179" s="28" t="str">
        <f>VLOOKUP(Indicador!E188,[1]Diccionario!C$1:AC$150,27,0)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79" s="28">
        <v>1</v>
      </c>
      <c r="AI179" s="28">
        <v>1</v>
      </c>
      <c r="AJ179" s="28"/>
      <c r="AK179" s="28"/>
    </row>
    <row r="180" spans="1:37" ht="18.75" customHeight="1" x14ac:dyDescent="0.25">
      <c r="A180" s="11">
        <v>2024</v>
      </c>
      <c r="B180" s="12" t="s">
        <v>48</v>
      </c>
      <c r="C180" s="15" t="s">
        <v>176</v>
      </c>
      <c r="D180" s="39">
        <v>45558.660403622685</v>
      </c>
      <c r="E180" s="15" t="s">
        <v>177</v>
      </c>
      <c r="F180" s="15" t="s">
        <v>178</v>
      </c>
      <c r="G180" s="15" t="s">
        <v>179</v>
      </c>
      <c r="H180" s="15" t="s">
        <v>180</v>
      </c>
      <c r="I180" s="15" t="s">
        <v>43</v>
      </c>
      <c r="J180" s="15" t="s">
        <v>181</v>
      </c>
      <c r="K180" s="15" t="s">
        <v>45</v>
      </c>
      <c r="L180" s="17">
        <f>VLOOKUP(E180,[1]Diccionario!C$2:AC$150,22,0)</f>
        <v>792295683</v>
      </c>
      <c r="M180" s="18">
        <f>VLOOKUP(E180,[1]Diccionario!C$2:AC$150,24,0)</f>
        <v>45537</v>
      </c>
      <c r="N180" s="19">
        <f>VLOOKUP(E180,[1]Diccionario!C$2:AC$150,25,0)</f>
        <v>45838</v>
      </c>
      <c r="O180" s="20">
        <f>VLOOKUP(E180,[1]Diccionario!C$2:AC$150,26,0)</f>
        <v>9.93</v>
      </c>
      <c r="P180" s="20">
        <f t="shared" si="28"/>
        <v>-2.9299999999999997</v>
      </c>
      <c r="Q180" s="20">
        <v>7</v>
      </c>
      <c r="R180" s="15">
        <v>10</v>
      </c>
      <c r="S180" s="21">
        <v>0.7</v>
      </c>
      <c r="T180" s="21">
        <v>0.7</v>
      </c>
      <c r="U180" s="22"/>
      <c r="V180" s="24"/>
      <c r="W180" s="24">
        <f t="shared" si="29"/>
        <v>554606978.10000002</v>
      </c>
      <c r="X180" s="24">
        <f t="shared" si="30"/>
        <v>554606978.10000002</v>
      </c>
      <c r="Y180" s="24">
        <f t="shared" si="31"/>
        <v>554606978.10000002</v>
      </c>
      <c r="Z180" s="24">
        <f t="shared" si="32"/>
        <v>0</v>
      </c>
      <c r="AA180" s="25" t="str">
        <f t="shared" si="33"/>
        <v>No se realizó gasto en este corte</v>
      </c>
      <c r="AB180" s="26" t="str">
        <f t="shared" si="34"/>
        <v>Costo eficiente: se está gastando menos de lo presupuestado</v>
      </c>
      <c r="AC180" s="26">
        <f t="shared" si="35"/>
        <v>1</v>
      </c>
      <c r="AD180" s="26" t="str">
        <f t="shared" si="36"/>
        <v>Proyecto a tiempo según lo planificado</v>
      </c>
      <c r="AE180" s="27">
        <f t="shared" si="37"/>
        <v>0</v>
      </c>
      <c r="AF180" s="27">
        <f t="shared" si="38"/>
        <v>-792295683</v>
      </c>
      <c r="AG180" s="28" t="str">
        <f>VLOOKUP(Indicador!E189,[1]Diccionario!C$1:AC$150,27,0)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80" s="28">
        <v>1</v>
      </c>
      <c r="AI180" s="28">
        <v>1</v>
      </c>
      <c r="AJ180" s="28"/>
      <c r="AK180" s="28"/>
    </row>
    <row r="181" spans="1:37" ht="18.75" customHeight="1" x14ac:dyDescent="0.25">
      <c r="A181" s="11">
        <v>2024</v>
      </c>
      <c r="B181" s="12" t="s">
        <v>49</v>
      </c>
      <c r="C181" s="15" t="s">
        <v>176</v>
      </c>
      <c r="D181" s="39">
        <v>45558.660403622685</v>
      </c>
      <c r="E181" s="15" t="s">
        <v>177</v>
      </c>
      <c r="F181" s="15" t="s">
        <v>178</v>
      </c>
      <c r="G181" s="15" t="s">
        <v>179</v>
      </c>
      <c r="H181" s="15" t="s">
        <v>180</v>
      </c>
      <c r="I181" s="15" t="s">
        <v>43</v>
      </c>
      <c r="J181" s="15" t="s">
        <v>181</v>
      </c>
      <c r="K181" s="15" t="s">
        <v>45</v>
      </c>
      <c r="L181" s="17">
        <f>VLOOKUP(E181,[1]Diccionario!C$2:AC$150,22,0)</f>
        <v>792295683</v>
      </c>
      <c r="M181" s="18">
        <f>VLOOKUP(E181,[1]Diccionario!C$2:AC$150,24,0)</f>
        <v>45537</v>
      </c>
      <c r="N181" s="19">
        <f>VLOOKUP(E181,[1]Diccionario!C$2:AC$150,25,0)</f>
        <v>45838</v>
      </c>
      <c r="O181" s="20">
        <f>VLOOKUP(E181,[1]Diccionario!C$2:AC$150,26,0)</f>
        <v>9.93</v>
      </c>
      <c r="P181" s="20">
        <f t="shared" si="28"/>
        <v>-1.9299999999999997</v>
      </c>
      <c r="Q181" s="20">
        <v>8</v>
      </c>
      <c r="R181" s="15">
        <v>10</v>
      </c>
      <c r="S181" s="21">
        <v>0.8</v>
      </c>
      <c r="T181" s="21">
        <v>0.8</v>
      </c>
      <c r="U181" s="22"/>
      <c r="V181" s="24"/>
      <c r="W181" s="24">
        <f t="shared" si="29"/>
        <v>633836546.39999998</v>
      </c>
      <c r="X181" s="24">
        <f t="shared" si="30"/>
        <v>633836546.39999998</v>
      </c>
      <c r="Y181" s="24">
        <f t="shared" si="31"/>
        <v>633836546.39999998</v>
      </c>
      <c r="Z181" s="24">
        <f t="shared" si="32"/>
        <v>0</v>
      </c>
      <c r="AA181" s="25" t="str">
        <f t="shared" si="33"/>
        <v>No se realizó gasto en este corte</v>
      </c>
      <c r="AB181" s="26" t="str">
        <f t="shared" si="34"/>
        <v>Costo eficiente: se está gastando menos de lo presupuestado</v>
      </c>
      <c r="AC181" s="26">
        <f t="shared" si="35"/>
        <v>1</v>
      </c>
      <c r="AD181" s="26" t="str">
        <f t="shared" si="36"/>
        <v>Proyecto a tiempo según lo planificado</v>
      </c>
      <c r="AE181" s="27">
        <f t="shared" si="37"/>
        <v>0</v>
      </c>
      <c r="AF181" s="27">
        <f t="shared" si="38"/>
        <v>-792295683</v>
      </c>
      <c r="AG181" s="28" t="str">
        <f>VLOOKUP(Indicador!E190,[1]Diccionario!C$1:AC$150,27,0)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81" s="28">
        <v>1</v>
      </c>
      <c r="AI181" s="28">
        <v>1</v>
      </c>
      <c r="AJ181" s="28"/>
      <c r="AK181" s="28"/>
    </row>
    <row r="182" spans="1:37" ht="18.75" customHeight="1" x14ac:dyDescent="0.25">
      <c r="A182" s="11">
        <v>2024</v>
      </c>
      <c r="B182" s="12" t="s">
        <v>50</v>
      </c>
      <c r="C182" s="15" t="s">
        <v>176</v>
      </c>
      <c r="D182" s="39">
        <v>45558.660403622685</v>
      </c>
      <c r="E182" s="15" t="s">
        <v>177</v>
      </c>
      <c r="F182" s="15" t="s">
        <v>178</v>
      </c>
      <c r="G182" s="15" t="s">
        <v>179</v>
      </c>
      <c r="H182" s="15" t="s">
        <v>180</v>
      </c>
      <c r="I182" s="15" t="s">
        <v>43</v>
      </c>
      <c r="J182" s="15" t="s">
        <v>181</v>
      </c>
      <c r="K182" s="15" t="s">
        <v>45</v>
      </c>
      <c r="L182" s="17">
        <f>VLOOKUP(E182,[1]Diccionario!C$2:AC$150,22,0)</f>
        <v>792295683</v>
      </c>
      <c r="M182" s="18">
        <f>VLOOKUP(E182,[1]Diccionario!C$2:AC$150,24,0)</f>
        <v>45537</v>
      </c>
      <c r="N182" s="19">
        <f>VLOOKUP(E182,[1]Diccionario!C$2:AC$150,25,0)</f>
        <v>45838</v>
      </c>
      <c r="O182" s="20">
        <f>VLOOKUP(E182,[1]Diccionario!C$2:AC$150,26,0)</f>
        <v>9.93</v>
      </c>
      <c r="P182" s="20">
        <f t="shared" si="28"/>
        <v>-0.92999999999999972</v>
      </c>
      <c r="Q182" s="20">
        <v>9</v>
      </c>
      <c r="R182" s="15">
        <v>10</v>
      </c>
      <c r="S182" s="21">
        <v>0.9</v>
      </c>
      <c r="T182" s="21">
        <v>0.9</v>
      </c>
      <c r="U182" s="22"/>
      <c r="V182" s="24"/>
      <c r="W182" s="24">
        <f t="shared" si="29"/>
        <v>713066114.70000005</v>
      </c>
      <c r="X182" s="24">
        <f t="shared" si="30"/>
        <v>713066114.70000005</v>
      </c>
      <c r="Y182" s="24">
        <f t="shared" si="31"/>
        <v>713066114.70000005</v>
      </c>
      <c r="Z182" s="24">
        <f t="shared" si="32"/>
        <v>0</v>
      </c>
      <c r="AA182" s="25" t="str">
        <f t="shared" si="33"/>
        <v>No se realizó gasto en este corte</v>
      </c>
      <c r="AB182" s="26" t="str">
        <f t="shared" si="34"/>
        <v>Costo eficiente: se está gastando menos de lo presupuestado</v>
      </c>
      <c r="AC182" s="26">
        <f t="shared" si="35"/>
        <v>1</v>
      </c>
      <c r="AD182" s="26" t="str">
        <f t="shared" si="36"/>
        <v>Proyecto a tiempo según lo planificado</v>
      </c>
      <c r="AE182" s="27">
        <f t="shared" si="37"/>
        <v>0</v>
      </c>
      <c r="AF182" s="27">
        <f t="shared" si="38"/>
        <v>-792295683</v>
      </c>
      <c r="AG182" s="28" t="str">
        <f>VLOOKUP(Indicador!E191,[1]Diccionario!C$1:AC$150,27,0)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82" s="28">
        <v>1</v>
      </c>
      <c r="AI182" s="28">
        <v>1</v>
      </c>
      <c r="AJ182" s="28"/>
      <c r="AK182" s="28"/>
    </row>
    <row r="183" spans="1:37" ht="18.75" customHeight="1" x14ac:dyDescent="0.25">
      <c r="A183" s="11">
        <v>2024</v>
      </c>
      <c r="B183" s="12" t="s">
        <v>51</v>
      </c>
      <c r="C183" s="15" t="s">
        <v>176</v>
      </c>
      <c r="D183" s="39">
        <v>45558.660403622685</v>
      </c>
      <c r="E183" s="15" t="s">
        <v>177</v>
      </c>
      <c r="F183" s="15" t="s">
        <v>178</v>
      </c>
      <c r="G183" s="15" t="s">
        <v>179</v>
      </c>
      <c r="H183" s="15" t="s">
        <v>180</v>
      </c>
      <c r="I183" s="15" t="s">
        <v>43</v>
      </c>
      <c r="J183" s="15" t="s">
        <v>181</v>
      </c>
      <c r="K183" s="15" t="s">
        <v>45</v>
      </c>
      <c r="L183" s="17">
        <f>VLOOKUP(E183,[1]Diccionario!C$2:AC$150,22,0)</f>
        <v>792295683</v>
      </c>
      <c r="M183" s="18">
        <f>VLOOKUP(E183,[1]Diccionario!C$2:AC$150,24,0)</f>
        <v>45537</v>
      </c>
      <c r="N183" s="19">
        <f>VLOOKUP(E183,[1]Diccionario!C$2:AC$150,25,0)</f>
        <v>45838</v>
      </c>
      <c r="O183" s="20">
        <f>VLOOKUP(E183,[1]Diccionario!C$2:AC$150,26,0)</f>
        <v>9.93</v>
      </c>
      <c r="P183" s="20">
        <f t="shared" si="28"/>
        <v>7.0000000000000284E-2</v>
      </c>
      <c r="Q183" s="20">
        <v>10</v>
      </c>
      <c r="R183" s="15">
        <v>10</v>
      </c>
      <c r="S183" s="21">
        <v>1</v>
      </c>
      <c r="T183" s="21">
        <v>1</v>
      </c>
      <c r="U183" s="22"/>
      <c r="V183" s="24"/>
      <c r="W183" s="24">
        <f t="shared" si="29"/>
        <v>792295683</v>
      </c>
      <c r="X183" s="24">
        <f t="shared" si="30"/>
        <v>792295683</v>
      </c>
      <c r="Y183" s="24">
        <f t="shared" si="31"/>
        <v>792295683</v>
      </c>
      <c r="Z183" s="24">
        <f t="shared" si="32"/>
        <v>0</v>
      </c>
      <c r="AA183" s="25" t="str">
        <f t="shared" si="33"/>
        <v>No se realizó gasto en este corte</v>
      </c>
      <c r="AB183" s="26" t="str">
        <f t="shared" si="34"/>
        <v>Costo eficiente: se está gastando menos de lo presupuestado</v>
      </c>
      <c r="AC183" s="26">
        <f t="shared" si="35"/>
        <v>1</v>
      </c>
      <c r="AD183" s="26" t="str">
        <f t="shared" si="36"/>
        <v>Proyecto a tiempo según lo planificado</v>
      </c>
      <c r="AE183" s="27">
        <f t="shared" si="37"/>
        <v>0</v>
      </c>
      <c r="AF183" s="27">
        <f t="shared" si="38"/>
        <v>-792295683</v>
      </c>
      <c r="AG183" s="28" t="str">
        <f>VLOOKUP(Indicador!E192,[1]Diccionario!C$1:AC$150,27,0)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83" s="28">
        <v>1</v>
      </c>
      <c r="AI183" s="28">
        <v>1</v>
      </c>
      <c r="AJ183" s="28"/>
      <c r="AK183" s="28"/>
    </row>
    <row r="184" spans="1:37" ht="18.75" customHeight="1" x14ac:dyDescent="0.25">
      <c r="A184" s="11">
        <v>2024</v>
      </c>
      <c r="B184" s="12" t="s">
        <v>54</v>
      </c>
      <c r="C184" s="15" t="s">
        <v>182</v>
      </c>
      <c r="D184" s="39">
        <v>45560.598662847224</v>
      </c>
      <c r="E184" s="15" t="s">
        <v>183</v>
      </c>
      <c r="F184" s="15" t="s">
        <v>184</v>
      </c>
      <c r="G184" s="15" t="s">
        <v>185</v>
      </c>
      <c r="H184" s="15" t="s">
        <v>186</v>
      </c>
      <c r="I184" s="15" t="s">
        <v>63</v>
      </c>
      <c r="J184" s="15" t="s">
        <v>187</v>
      </c>
      <c r="K184" s="15" t="s">
        <v>45</v>
      </c>
      <c r="L184" s="17">
        <f>VLOOKUP(E184,[1]Diccionario!C$2:AC$150,22,0)</f>
        <v>5767590996</v>
      </c>
      <c r="M184" s="18">
        <f>VLOOKUP(E184,[1]Diccionario!C$2:AC$150,24,0)</f>
        <v>45559</v>
      </c>
      <c r="N184" s="19">
        <f>VLOOKUP(E184,[1]Diccionario!C$2:AC$150,25,0)</f>
        <v>45626</v>
      </c>
      <c r="O184" s="20">
        <f>VLOOKUP(E184,[1]Diccionario!C$2:AC$150,26,0)</f>
        <v>2.2000000000000002</v>
      </c>
      <c r="P184" s="20">
        <f t="shared" si="28"/>
        <v>-1.2000000000000002</v>
      </c>
      <c r="Q184" s="20">
        <v>1</v>
      </c>
      <c r="R184" s="15">
        <v>14</v>
      </c>
      <c r="S184" s="21">
        <v>0.1</v>
      </c>
      <c r="T184" s="21">
        <v>0.1</v>
      </c>
      <c r="U184" s="22"/>
      <c r="V184" s="24"/>
      <c r="W184" s="24">
        <f t="shared" si="29"/>
        <v>576759099.60000002</v>
      </c>
      <c r="X184" s="24">
        <f t="shared" si="30"/>
        <v>576759099.60000002</v>
      </c>
      <c r="Y184" s="24">
        <f t="shared" si="31"/>
        <v>576759099.60000002</v>
      </c>
      <c r="Z184" s="24">
        <f t="shared" si="32"/>
        <v>0</v>
      </c>
      <c r="AA184" s="25" t="str">
        <f t="shared" si="33"/>
        <v>No se realizó gasto en este corte</v>
      </c>
      <c r="AB184" s="26" t="str">
        <f t="shared" si="34"/>
        <v>Costo eficiente: se está gastando menos de lo presupuestado</v>
      </c>
      <c r="AC184" s="26">
        <f t="shared" si="35"/>
        <v>1</v>
      </c>
      <c r="AD184" s="26" t="str">
        <f t="shared" si="36"/>
        <v>Proyecto a tiempo según lo planificado</v>
      </c>
      <c r="AE184" s="27">
        <f t="shared" si="37"/>
        <v>0</v>
      </c>
      <c r="AF184" s="27">
        <f t="shared" si="38"/>
        <v>-5767590996</v>
      </c>
      <c r="AG184" s="28" t="str">
        <f>VLOOKUP(Indicador!E193,[1]Diccionario!C$1:AC$150,27,0)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84" s="28">
        <v>1</v>
      </c>
      <c r="AI184" s="28">
        <v>1</v>
      </c>
      <c r="AJ184" s="28"/>
      <c r="AK184" s="28"/>
    </row>
    <row r="185" spans="1:37" ht="18.75" customHeight="1" x14ac:dyDescent="0.25">
      <c r="A185" s="11">
        <v>2024</v>
      </c>
      <c r="B185" s="12" t="s">
        <v>55</v>
      </c>
      <c r="C185" s="15" t="s">
        <v>182</v>
      </c>
      <c r="D185" s="39">
        <v>45560.598662847224</v>
      </c>
      <c r="E185" s="15" t="s">
        <v>183</v>
      </c>
      <c r="F185" s="15" t="s">
        <v>184</v>
      </c>
      <c r="G185" s="15" t="s">
        <v>185</v>
      </c>
      <c r="H185" s="15" t="s">
        <v>186</v>
      </c>
      <c r="I185" s="15" t="s">
        <v>63</v>
      </c>
      <c r="J185" s="15" t="s">
        <v>187</v>
      </c>
      <c r="K185" s="15" t="s">
        <v>45</v>
      </c>
      <c r="L185" s="17">
        <f>VLOOKUP(E185,[1]Diccionario!C$2:AC$150,22,0)</f>
        <v>5767590996</v>
      </c>
      <c r="M185" s="18">
        <f>VLOOKUP(E185,[1]Diccionario!C$2:AC$150,24,0)</f>
        <v>45559</v>
      </c>
      <c r="N185" s="19">
        <f>VLOOKUP(E185,[1]Diccionario!C$2:AC$150,25,0)</f>
        <v>45626</v>
      </c>
      <c r="O185" s="20">
        <f>VLOOKUP(E185,[1]Diccionario!C$2:AC$150,26,0)</f>
        <v>2.2000000000000002</v>
      </c>
      <c r="P185" s="20">
        <f t="shared" si="28"/>
        <v>-0.20000000000000018</v>
      </c>
      <c r="Q185" s="20">
        <v>2</v>
      </c>
      <c r="R185" s="15">
        <v>14</v>
      </c>
      <c r="S185" s="21">
        <v>0.15</v>
      </c>
      <c r="T185" s="21">
        <v>0.15</v>
      </c>
      <c r="U185" s="22"/>
      <c r="V185" s="24"/>
      <c r="W185" s="24">
        <f t="shared" si="29"/>
        <v>865138649.39999998</v>
      </c>
      <c r="X185" s="24">
        <f t="shared" si="30"/>
        <v>865138649.39999998</v>
      </c>
      <c r="Y185" s="24">
        <f t="shared" si="31"/>
        <v>865138649.39999998</v>
      </c>
      <c r="Z185" s="24">
        <f t="shared" si="32"/>
        <v>0</v>
      </c>
      <c r="AA185" s="25" t="str">
        <f t="shared" si="33"/>
        <v>No se realizó gasto en este corte</v>
      </c>
      <c r="AB185" s="26" t="str">
        <f t="shared" si="34"/>
        <v>Costo eficiente: se está gastando menos de lo presupuestado</v>
      </c>
      <c r="AC185" s="26">
        <f t="shared" si="35"/>
        <v>1</v>
      </c>
      <c r="AD185" s="26" t="str">
        <f t="shared" si="36"/>
        <v>Proyecto a tiempo según lo planificado</v>
      </c>
      <c r="AE185" s="27">
        <f t="shared" si="37"/>
        <v>0</v>
      </c>
      <c r="AF185" s="27">
        <f t="shared" si="38"/>
        <v>-5767590996</v>
      </c>
      <c r="AG185" s="28" t="str">
        <f>VLOOKUP(Indicador!E194,[1]Diccionario!C$1:AC$150,27,0)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85" s="28">
        <v>1</v>
      </c>
      <c r="AI185" s="28">
        <v>1</v>
      </c>
      <c r="AJ185" s="28"/>
      <c r="AK185" s="28"/>
    </row>
    <row r="186" spans="1:37" ht="18.75" customHeight="1" x14ac:dyDescent="0.25">
      <c r="A186" s="11">
        <v>2024</v>
      </c>
      <c r="B186" s="12" t="s">
        <v>56</v>
      </c>
      <c r="C186" s="15" t="s">
        <v>182</v>
      </c>
      <c r="D186" s="39">
        <v>45560.598662847224</v>
      </c>
      <c r="E186" s="15" t="s">
        <v>183</v>
      </c>
      <c r="F186" s="15" t="s">
        <v>184</v>
      </c>
      <c r="G186" s="15" t="s">
        <v>185</v>
      </c>
      <c r="H186" s="15" t="s">
        <v>186</v>
      </c>
      <c r="I186" s="15" t="s">
        <v>63</v>
      </c>
      <c r="J186" s="15" t="s">
        <v>187</v>
      </c>
      <c r="K186" s="15" t="s">
        <v>45</v>
      </c>
      <c r="L186" s="17">
        <f>VLOOKUP(E186,[1]Diccionario!C$2:AC$150,22,0)</f>
        <v>5767590996</v>
      </c>
      <c r="M186" s="18">
        <f>VLOOKUP(E186,[1]Diccionario!C$2:AC$150,24,0)</f>
        <v>45559</v>
      </c>
      <c r="N186" s="19">
        <f>VLOOKUP(E186,[1]Diccionario!C$2:AC$150,25,0)</f>
        <v>45626</v>
      </c>
      <c r="O186" s="20">
        <f>VLOOKUP(E186,[1]Diccionario!C$2:AC$150,26,0)</f>
        <v>2.2000000000000002</v>
      </c>
      <c r="P186" s="20">
        <f t="shared" si="28"/>
        <v>0.79999999999999982</v>
      </c>
      <c r="Q186" s="20">
        <v>3</v>
      </c>
      <c r="R186" s="15">
        <v>14</v>
      </c>
      <c r="S186" s="21">
        <v>0.2</v>
      </c>
      <c r="T186" s="21">
        <v>0.2</v>
      </c>
      <c r="U186" s="22"/>
      <c r="V186" s="24"/>
      <c r="W186" s="24">
        <f t="shared" si="29"/>
        <v>1153518199.2</v>
      </c>
      <c r="X186" s="24">
        <f t="shared" si="30"/>
        <v>1153518199.2</v>
      </c>
      <c r="Y186" s="24">
        <f t="shared" si="31"/>
        <v>1153518199.2</v>
      </c>
      <c r="Z186" s="24">
        <f t="shared" si="32"/>
        <v>0</v>
      </c>
      <c r="AA186" s="25" t="str">
        <f t="shared" si="33"/>
        <v>No se realizó gasto en este corte</v>
      </c>
      <c r="AB186" s="26" t="str">
        <f t="shared" si="34"/>
        <v>Costo eficiente: se está gastando menos de lo presupuestado</v>
      </c>
      <c r="AC186" s="26">
        <f t="shared" si="35"/>
        <v>1</v>
      </c>
      <c r="AD186" s="26" t="str">
        <f t="shared" si="36"/>
        <v>Proyecto a tiempo según lo planificado</v>
      </c>
      <c r="AE186" s="27">
        <f t="shared" si="37"/>
        <v>0</v>
      </c>
      <c r="AF186" s="27">
        <f t="shared" si="38"/>
        <v>-5767590996</v>
      </c>
      <c r="AG186" s="28" t="str">
        <f>VLOOKUP(Indicador!E195,[1]Diccionario!C$1:AC$150,27,0)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86" s="28">
        <v>1</v>
      </c>
      <c r="AI186" s="28">
        <v>1</v>
      </c>
      <c r="AJ186" s="28"/>
      <c r="AK186" s="28"/>
    </row>
    <row r="187" spans="1:37" ht="18.75" customHeight="1" x14ac:dyDescent="0.25">
      <c r="A187" s="11">
        <v>2024</v>
      </c>
      <c r="B187" s="12" t="s">
        <v>57</v>
      </c>
      <c r="C187" s="15" t="s">
        <v>182</v>
      </c>
      <c r="D187" s="39">
        <v>45560.598662847224</v>
      </c>
      <c r="E187" s="15" t="s">
        <v>183</v>
      </c>
      <c r="F187" s="15" t="s">
        <v>184</v>
      </c>
      <c r="G187" s="15" t="s">
        <v>185</v>
      </c>
      <c r="H187" s="15" t="s">
        <v>186</v>
      </c>
      <c r="I187" s="15" t="s">
        <v>63</v>
      </c>
      <c r="J187" s="15" t="s">
        <v>187</v>
      </c>
      <c r="K187" s="15" t="s">
        <v>45</v>
      </c>
      <c r="L187" s="17">
        <f>VLOOKUP(E187,[1]Diccionario!C$2:AC$150,22,0)</f>
        <v>5767590996</v>
      </c>
      <c r="M187" s="18">
        <f>VLOOKUP(E187,[1]Diccionario!C$2:AC$150,24,0)</f>
        <v>45559</v>
      </c>
      <c r="N187" s="19">
        <f>VLOOKUP(E187,[1]Diccionario!C$2:AC$150,25,0)</f>
        <v>45626</v>
      </c>
      <c r="O187" s="20">
        <f>VLOOKUP(E187,[1]Diccionario!C$2:AC$150,26,0)</f>
        <v>2.2000000000000002</v>
      </c>
      <c r="P187" s="20">
        <f t="shared" si="28"/>
        <v>1.7999999999999998</v>
      </c>
      <c r="Q187" s="20">
        <v>4</v>
      </c>
      <c r="R187" s="15">
        <v>14</v>
      </c>
      <c r="S187" s="21">
        <v>0.25</v>
      </c>
      <c r="T187" s="21">
        <v>0.3</v>
      </c>
      <c r="U187" s="22"/>
      <c r="V187" s="24"/>
      <c r="W187" s="24">
        <f t="shared" si="29"/>
        <v>1730277298.8</v>
      </c>
      <c r="X187" s="24">
        <f t="shared" si="30"/>
        <v>1441897749</v>
      </c>
      <c r="Y187" s="24">
        <f t="shared" si="31"/>
        <v>1730277298.8</v>
      </c>
      <c r="Z187" s="24">
        <f t="shared" si="32"/>
        <v>288379549.79999995</v>
      </c>
      <c r="AA187" s="25" t="str">
        <f t="shared" si="33"/>
        <v>No se realizó gasto en este corte</v>
      </c>
      <c r="AB187" s="26" t="str">
        <f t="shared" si="34"/>
        <v>Costo eficiente: se está gastando menos de lo presupuestado</v>
      </c>
      <c r="AC187" s="26">
        <f t="shared" si="35"/>
        <v>1.2</v>
      </c>
      <c r="AD187" s="26" t="str">
        <f t="shared" si="36"/>
        <v>Proyecto adelantado respecto al cronograma</v>
      </c>
      <c r="AE187" s="27">
        <f t="shared" si="37"/>
        <v>0</v>
      </c>
      <c r="AF187" s="27">
        <f t="shared" si="38"/>
        <v>-5767590996</v>
      </c>
      <c r="AG187" s="28" t="str">
        <f>VLOOKUP(Indicador!E196,[1]Diccionario!C$1:AC$150,27,0)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87" s="28">
        <v>1</v>
      </c>
      <c r="AI187" s="28">
        <v>1</v>
      </c>
      <c r="AJ187" s="28"/>
      <c r="AK187" s="28"/>
    </row>
    <row r="188" spans="1:37" ht="18.75" customHeight="1" x14ac:dyDescent="0.25">
      <c r="A188" s="11">
        <v>2025</v>
      </c>
      <c r="B188" s="12" t="s">
        <v>37</v>
      </c>
      <c r="C188" s="15" t="s">
        <v>182</v>
      </c>
      <c r="D188" s="39">
        <v>45560.598662847224</v>
      </c>
      <c r="E188" s="15" t="s">
        <v>183</v>
      </c>
      <c r="F188" s="15" t="s">
        <v>184</v>
      </c>
      <c r="G188" s="15" t="s">
        <v>185</v>
      </c>
      <c r="H188" s="15" t="s">
        <v>186</v>
      </c>
      <c r="I188" s="15" t="s">
        <v>63</v>
      </c>
      <c r="J188" s="15" t="s">
        <v>187</v>
      </c>
      <c r="K188" s="15" t="s">
        <v>45</v>
      </c>
      <c r="L188" s="17">
        <f>VLOOKUP(E188,[1]Diccionario!C$2:AC$150,22,0)</f>
        <v>5767590996</v>
      </c>
      <c r="M188" s="18">
        <f>VLOOKUP(E188,[1]Diccionario!C$2:AC$150,24,0)</f>
        <v>45559</v>
      </c>
      <c r="N188" s="19">
        <f>VLOOKUP(E188,[1]Diccionario!C$2:AC$150,25,0)</f>
        <v>45626</v>
      </c>
      <c r="O188" s="20">
        <f>VLOOKUP(E188,[1]Diccionario!C$2:AC$150,26,0)</f>
        <v>2.2000000000000002</v>
      </c>
      <c r="P188" s="20">
        <f t="shared" si="28"/>
        <v>2.8</v>
      </c>
      <c r="Q188" s="20">
        <v>5</v>
      </c>
      <c r="R188" s="15">
        <v>14</v>
      </c>
      <c r="S188" s="21">
        <v>0.3</v>
      </c>
      <c r="T188" s="21">
        <v>0.35</v>
      </c>
      <c r="U188" s="22"/>
      <c r="V188" s="24"/>
      <c r="W188" s="24">
        <f t="shared" si="29"/>
        <v>2018656848.5999999</v>
      </c>
      <c r="X188" s="24">
        <f t="shared" si="30"/>
        <v>1730277298.8</v>
      </c>
      <c r="Y188" s="24">
        <f t="shared" si="31"/>
        <v>2018656848.5999999</v>
      </c>
      <c r="Z188" s="24">
        <f t="shared" si="32"/>
        <v>288379549.79999995</v>
      </c>
      <c r="AA188" s="25" t="str">
        <f t="shared" si="33"/>
        <v>No se realizó gasto en este corte</v>
      </c>
      <c r="AB188" s="26" t="str">
        <f t="shared" si="34"/>
        <v>Costo eficiente: se está gastando menos de lo presupuestado</v>
      </c>
      <c r="AC188" s="26">
        <f t="shared" si="35"/>
        <v>1.1666666666666667</v>
      </c>
      <c r="AD188" s="26" t="str">
        <f t="shared" si="36"/>
        <v>Proyecto adelantado respecto al cronograma</v>
      </c>
      <c r="AE188" s="27">
        <f t="shared" si="37"/>
        <v>0</v>
      </c>
      <c r="AF188" s="27">
        <f t="shared" si="38"/>
        <v>-5767590996</v>
      </c>
      <c r="AG188" s="28" t="str">
        <f>VLOOKUP(Indicador!E197,[1]Diccionario!C$1:AC$150,27,0)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88" s="28">
        <v>1</v>
      </c>
      <c r="AI188" s="28">
        <v>1</v>
      </c>
      <c r="AJ188" s="28"/>
      <c r="AK188" s="28"/>
    </row>
    <row r="189" spans="1:37" ht="18.75" customHeight="1" x14ac:dyDescent="0.25">
      <c r="A189" s="11">
        <v>2025</v>
      </c>
      <c r="B189" s="12" t="s">
        <v>47</v>
      </c>
      <c r="C189" s="15" t="s">
        <v>182</v>
      </c>
      <c r="D189" s="39">
        <v>45560.598662847224</v>
      </c>
      <c r="E189" s="15" t="s">
        <v>183</v>
      </c>
      <c r="F189" s="15" t="s">
        <v>184</v>
      </c>
      <c r="G189" s="15" t="s">
        <v>185</v>
      </c>
      <c r="H189" s="15" t="s">
        <v>186</v>
      </c>
      <c r="I189" s="15" t="s">
        <v>63</v>
      </c>
      <c r="J189" s="15" t="s">
        <v>187</v>
      </c>
      <c r="K189" s="15" t="s">
        <v>45</v>
      </c>
      <c r="L189" s="17">
        <f>VLOOKUP(E189,[1]Diccionario!C$2:AC$150,22,0)</f>
        <v>5767590996</v>
      </c>
      <c r="M189" s="18">
        <f>VLOOKUP(E189,[1]Diccionario!C$2:AC$150,24,0)</f>
        <v>45559</v>
      </c>
      <c r="N189" s="19">
        <f>VLOOKUP(E189,[1]Diccionario!C$2:AC$150,25,0)</f>
        <v>45626</v>
      </c>
      <c r="O189" s="20">
        <f>VLOOKUP(E189,[1]Diccionario!C$2:AC$150,26,0)</f>
        <v>2.2000000000000002</v>
      </c>
      <c r="P189" s="20">
        <f t="shared" si="28"/>
        <v>3.8</v>
      </c>
      <c r="Q189" s="20">
        <v>6</v>
      </c>
      <c r="R189" s="15">
        <v>14</v>
      </c>
      <c r="S189" s="21">
        <v>0.35</v>
      </c>
      <c r="T189" s="21">
        <v>0.4</v>
      </c>
      <c r="U189" s="22"/>
      <c r="V189" s="24"/>
      <c r="W189" s="24">
        <f t="shared" si="29"/>
        <v>2307036398.4000001</v>
      </c>
      <c r="X189" s="24">
        <f t="shared" si="30"/>
        <v>2018656848.5999999</v>
      </c>
      <c r="Y189" s="24">
        <f t="shared" si="31"/>
        <v>2307036398.4000001</v>
      </c>
      <c r="Z189" s="24">
        <f t="shared" si="32"/>
        <v>288379549.80000019</v>
      </c>
      <c r="AA189" s="25" t="str">
        <f t="shared" si="33"/>
        <v>No se realizó gasto en este corte</v>
      </c>
      <c r="AB189" s="26" t="str">
        <f t="shared" si="34"/>
        <v>Costo eficiente: se está gastando menos de lo presupuestado</v>
      </c>
      <c r="AC189" s="26">
        <f t="shared" si="35"/>
        <v>1.142857142857143</v>
      </c>
      <c r="AD189" s="26" t="str">
        <f t="shared" si="36"/>
        <v>Proyecto adelantado respecto al cronograma</v>
      </c>
      <c r="AE189" s="27">
        <f t="shared" si="37"/>
        <v>0</v>
      </c>
      <c r="AF189" s="27">
        <f t="shared" si="38"/>
        <v>-5767590996</v>
      </c>
      <c r="AG189" s="28" t="str">
        <f>VLOOKUP(Indicador!E198,[1]Diccionario!C$1:AC$150,27,0)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89" s="28">
        <v>1</v>
      </c>
      <c r="AI189" s="28">
        <v>1</v>
      </c>
      <c r="AJ189" s="28"/>
      <c r="AK189" s="28"/>
    </row>
    <row r="190" spans="1:37" ht="18.75" customHeight="1" x14ac:dyDescent="0.25">
      <c r="A190" s="11">
        <v>2025</v>
      </c>
      <c r="B190" s="12" t="s">
        <v>48</v>
      </c>
      <c r="C190" s="15" t="s">
        <v>182</v>
      </c>
      <c r="D190" s="39">
        <v>45560.598662847224</v>
      </c>
      <c r="E190" s="15" t="s">
        <v>183</v>
      </c>
      <c r="F190" s="15" t="s">
        <v>184</v>
      </c>
      <c r="G190" s="15" t="s">
        <v>185</v>
      </c>
      <c r="H190" s="15" t="s">
        <v>186</v>
      </c>
      <c r="I190" s="15" t="s">
        <v>63</v>
      </c>
      <c r="J190" s="15" t="s">
        <v>187</v>
      </c>
      <c r="K190" s="15" t="s">
        <v>45</v>
      </c>
      <c r="L190" s="17">
        <f>VLOOKUP(E190,[1]Diccionario!C$2:AC$150,22,0)</f>
        <v>5767590996</v>
      </c>
      <c r="M190" s="18">
        <f>VLOOKUP(E190,[1]Diccionario!C$2:AC$150,24,0)</f>
        <v>45559</v>
      </c>
      <c r="N190" s="19">
        <f>VLOOKUP(E190,[1]Diccionario!C$2:AC$150,25,0)</f>
        <v>45626</v>
      </c>
      <c r="O190" s="20">
        <f>VLOOKUP(E190,[1]Diccionario!C$2:AC$150,26,0)</f>
        <v>2.2000000000000002</v>
      </c>
      <c r="P190" s="20">
        <f t="shared" si="28"/>
        <v>4.8</v>
      </c>
      <c r="Q190" s="20">
        <v>7</v>
      </c>
      <c r="R190" s="15">
        <v>14</v>
      </c>
      <c r="S190" s="21">
        <v>0.4</v>
      </c>
      <c r="T190" s="21">
        <v>0.45</v>
      </c>
      <c r="U190" s="22"/>
      <c r="V190" s="24"/>
      <c r="W190" s="24">
        <f t="shared" si="29"/>
        <v>2595415948.2000003</v>
      </c>
      <c r="X190" s="24">
        <f t="shared" si="30"/>
        <v>2307036398.4000001</v>
      </c>
      <c r="Y190" s="24">
        <f t="shared" si="31"/>
        <v>2595415948.2000003</v>
      </c>
      <c r="Z190" s="24">
        <f t="shared" si="32"/>
        <v>288379549.80000019</v>
      </c>
      <c r="AA190" s="25" t="str">
        <f t="shared" si="33"/>
        <v>No se realizó gasto en este corte</v>
      </c>
      <c r="AB190" s="26" t="str">
        <f t="shared" si="34"/>
        <v>Costo eficiente: se está gastando menos de lo presupuestado</v>
      </c>
      <c r="AC190" s="26">
        <f t="shared" si="35"/>
        <v>1.125</v>
      </c>
      <c r="AD190" s="26" t="str">
        <f t="shared" si="36"/>
        <v>Proyecto adelantado respecto al cronograma</v>
      </c>
      <c r="AE190" s="27">
        <f t="shared" si="37"/>
        <v>0</v>
      </c>
      <c r="AF190" s="27">
        <f t="shared" si="38"/>
        <v>-5767590996</v>
      </c>
      <c r="AG190" s="28" t="str">
        <f>VLOOKUP(Indicador!E199,[1]Diccionario!C$1:AC$150,27,0)</f>
        <v>https://growdatasas.sharepoint.com/:x:/r/sites/Gestiondocumental/Administrativa/GD/Financiera/_layouts/15/Doc.aspx?sourcedoc=%7B8B953C7E-D0F5-422E-BC36-C51DAEC457DB%7D&amp;file=28082024%20MODELO%20FINANCIERO%20V7.1_DEFENSORIA_RENOVACION.xlsm&amp;action=default&amp;mobileredirect=true</v>
      </c>
      <c r="AH190" s="28">
        <v>1</v>
      </c>
      <c r="AI190" s="28">
        <v>1</v>
      </c>
      <c r="AJ190" s="28"/>
      <c r="AK190" s="28"/>
    </row>
    <row r="191" spans="1:37" ht="18.75" customHeight="1" x14ac:dyDescent="0.25">
      <c r="A191" s="11">
        <v>2025</v>
      </c>
      <c r="B191" s="12" t="s">
        <v>49</v>
      </c>
      <c r="C191" s="15" t="s">
        <v>182</v>
      </c>
      <c r="D191" s="39">
        <v>45560.598662847224</v>
      </c>
      <c r="E191" s="15" t="s">
        <v>183</v>
      </c>
      <c r="F191" s="15" t="s">
        <v>184</v>
      </c>
      <c r="G191" s="15" t="s">
        <v>185</v>
      </c>
      <c r="H191" s="15" t="s">
        <v>186</v>
      </c>
      <c r="I191" s="15" t="s">
        <v>63</v>
      </c>
      <c r="J191" s="15" t="s">
        <v>187</v>
      </c>
      <c r="K191" s="15" t="s">
        <v>45</v>
      </c>
      <c r="L191" s="17">
        <f>VLOOKUP(E191,[1]Diccionario!C$2:AC$150,22,0)</f>
        <v>5767590996</v>
      </c>
      <c r="M191" s="18">
        <f>VLOOKUP(E191,[1]Diccionario!C$2:AC$150,24,0)</f>
        <v>45559</v>
      </c>
      <c r="N191" s="19">
        <f>VLOOKUP(E191,[1]Diccionario!C$2:AC$150,25,0)</f>
        <v>45626</v>
      </c>
      <c r="O191" s="20">
        <f>VLOOKUP(E191,[1]Diccionario!C$2:AC$150,26,0)</f>
        <v>2.2000000000000002</v>
      </c>
      <c r="P191" s="20">
        <f t="shared" si="28"/>
        <v>5.8</v>
      </c>
      <c r="Q191" s="20">
        <v>8</v>
      </c>
      <c r="R191" s="15">
        <v>14</v>
      </c>
      <c r="S191" s="21">
        <v>0.45</v>
      </c>
      <c r="T191" s="21">
        <v>0.5</v>
      </c>
      <c r="U191" s="22"/>
      <c r="V191" s="24"/>
      <c r="W191" s="24">
        <f t="shared" si="29"/>
        <v>2883795498</v>
      </c>
      <c r="X191" s="24">
        <f t="shared" si="30"/>
        <v>2595415948.2000003</v>
      </c>
      <c r="Y191" s="24">
        <f t="shared" si="31"/>
        <v>2883795498</v>
      </c>
      <c r="Z191" s="24">
        <f t="shared" si="32"/>
        <v>288379549.79999971</v>
      </c>
      <c r="AA191" s="25" t="str">
        <f t="shared" si="33"/>
        <v>No se realizó gasto en este corte</v>
      </c>
      <c r="AB191" s="26" t="str">
        <f t="shared" si="34"/>
        <v>Costo eficiente: se está gastando menos de lo presupuestado</v>
      </c>
      <c r="AC191" s="26">
        <f t="shared" si="35"/>
        <v>1.1111111111111109</v>
      </c>
      <c r="AD191" s="26" t="str">
        <f t="shared" si="36"/>
        <v>Proyecto adelantado respecto al cronograma</v>
      </c>
      <c r="AE191" s="27">
        <f t="shared" si="37"/>
        <v>0</v>
      </c>
      <c r="AF191" s="27">
        <f t="shared" si="38"/>
        <v>-5767590996</v>
      </c>
      <c r="AG191" s="28" t="str">
        <f>VLOOKUP(Indicador!E200,[1]Diccionario!C$1:AC$150,27,0)</f>
        <v>https://growdatasas.sharepoint.com/:x:/r/sites/Gestiondocumental/Administrativa/GD/Financiera/_layouts/15/Doc.aspx?sourcedoc=%7B8B953C7E-D0F5-422E-BC36-C51DAEC457DB%7D&amp;file=28082024%20MODELO%20FINANCIERO%20V7.1_DEFENSORIA_RENOVACION.xlsm&amp;action=default&amp;mobileredirect=true</v>
      </c>
      <c r="AH191" s="28">
        <v>1</v>
      </c>
      <c r="AI191" s="28">
        <v>1</v>
      </c>
      <c r="AJ191" s="28"/>
      <c r="AK191" s="28"/>
    </row>
    <row r="192" spans="1:37" ht="18.75" customHeight="1" x14ac:dyDescent="0.25">
      <c r="A192" s="11">
        <v>2025</v>
      </c>
      <c r="B192" s="12" t="s">
        <v>50</v>
      </c>
      <c r="C192" s="15" t="s">
        <v>182</v>
      </c>
      <c r="D192" s="39">
        <v>45560.598662847224</v>
      </c>
      <c r="E192" s="15" t="s">
        <v>183</v>
      </c>
      <c r="F192" s="15" t="s">
        <v>184</v>
      </c>
      <c r="G192" s="15" t="s">
        <v>185</v>
      </c>
      <c r="H192" s="15" t="s">
        <v>186</v>
      </c>
      <c r="I192" s="15" t="s">
        <v>63</v>
      </c>
      <c r="J192" s="15" t="s">
        <v>187</v>
      </c>
      <c r="K192" s="15" t="s">
        <v>45</v>
      </c>
      <c r="L192" s="17">
        <f>VLOOKUP(E192,[1]Diccionario!C$2:AC$150,22,0)</f>
        <v>5767590996</v>
      </c>
      <c r="M192" s="18">
        <f>VLOOKUP(E192,[1]Diccionario!C$2:AC$150,24,0)</f>
        <v>45559</v>
      </c>
      <c r="N192" s="19">
        <f>VLOOKUP(E192,[1]Diccionario!C$2:AC$150,25,0)</f>
        <v>45626</v>
      </c>
      <c r="O192" s="20">
        <f>VLOOKUP(E192,[1]Diccionario!C$2:AC$150,26,0)</f>
        <v>2.2000000000000002</v>
      </c>
      <c r="P192" s="20">
        <f t="shared" si="28"/>
        <v>6.8</v>
      </c>
      <c r="Q192" s="20">
        <v>9</v>
      </c>
      <c r="R192" s="15">
        <v>14</v>
      </c>
      <c r="S192" s="21">
        <v>0.5</v>
      </c>
      <c r="T192" s="21">
        <v>0.55000000000000004</v>
      </c>
      <c r="U192" s="22"/>
      <c r="V192" s="24"/>
      <c r="W192" s="24">
        <f t="shared" si="29"/>
        <v>3172175047.8000002</v>
      </c>
      <c r="X192" s="24">
        <f t="shared" si="30"/>
        <v>2883795498</v>
      </c>
      <c r="Y192" s="24">
        <f t="shared" si="31"/>
        <v>3172175047.8000002</v>
      </c>
      <c r="Z192" s="24">
        <f t="shared" si="32"/>
        <v>288379549.80000019</v>
      </c>
      <c r="AA192" s="25" t="str">
        <f t="shared" si="33"/>
        <v>No se realizó gasto en este corte</v>
      </c>
      <c r="AB192" s="26" t="str">
        <f t="shared" si="34"/>
        <v>Costo eficiente: se está gastando menos de lo presupuestado</v>
      </c>
      <c r="AC192" s="26">
        <f t="shared" si="35"/>
        <v>1.1000000000000001</v>
      </c>
      <c r="AD192" s="26" t="str">
        <f t="shared" si="36"/>
        <v>Proyecto adelantado respecto al cronograma</v>
      </c>
      <c r="AE192" s="27">
        <f t="shared" si="37"/>
        <v>0</v>
      </c>
      <c r="AF192" s="27">
        <f t="shared" si="38"/>
        <v>-5767590996</v>
      </c>
      <c r="AG192" s="28" t="str">
        <f>VLOOKUP(Indicador!E201,[1]Diccionario!C$1:AC$150,27,0)</f>
        <v>https://growdatasas.sharepoint.com/:x:/r/sites/Gestiondocumental/Administrativa/GD/Financiera/_layouts/15/Doc.aspx?sourcedoc=%7BC1202124-0C11-4B86-BB8D-77A938B88AD7%7D&amp;file=09092024%20MODELO%20FINANCIERO%20REFERENCIA%20V7.1_1ANIO_ADRES.xlsm&amp;action=default&amp;mobileredirect=true</v>
      </c>
      <c r="AH192" s="28">
        <v>1</v>
      </c>
      <c r="AI192" s="28">
        <v>1</v>
      </c>
      <c r="AJ192" s="28"/>
      <c r="AK192" s="28"/>
    </row>
    <row r="193" spans="1:37" ht="18.75" customHeight="1" x14ac:dyDescent="0.25">
      <c r="A193" s="11">
        <v>2025</v>
      </c>
      <c r="B193" s="12" t="s">
        <v>51</v>
      </c>
      <c r="C193" s="15" t="s">
        <v>182</v>
      </c>
      <c r="D193" s="39">
        <v>45560.598662847224</v>
      </c>
      <c r="E193" s="15" t="s">
        <v>183</v>
      </c>
      <c r="F193" s="15" t="s">
        <v>184</v>
      </c>
      <c r="G193" s="15" t="s">
        <v>185</v>
      </c>
      <c r="H193" s="15" t="s">
        <v>186</v>
      </c>
      <c r="I193" s="15" t="s">
        <v>63</v>
      </c>
      <c r="J193" s="15" t="s">
        <v>187</v>
      </c>
      <c r="K193" s="15" t="s">
        <v>45</v>
      </c>
      <c r="L193" s="17">
        <f>VLOOKUP(E193,[1]Diccionario!C$2:AC$150,22,0)</f>
        <v>5767590996</v>
      </c>
      <c r="M193" s="18">
        <f>VLOOKUP(E193,[1]Diccionario!C$2:AC$150,24,0)</f>
        <v>45559</v>
      </c>
      <c r="N193" s="19">
        <f>VLOOKUP(E193,[1]Diccionario!C$2:AC$150,25,0)</f>
        <v>45626</v>
      </c>
      <c r="O193" s="20">
        <f>VLOOKUP(E193,[1]Diccionario!C$2:AC$150,26,0)</f>
        <v>2.2000000000000002</v>
      </c>
      <c r="P193" s="20">
        <f t="shared" si="28"/>
        <v>7.8</v>
      </c>
      <c r="Q193" s="20">
        <v>10</v>
      </c>
      <c r="R193" s="15">
        <v>14</v>
      </c>
      <c r="S193" s="21">
        <v>0.55000000000000004</v>
      </c>
      <c r="T193" s="21">
        <v>0.6</v>
      </c>
      <c r="U193" s="22"/>
      <c r="V193" s="24"/>
      <c r="W193" s="24">
        <f t="shared" si="29"/>
        <v>3460554597.5999999</v>
      </c>
      <c r="X193" s="24">
        <f t="shared" si="30"/>
        <v>3172175047.8000002</v>
      </c>
      <c r="Y193" s="24">
        <f t="shared" si="31"/>
        <v>3460554597.5999999</v>
      </c>
      <c r="Z193" s="24">
        <f t="shared" si="32"/>
        <v>288379549.79999971</v>
      </c>
      <c r="AA193" s="25" t="str">
        <f t="shared" si="33"/>
        <v>No se realizó gasto en este corte</v>
      </c>
      <c r="AB193" s="26" t="str">
        <f t="shared" si="34"/>
        <v>Costo eficiente: se está gastando menos de lo presupuestado</v>
      </c>
      <c r="AC193" s="26">
        <f t="shared" si="35"/>
        <v>1.0909090909090908</v>
      </c>
      <c r="AD193" s="26" t="str">
        <f t="shared" si="36"/>
        <v>Proyecto adelantado respecto al cronograma</v>
      </c>
      <c r="AE193" s="27">
        <f t="shared" si="37"/>
        <v>0</v>
      </c>
      <c r="AF193" s="27">
        <f t="shared" si="38"/>
        <v>-5767590996</v>
      </c>
      <c r="AG193" s="28" t="str">
        <f>VLOOKUP(Indicador!E202,[1]Diccionario!C$1:AC$150,27,0)</f>
        <v>https://growdatasas.sharepoint.com/:x:/r/sites/Gestiondocumental/Administrativa/GD/Financiera/_layouts/15/Doc.aspx?sourcedoc=%7BC1202124-0C11-4B86-BB8D-77A938B88AD7%7D&amp;file=09092024%20MODELO%20FINANCIERO%20REFERENCIA%20V7.1_1ANIO_ADRES.xlsm&amp;action=default&amp;mobileredirect=true</v>
      </c>
      <c r="AH193" s="28">
        <v>1</v>
      </c>
      <c r="AI193" s="28">
        <v>1</v>
      </c>
      <c r="AJ193" s="28"/>
      <c r="AK193" s="28"/>
    </row>
    <row r="194" spans="1:37" ht="18.75" customHeight="1" x14ac:dyDescent="0.25">
      <c r="A194" s="11">
        <v>2025</v>
      </c>
      <c r="B194" s="12" t="s">
        <v>52</v>
      </c>
      <c r="C194" s="15" t="s">
        <v>182</v>
      </c>
      <c r="D194" s="39">
        <v>45560.598662847224</v>
      </c>
      <c r="E194" s="15" t="s">
        <v>183</v>
      </c>
      <c r="F194" s="15" t="s">
        <v>184</v>
      </c>
      <c r="G194" s="15" t="s">
        <v>185</v>
      </c>
      <c r="H194" s="15" t="s">
        <v>186</v>
      </c>
      <c r="I194" s="15" t="s">
        <v>63</v>
      </c>
      <c r="J194" s="15" t="s">
        <v>187</v>
      </c>
      <c r="K194" s="15" t="s">
        <v>45</v>
      </c>
      <c r="L194" s="17">
        <f>VLOOKUP(E194,[1]Diccionario!C$2:AC$150,22,0)</f>
        <v>5767590996</v>
      </c>
      <c r="M194" s="18">
        <f>VLOOKUP(E194,[1]Diccionario!C$2:AC$150,24,0)</f>
        <v>45559</v>
      </c>
      <c r="N194" s="19">
        <f>VLOOKUP(E194,[1]Diccionario!C$2:AC$150,25,0)</f>
        <v>45626</v>
      </c>
      <c r="O194" s="20">
        <f>VLOOKUP(E194,[1]Diccionario!C$2:AC$150,26,0)</f>
        <v>2.2000000000000002</v>
      </c>
      <c r="P194" s="20">
        <f t="shared" ref="P194:P207" si="39">Q194-O194</f>
        <v>8.8000000000000007</v>
      </c>
      <c r="Q194" s="20">
        <v>11</v>
      </c>
      <c r="R194" s="15">
        <v>14</v>
      </c>
      <c r="S194" s="21">
        <v>0.6</v>
      </c>
      <c r="T194" s="21">
        <v>0.7</v>
      </c>
      <c r="U194" s="22"/>
      <c r="V194" s="24"/>
      <c r="W194" s="24">
        <f t="shared" ref="W194:W257" si="40">IFERROR(T194*L194,0)</f>
        <v>4037313697.1999998</v>
      </c>
      <c r="X194" s="24">
        <f t="shared" ref="X194:X257" si="41">S194*L194</f>
        <v>3460554597.5999999</v>
      </c>
      <c r="Y194" s="24">
        <f t="shared" ref="Y194:Y257" si="42">IFERROR(W194-U194,0)</f>
        <v>4037313697.1999998</v>
      </c>
      <c r="Z194" s="24">
        <f t="shared" ref="Z194:Z257" si="43">W194-X194</f>
        <v>576759099.5999999</v>
      </c>
      <c r="AA194" s="25" t="str">
        <f t="shared" ref="AA194:AA257" si="44">IFERROR(W194/U194,"No se realizó gasto en este corte")</f>
        <v>No se realizó gasto en este corte</v>
      </c>
      <c r="AB194" s="26" t="str">
        <f t="shared" ref="AB194:AB257" si="45">IFERROR(
  IF(OR(AA194="",AA194=0),
    "No calculado",
    IF(AA194&gt;1,"Costo eficiente: se está gastando menos de lo presupuestado",
      IF(AA194=1,"Costo según lo presupuestado",
        "Costo ineficiente: se está gastando más de lo presupuestado"))),
"No calculado")</f>
        <v>Costo eficiente: se está gastando menos de lo presupuestado</v>
      </c>
      <c r="AC194" s="26">
        <f t="shared" ref="AC194:AC257" si="46">IFERROR(W194/X194,0)</f>
        <v>1.1666666666666667</v>
      </c>
      <c r="AD194" s="26" t="str">
        <f t="shared" ref="AD194:AD257" si="47">IF(OR(AC194="",AC194=0),"Sin Línea Base",
IF(AC194&gt;1,"Proyecto adelantado respecto al cronograma",
IF(AC194=1,"Proyecto a tiempo según lo planificado",
IF(AC194&lt;1,"Proyecto atrasado con respecto al cronograma",
"No calculado"))))</f>
        <v>Proyecto adelantado respecto al cronograma</v>
      </c>
      <c r="AE194" s="27">
        <f t="shared" ref="AE194:AE257" si="48">IFERROR(L194/AA194,0)</f>
        <v>0</v>
      </c>
      <c r="AF194" s="27">
        <f t="shared" ref="AF194:AF257" si="49">IFERROR(AE194-L194,0)</f>
        <v>-5767590996</v>
      </c>
      <c r="AG194" s="28" t="str">
        <f>VLOOKUP(Indicador!E203,[1]Diccionario!C$1:AC$150,27,0)</f>
        <v>https://growdatasas.sharepoint.com/:x:/r/sites/Gestiondocumental/Administrativa/GD/Financiera/_layouts/15/Doc.aspx?sourcedoc=%7BC1202124-0C11-4B86-BB8D-77A938B88AD7%7D&amp;file=09092024%20MODELO%20FINANCIERO%20REFERENCIA%20V7.1_1ANIO_ADRES.xlsm&amp;action=default&amp;mobileredirect=true</v>
      </c>
      <c r="AH194" s="28">
        <v>1</v>
      </c>
      <c r="AI194" s="28">
        <v>1</v>
      </c>
      <c r="AJ194" s="28"/>
      <c r="AK194" s="28"/>
    </row>
    <row r="195" spans="1:37" ht="18.75" customHeight="1" x14ac:dyDescent="0.25">
      <c r="A195" s="11">
        <v>2025</v>
      </c>
      <c r="B195" s="12" t="s">
        <v>53</v>
      </c>
      <c r="C195" s="15" t="s">
        <v>182</v>
      </c>
      <c r="D195" s="39">
        <v>45560.598662847224</v>
      </c>
      <c r="E195" s="15" t="s">
        <v>183</v>
      </c>
      <c r="F195" s="15" t="s">
        <v>184</v>
      </c>
      <c r="G195" s="15" t="s">
        <v>185</v>
      </c>
      <c r="H195" s="15" t="s">
        <v>186</v>
      </c>
      <c r="I195" s="15" t="s">
        <v>63</v>
      </c>
      <c r="J195" s="15" t="s">
        <v>187</v>
      </c>
      <c r="K195" s="15" t="s">
        <v>45</v>
      </c>
      <c r="L195" s="17">
        <f>VLOOKUP(E195,[1]Diccionario!C$2:AC$150,22,0)</f>
        <v>5767590996</v>
      </c>
      <c r="M195" s="18">
        <f>VLOOKUP(E195,[1]Diccionario!C$2:AC$150,24,0)</f>
        <v>45559</v>
      </c>
      <c r="N195" s="19">
        <f>VLOOKUP(E195,[1]Diccionario!C$2:AC$150,25,0)</f>
        <v>45626</v>
      </c>
      <c r="O195" s="20">
        <f>VLOOKUP(E195,[1]Diccionario!C$2:AC$150,26,0)</f>
        <v>2.2000000000000002</v>
      </c>
      <c r="P195" s="20">
        <f t="shared" si="39"/>
        <v>9.8000000000000007</v>
      </c>
      <c r="Q195" s="20">
        <v>12</v>
      </c>
      <c r="R195" s="15">
        <v>14</v>
      </c>
      <c r="S195" s="21">
        <v>0.7</v>
      </c>
      <c r="T195" s="21">
        <v>0.8</v>
      </c>
      <c r="U195" s="22"/>
      <c r="V195" s="24"/>
      <c r="W195" s="24">
        <f t="shared" si="40"/>
        <v>4614072796.8000002</v>
      </c>
      <c r="X195" s="24">
        <f t="shared" si="41"/>
        <v>4037313697.1999998</v>
      </c>
      <c r="Y195" s="24">
        <f t="shared" si="42"/>
        <v>4614072796.8000002</v>
      </c>
      <c r="Z195" s="24">
        <f t="shared" si="43"/>
        <v>576759099.60000038</v>
      </c>
      <c r="AA195" s="25" t="str">
        <f t="shared" si="44"/>
        <v>No se realizó gasto en este corte</v>
      </c>
      <c r="AB195" s="26" t="str">
        <f t="shared" si="45"/>
        <v>Costo eficiente: se está gastando menos de lo presupuestado</v>
      </c>
      <c r="AC195" s="26">
        <f t="shared" si="46"/>
        <v>1.142857142857143</v>
      </c>
      <c r="AD195" s="26" t="str">
        <f t="shared" si="47"/>
        <v>Proyecto adelantado respecto al cronograma</v>
      </c>
      <c r="AE195" s="27">
        <f t="shared" si="48"/>
        <v>0</v>
      </c>
      <c r="AF195" s="27">
        <f t="shared" si="49"/>
        <v>-5767590996</v>
      </c>
      <c r="AG195" s="28" t="str">
        <f>VLOOKUP(Indicador!E204,[1]Diccionario!C$1:AC$150,27,0)</f>
        <v>https://growdatasas.sharepoint.com/:x:/r/sites/Gestiondocumental/Administrativa/GD/Financiera/_layouts/15/Doc.aspx?sourcedoc=%7BC1202124-0C11-4B86-BB8D-77A938B88AD7%7D&amp;file=09092024%20MODELO%20FINANCIERO%20REFERENCIA%20V7.1_1ANIO_ADRES.xlsm&amp;action=default&amp;mobileredirect=true</v>
      </c>
      <c r="AH195" s="28">
        <v>1</v>
      </c>
      <c r="AI195" s="28">
        <v>1</v>
      </c>
      <c r="AJ195" s="28"/>
      <c r="AK195" s="28"/>
    </row>
    <row r="196" spans="1:37" ht="18.75" customHeight="1" x14ac:dyDescent="0.25">
      <c r="A196" s="11">
        <v>2025</v>
      </c>
      <c r="B196" s="12" t="s">
        <v>54</v>
      </c>
      <c r="C196" s="15" t="s">
        <v>182</v>
      </c>
      <c r="D196" s="39">
        <v>45560.598662847224</v>
      </c>
      <c r="E196" s="15" t="s">
        <v>183</v>
      </c>
      <c r="F196" s="15" t="s">
        <v>184</v>
      </c>
      <c r="G196" s="15" t="s">
        <v>185</v>
      </c>
      <c r="H196" s="15" t="s">
        <v>186</v>
      </c>
      <c r="I196" s="15" t="s">
        <v>63</v>
      </c>
      <c r="J196" s="15" t="s">
        <v>187</v>
      </c>
      <c r="K196" s="15" t="s">
        <v>45</v>
      </c>
      <c r="L196" s="17">
        <f>VLOOKUP(E196,[1]Diccionario!C$2:AC$150,22,0)</f>
        <v>5767590996</v>
      </c>
      <c r="M196" s="18">
        <f>VLOOKUP(E196,[1]Diccionario!C$2:AC$150,24,0)</f>
        <v>45559</v>
      </c>
      <c r="N196" s="19">
        <f>VLOOKUP(E196,[1]Diccionario!C$2:AC$150,25,0)</f>
        <v>45626</v>
      </c>
      <c r="O196" s="20">
        <f>VLOOKUP(E196,[1]Diccionario!C$2:AC$150,26,0)</f>
        <v>2.2000000000000002</v>
      </c>
      <c r="P196" s="20">
        <f t="shared" si="39"/>
        <v>10.8</v>
      </c>
      <c r="Q196" s="20">
        <v>13</v>
      </c>
      <c r="R196" s="15">
        <v>14</v>
      </c>
      <c r="S196" s="21">
        <v>0.8</v>
      </c>
      <c r="T196" s="21">
        <v>0.9</v>
      </c>
      <c r="U196" s="22"/>
      <c r="V196" s="24"/>
      <c r="W196" s="24">
        <f t="shared" si="40"/>
        <v>5190831896.4000006</v>
      </c>
      <c r="X196" s="24">
        <f t="shared" si="41"/>
        <v>4614072796.8000002</v>
      </c>
      <c r="Y196" s="24">
        <f t="shared" si="42"/>
        <v>5190831896.4000006</v>
      </c>
      <c r="Z196" s="24">
        <f t="shared" si="43"/>
        <v>576759099.60000038</v>
      </c>
      <c r="AA196" s="25" t="str">
        <f t="shared" si="44"/>
        <v>No se realizó gasto en este corte</v>
      </c>
      <c r="AB196" s="26" t="str">
        <f t="shared" si="45"/>
        <v>Costo eficiente: se está gastando menos de lo presupuestado</v>
      </c>
      <c r="AC196" s="26">
        <f t="shared" si="46"/>
        <v>1.125</v>
      </c>
      <c r="AD196" s="26" t="str">
        <f t="shared" si="47"/>
        <v>Proyecto adelantado respecto al cronograma</v>
      </c>
      <c r="AE196" s="27">
        <f t="shared" si="48"/>
        <v>0</v>
      </c>
      <c r="AF196" s="27">
        <f t="shared" si="49"/>
        <v>-5767590996</v>
      </c>
      <c r="AG196" s="28" t="str">
        <f>VLOOKUP(Indicador!E205,[1]Diccionario!C$1:AC$150,27,0)</f>
        <v>https://growdatasas.sharepoint.com/:x:/r/sites/Gestiondocumental/Administrativa/GD/Financiera/_layouts/15/Doc.aspx?sourcedoc=%7BBEB26481-98E1-4A71-BC98-FA27225C2807%7D&amp;file=TELEFONICA%20ELECCIONES%20MODELO%20FINANCIERO%20V7.2%20MESA%20DE%20SERVICIO%2017102024.xlsm&amp;action=default&amp;mobileredirect=true</v>
      </c>
      <c r="AH196" s="28">
        <v>1</v>
      </c>
      <c r="AI196" s="28">
        <v>1</v>
      </c>
      <c r="AJ196" s="28"/>
      <c r="AK196" s="28"/>
    </row>
    <row r="197" spans="1:37" ht="18.75" customHeight="1" x14ac:dyDescent="0.25">
      <c r="A197" s="11">
        <v>2025</v>
      </c>
      <c r="B197" s="12" t="s">
        <v>55</v>
      </c>
      <c r="C197" s="15" t="s">
        <v>182</v>
      </c>
      <c r="D197" s="39">
        <v>45560.598662847224</v>
      </c>
      <c r="E197" s="15" t="s">
        <v>183</v>
      </c>
      <c r="F197" s="15" t="s">
        <v>184</v>
      </c>
      <c r="G197" s="15" t="s">
        <v>185</v>
      </c>
      <c r="H197" s="15" t="s">
        <v>186</v>
      </c>
      <c r="I197" s="15" t="s">
        <v>63</v>
      </c>
      <c r="J197" s="15" t="s">
        <v>187</v>
      </c>
      <c r="K197" s="15" t="s">
        <v>45</v>
      </c>
      <c r="L197" s="17">
        <f>VLOOKUP(E197,[1]Diccionario!C$2:AC$150,22,0)</f>
        <v>5767590996</v>
      </c>
      <c r="M197" s="18">
        <f>VLOOKUP(E197,[1]Diccionario!C$2:AC$150,24,0)</f>
        <v>45559</v>
      </c>
      <c r="N197" s="19">
        <f>VLOOKUP(E197,[1]Diccionario!C$2:AC$150,25,0)</f>
        <v>45626</v>
      </c>
      <c r="O197" s="20">
        <f>VLOOKUP(E197,[1]Diccionario!C$2:AC$150,26,0)</f>
        <v>2.2000000000000002</v>
      </c>
      <c r="P197" s="20">
        <f t="shared" si="39"/>
        <v>11.8</v>
      </c>
      <c r="Q197" s="20">
        <v>14</v>
      </c>
      <c r="R197" s="15">
        <v>14</v>
      </c>
      <c r="S197" s="21">
        <v>0.9</v>
      </c>
      <c r="T197" s="21">
        <v>0.95</v>
      </c>
      <c r="U197" s="22"/>
      <c r="V197" s="24"/>
      <c r="W197" s="24">
        <f t="shared" si="40"/>
        <v>5479211446.1999998</v>
      </c>
      <c r="X197" s="24">
        <f t="shared" si="41"/>
        <v>5190831896.4000006</v>
      </c>
      <c r="Y197" s="24">
        <f t="shared" si="42"/>
        <v>5479211446.1999998</v>
      </c>
      <c r="Z197" s="24">
        <f t="shared" si="43"/>
        <v>288379549.79999924</v>
      </c>
      <c r="AA197" s="25" t="str">
        <f t="shared" si="44"/>
        <v>No se realizó gasto en este corte</v>
      </c>
      <c r="AB197" s="26" t="str">
        <f t="shared" si="45"/>
        <v>Costo eficiente: se está gastando menos de lo presupuestado</v>
      </c>
      <c r="AC197" s="26">
        <f t="shared" si="46"/>
        <v>1.0555555555555554</v>
      </c>
      <c r="AD197" s="26" t="str">
        <f t="shared" si="47"/>
        <v>Proyecto adelantado respecto al cronograma</v>
      </c>
      <c r="AE197" s="27">
        <f t="shared" si="48"/>
        <v>0</v>
      </c>
      <c r="AF197" s="27">
        <f t="shared" si="49"/>
        <v>-5767590996</v>
      </c>
      <c r="AG197" s="28" t="str">
        <f>VLOOKUP(Indicador!E206,[1]Diccionario!C$1:AC$150,27,0)</f>
        <v>https://growdatasas.sharepoint.com/:x:/r/sites/Gestiondocumental/Administrativa/GD/Financiera/_layouts/15/Doc.aspx?sourcedoc=%7BBEB26481-98E1-4A71-BC98-FA27225C2807%7D&amp;file=TELEFONICA%20ELECCIONES%20MODELO%20FINANCIERO%20V7.2%20MESA%20DE%20SERVICIO%2017102024.xlsm&amp;action=default&amp;mobileredirect=true</v>
      </c>
      <c r="AH197" s="28">
        <v>1</v>
      </c>
      <c r="AI197" s="28">
        <v>1</v>
      </c>
      <c r="AJ197" s="28"/>
      <c r="AK197" s="28"/>
    </row>
    <row r="198" spans="1:37" ht="18.75" customHeight="1" x14ac:dyDescent="0.25">
      <c r="A198" s="11">
        <v>2025</v>
      </c>
      <c r="B198" s="12" t="s">
        <v>56</v>
      </c>
      <c r="C198" s="15" t="s">
        <v>182</v>
      </c>
      <c r="D198" s="39">
        <v>45560.598662847224</v>
      </c>
      <c r="E198" s="15" t="s">
        <v>183</v>
      </c>
      <c r="F198" s="15" t="s">
        <v>184</v>
      </c>
      <c r="G198" s="15" t="s">
        <v>185</v>
      </c>
      <c r="H198" s="15" t="s">
        <v>186</v>
      </c>
      <c r="I198" s="15" t="s">
        <v>63</v>
      </c>
      <c r="J198" s="15" t="s">
        <v>187</v>
      </c>
      <c r="K198" s="15" t="s">
        <v>45</v>
      </c>
      <c r="L198" s="17">
        <f>VLOOKUP(E198,[1]Diccionario!C$2:AC$150,22,0)</f>
        <v>5767590996</v>
      </c>
      <c r="M198" s="18">
        <f>VLOOKUP(E198,[1]Diccionario!C$2:AC$150,24,0)</f>
        <v>45559</v>
      </c>
      <c r="N198" s="19">
        <f>VLOOKUP(E198,[1]Diccionario!C$2:AC$150,25,0)</f>
        <v>45626</v>
      </c>
      <c r="O198" s="20">
        <f>VLOOKUP(E198,[1]Diccionario!C$2:AC$150,26,0)</f>
        <v>2.2000000000000002</v>
      </c>
      <c r="P198" s="20">
        <f t="shared" si="39"/>
        <v>12.8</v>
      </c>
      <c r="Q198" s="20">
        <v>15</v>
      </c>
      <c r="R198" s="15">
        <v>14</v>
      </c>
      <c r="S198" s="21">
        <v>1</v>
      </c>
      <c r="T198" s="21">
        <v>1</v>
      </c>
      <c r="U198" s="22"/>
      <c r="V198" s="24"/>
      <c r="W198" s="24">
        <f t="shared" si="40"/>
        <v>5767590996</v>
      </c>
      <c r="X198" s="24">
        <f t="shared" si="41"/>
        <v>5767590996</v>
      </c>
      <c r="Y198" s="24">
        <f t="shared" si="42"/>
        <v>5767590996</v>
      </c>
      <c r="Z198" s="24">
        <f t="shared" si="43"/>
        <v>0</v>
      </c>
      <c r="AA198" s="25" t="str">
        <f t="shared" si="44"/>
        <v>No se realizó gasto en este corte</v>
      </c>
      <c r="AB198" s="26" t="str">
        <f t="shared" si="45"/>
        <v>Costo eficiente: se está gastando menos de lo presupuestado</v>
      </c>
      <c r="AC198" s="26">
        <f t="shared" si="46"/>
        <v>1</v>
      </c>
      <c r="AD198" s="26" t="str">
        <f t="shared" si="47"/>
        <v>Proyecto a tiempo según lo planificado</v>
      </c>
      <c r="AE198" s="27">
        <f t="shared" si="48"/>
        <v>0</v>
      </c>
      <c r="AF198" s="27">
        <f t="shared" si="49"/>
        <v>-5767590996</v>
      </c>
      <c r="AG198" s="28" t="str">
        <f>VLOOKUP(Indicador!E207,[1]Diccionario!C$1:AC$150,27,0)</f>
        <v>https://growdatasas.sharepoint.com/:x:/r/sites/Gestiondocumental/Administrativa/GD/Financiera/_layouts/15/Doc.aspx?sourcedoc=%7BBEB26481-98E1-4A71-BC98-FA27225C2807%7D&amp;file=TELEFONICA%20ELECCIONES%20MODELO%20FINANCIERO%20V7.2%20MESA%20DE%20SERVICIO%2017102024.xlsm&amp;action=default&amp;mobileredirect=true</v>
      </c>
      <c r="AH198" s="28">
        <v>1</v>
      </c>
      <c r="AI198" s="28">
        <v>1</v>
      </c>
      <c r="AJ198" s="28"/>
      <c r="AK198" s="28"/>
    </row>
    <row r="199" spans="1:37" ht="18.75" customHeight="1" x14ac:dyDescent="0.25">
      <c r="A199" s="11">
        <v>2024</v>
      </c>
      <c r="B199" s="40" t="s">
        <v>54</v>
      </c>
      <c r="C199" s="41" t="s">
        <v>188</v>
      </c>
      <c r="D199" s="42">
        <v>45569.574707060186</v>
      </c>
      <c r="E199" s="41" t="s">
        <v>189</v>
      </c>
      <c r="F199" s="41" t="s">
        <v>95</v>
      </c>
      <c r="G199" s="41" t="s">
        <v>190</v>
      </c>
      <c r="H199" s="41" t="s">
        <v>191</v>
      </c>
      <c r="I199" s="41" t="s">
        <v>78</v>
      </c>
      <c r="J199" s="41" t="s">
        <v>192</v>
      </c>
      <c r="K199" s="41" t="s">
        <v>80</v>
      </c>
      <c r="L199" s="43">
        <f>VLOOKUP(E199,[1]Diccionario!C$2:AC$150,22,0)</f>
        <v>45928592</v>
      </c>
      <c r="M199" s="44">
        <f>VLOOKUP(E199,[1]Diccionario!C$2:AC$150,24,0)</f>
        <v>45505</v>
      </c>
      <c r="N199" s="45">
        <f>VLOOKUP(E199,[1]Diccionario!C$2:AC$150,25,0)</f>
        <v>45536</v>
      </c>
      <c r="O199" s="46">
        <f>VLOOKUP(E199,[1]Diccionario!C$2:AC$150,26,0)</f>
        <v>1</v>
      </c>
      <c r="P199" s="46">
        <f t="shared" si="39"/>
        <v>0</v>
      </c>
      <c r="Q199" s="46">
        <v>1</v>
      </c>
      <c r="R199" s="41">
        <v>2</v>
      </c>
      <c r="S199" s="47">
        <v>0.5</v>
      </c>
      <c r="T199" s="47">
        <v>0.5</v>
      </c>
      <c r="U199" s="48"/>
      <c r="V199" s="49"/>
      <c r="W199" s="49">
        <f t="shared" si="40"/>
        <v>22964296</v>
      </c>
      <c r="X199" s="49">
        <f t="shared" si="41"/>
        <v>22964296</v>
      </c>
      <c r="Y199" s="49">
        <f t="shared" si="42"/>
        <v>22964296</v>
      </c>
      <c r="Z199" s="49">
        <f t="shared" si="43"/>
        <v>0</v>
      </c>
      <c r="AA199" s="50" t="str">
        <f t="shared" si="44"/>
        <v>No se realizó gasto en este corte</v>
      </c>
      <c r="AB199" s="51" t="str">
        <f t="shared" si="45"/>
        <v>Costo eficiente: se está gastando menos de lo presupuestado</v>
      </c>
      <c r="AC199" s="51">
        <f t="shared" si="46"/>
        <v>1</v>
      </c>
      <c r="AD199" s="51" t="str">
        <f t="shared" si="47"/>
        <v>Proyecto a tiempo según lo planificado</v>
      </c>
      <c r="AE199" s="52">
        <f t="shared" si="48"/>
        <v>0</v>
      </c>
      <c r="AF199" s="52">
        <f t="shared" si="49"/>
        <v>-45928592</v>
      </c>
      <c r="AG199" s="53" t="str">
        <f>VLOOKUP(Indicador!E155,[1]Diccionario!C$1:AC$150,27,0)</f>
        <v>https://growdatasas.sharepoint.com/:x:/r/sites/Gestiondocumental/Administrativa/GD/Financiera/_layouts/15/Doc.aspx?sourcedoc=%7B0288FE6C-6AAB-43FF-AEC6-9D8F73023920%7D&amp;file=29082024%20TELEFONICA_CORMAGDALENA%20V2.xlsm&amp;action=default&amp;mobileredirect=true</v>
      </c>
      <c r="AH199" s="53">
        <v>1</v>
      </c>
      <c r="AI199" s="53">
        <v>1</v>
      </c>
      <c r="AJ199" s="28"/>
      <c r="AK199" s="28"/>
    </row>
    <row r="200" spans="1:37" ht="18.75" customHeight="1" x14ac:dyDescent="0.25">
      <c r="A200" s="11">
        <v>2024</v>
      </c>
      <c r="B200" s="40" t="s">
        <v>55</v>
      </c>
      <c r="C200" s="41" t="s">
        <v>188</v>
      </c>
      <c r="D200" s="42">
        <v>45569.574707060186</v>
      </c>
      <c r="E200" s="41" t="s">
        <v>189</v>
      </c>
      <c r="F200" s="41" t="s">
        <v>95</v>
      </c>
      <c r="G200" s="41" t="s">
        <v>190</v>
      </c>
      <c r="H200" s="41" t="s">
        <v>191</v>
      </c>
      <c r="I200" s="41" t="s">
        <v>78</v>
      </c>
      <c r="J200" s="41" t="s">
        <v>192</v>
      </c>
      <c r="K200" s="41" t="s">
        <v>80</v>
      </c>
      <c r="L200" s="43">
        <f>VLOOKUP(E200,[1]Diccionario!C$2:AC$150,22,0)</f>
        <v>45928592</v>
      </c>
      <c r="M200" s="44">
        <f>VLOOKUP(E200,[1]Diccionario!C$2:AC$150,24,0)</f>
        <v>45505</v>
      </c>
      <c r="N200" s="45">
        <f>VLOOKUP(E200,[1]Diccionario!C$2:AC$150,25,0)</f>
        <v>45536</v>
      </c>
      <c r="O200" s="46">
        <f>VLOOKUP(E200,[1]Diccionario!C$2:AC$150,26,0)</f>
        <v>1</v>
      </c>
      <c r="P200" s="46">
        <f t="shared" si="39"/>
        <v>1</v>
      </c>
      <c r="Q200" s="46">
        <v>2</v>
      </c>
      <c r="R200" s="41">
        <v>2</v>
      </c>
      <c r="S200" s="47">
        <v>1</v>
      </c>
      <c r="T200" s="47">
        <v>1</v>
      </c>
      <c r="U200" s="48"/>
      <c r="V200" s="49"/>
      <c r="W200" s="49">
        <f t="shared" si="40"/>
        <v>45928592</v>
      </c>
      <c r="X200" s="49">
        <f t="shared" si="41"/>
        <v>45928592</v>
      </c>
      <c r="Y200" s="49">
        <f t="shared" si="42"/>
        <v>45928592</v>
      </c>
      <c r="Z200" s="49">
        <f t="shared" si="43"/>
        <v>0</v>
      </c>
      <c r="AA200" s="50" t="str">
        <f t="shared" si="44"/>
        <v>No se realizó gasto en este corte</v>
      </c>
      <c r="AB200" s="51" t="str">
        <f t="shared" si="45"/>
        <v>Costo eficiente: se está gastando menos de lo presupuestado</v>
      </c>
      <c r="AC200" s="51">
        <f t="shared" si="46"/>
        <v>1</v>
      </c>
      <c r="AD200" s="51" t="str">
        <f t="shared" si="47"/>
        <v>Proyecto a tiempo según lo planificado</v>
      </c>
      <c r="AE200" s="52">
        <f t="shared" si="48"/>
        <v>0</v>
      </c>
      <c r="AF200" s="52">
        <f t="shared" si="49"/>
        <v>-45928592</v>
      </c>
      <c r="AG200" s="53" t="str">
        <f>VLOOKUP(Indicador!E156,[1]Diccionario!C$1:AC$150,27,0)</f>
        <v>https://growdatasas.sharepoint.com/:x:/r/sites/Gestiondocumental/Administrativa/GD/Financiera/_layouts/15/Doc.aspx?sourcedoc=%7B0288FE6C-6AAB-43FF-AEC6-9D8F73023920%7D&amp;file=29082024%20TELEFONICA_CORMAGDALENA%20V2.xlsm&amp;action=default&amp;mobileredirect=true</v>
      </c>
      <c r="AH200" s="53">
        <v>1</v>
      </c>
      <c r="AI200" s="53">
        <v>1</v>
      </c>
      <c r="AJ200" s="28"/>
      <c r="AK200" s="28"/>
    </row>
    <row r="201" spans="1:37" ht="18.75" customHeight="1" x14ac:dyDescent="0.25">
      <c r="A201" s="11">
        <v>2024</v>
      </c>
      <c r="B201" s="12" t="s">
        <v>55</v>
      </c>
      <c r="C201" s="15" t="s">
        <v>193</v>
      </c>
      <c r="D201" s="39">
        <v>45569.614684062501</v>
      </c>
      <c r="E201" s="15" t="s">
        <v>194</v>
      </c>
      <c r="F201" s="15" t="s">
        <v>95</v>
      </c>
      <c r="G201" s="15" t="s">
        <v>195</v>
      </c>
      <c r="H201" s="15" t="s">
        <v>196</v>
      </c>
      <c r="I201" s="15" t="s">
        <v>78</v>
      </c>
      <c r="J201" s="15" t="s">
        <v>197</v>
      </c>
      <c r="K201" s="15" t="s">
        <v>65</v>
      </c>
      <c r="L201" s="17">
        <f>VLOOKUP(E201,[1]Diccionario!C$2:AC$150,22,0)</f>
        <v>319021846</v>
      </c>
      <c r="M201" s="18">
        <f>VLOOKUP(E201,[1]Diccionario!C$2:AC$150,24,0)</f>
        <v>45566</v>
      </c>
      <c r="N201" s="19">
        <f>VLOOKUP(E201,[1]Diccionario!C$2:AC$150,25,0)</f>
        <v>45641</v>
      </c>
      <c r="O201" s="20">
        <f>VLOOKUP(E201,[1]Diccionario!C$2:AC$150,26,0)</f>
        <v>2.4700000000000002</v>
      </c>
      <c r="P201" s="20">
        <f t="shared" si="39"/>
        <v>-1.4700000000000002</v>
      </c>
      <c r="Q201" s="20">
        <v>1</v>
      </c>
      <c r="R201" s="15">
        <v>3</v>
      </c>
      <c r="S201" s="21">
        <v>0.3</v>
      </c>
      <c r="T201" s="21">
        <v>0.2</v>
      </c>
      <c r="U201" s="22"/>
      <c r="V201" s="24"/>
      <c r="W201" s="24">
        <f t="shared" si="40"/>
        <v>63804369.200000003</v>
      </c>
      <c r="X201" s="24">
        <f t="shared" si="41"/>
        <v>95706553.799999997</v>
      </c>
      <c r="Y201" s="24">
        <f t="shared" si="42"/>
        <v>63804369.200000003</v>
      </c>
      <c r="Z201" s="24">
        <f t="shared" si="43"/>
        <v>-31902184.599999994</v>
      </c>
      <c r="AA201" s="25" t="str">
        <f t="shared" si="44"/>
        <v>No se realizó gasto en este corte</v>
      </c>
      <c r="AB201" s="26" t="str">
        <f t="shared" si="45"/>
        <v>Costo eficiente: se está gastando menos de lo presupuestado</v>
      </c>
      <c r="AC201" s="26">
        <f t="shared" si="46"/>
        <v>0.66666666666666674</v>
      </c>
      <c r="AD201" s="26" t="str">
        <f t="shared" si="47"/>
        <v>Proyecto atrasado con respecto al cronograma</v>
      </c>
      <c r="AE201" s="27">
        <f t="shared" si="48"/>
        <v>0</v>
      </c>
      <c r="AF201" s="27">
        <f t="shared" si="49"/>
        <v>-319021846</v>
      </c>
      <c r="AG201" s="28" t="str">
        <f>VLOOKUP(Indicador!E208,[1]Diccionario!C$1:AC$150,27,0)</f>
        <v>https://growdatasas.sharepoint.com/:x:/r/sites/Gestiondocumental/Administrativa/GD/Financiera/_layouts/15/Doc.aspx?sourcedoc=%7BEA2AC996-D46C-4123-8126-7F0BE9537AF4%7D&amp;file=20241108%20MODELO%20FINANCIERO%20REFERENCIA%20V7.2%20APROBADO.xlsm&amp;action=default&amp;mobileredirect=true</v>
      </c>
      <c r="AH201" s="28">
        <v>1</v>
      </c>
      <c r="AI201" s="28">
        <v>1</v>
      </c>
      <c r="AJ201" s="28"/>
      <c r="AK201" s="28"/>
    </row>
    <row r="202" spans="1:37" ht="18.75" customHeight="1" x14ac:dyDescent="0.25">
      <c r="A202" s="11">
        <v>2024</v>
      </c>
      <c r="B202" s="12" t="s">
        <v>56</v>
      </c>
      <c r="C202" s="15" t="s">
        <v>193</v>
      </c>
      <c r="D202" s="39">
        <v>45569.614684062501</v>
      </c>
      <c r="E202" s="15" t="s">
        <v>194</v>
      </c>
      <c r="F202" s="15" t="s">
        <v>95</v>
      </c>
      <c r="G202" s="15" t="s">
        <v>195</v>
      </c>
      <c r="H202" s="15" t="s">
        <v>196</v>
      </c>
      <c r="I202" s="15" t="s">
        <v>78</v>
      </c>
      <c r="J202" s="15" t="s">
        <v>197</v>
      </c>
      <c r="K202" s="15" t="s">
        <v>65</v>
      </c>
      <c r="L202" s="17">
        <f>VLOOKUP(E202,[1]Diccionario!C$2:AC$150,22,0)</f>
        <v>319021846</v>
      </c>
      <c r="M202" s="18">
        <f>VLOOKUP(E202,[1]Diccionario!C$2:AC$150,24,0)</f>
        <v>45566</v>
      </c>
      <c r="N202" s="19">
        <f>VLOOKUP(E202,[1]Diccionario!C$2:AC$150,25,0)</f>
        <v>45641</v>
      </c>
      <c r="O202" s="20">
        <f>VLOOKUP(E202,[1]Diccionario!C$2:AC$150,26,0)</f>
        <v>2.4700000000000002</v>
      </c>
      <c r="P202" s="20">
        <f t="shared" si="39"/>
        <v>-0.4700000000000002</v>
      </c>
      <c r="Q202" s="20">
        <v>2</v>
      </c>
      <c r="R202" s="15">
        <v>3</v>
      </c>
      <c r="S202" s="21">
        <v>0.6</v>
      </c>
      <c r="T202" s="21">
        <v>0.4</v>
      </c>
      <c r="U202" s="22"/>
      <c r="V202" s="24"/>
      <c r="W202" s="24">
        <f t="shared" si="40"/>
        <v>127608738.40000001</v>
      </c>
      <c r="X202" s="24">
        <f t="shared" si="41"/>
        <v>191413107.59999999</v>
      </c>
      <c r="Y202" s="24">
        <f t="shared" si="42"/>
        <v>127608738.40000001</v>
      </c>
      <c r="Z202" s="24">
        <f t="shared" si="43"/>
        <v>-63804369.199999988</v>
      </c>
      <c r="AA202" s="25" t="str">
        <f t="shared" si="44"/>
        <v>No se realizó gasto en este corte</v>
      </c>
      <c r="AB202" s="26" t="str">
        <f t="shared" si="45"/>
        <v>Costo eficiente: se está gastando menos de lo presupuestado</v>
      </c>
      <c r="AC202" s="26">
        <f t="shared" si="46"/>
        <v>0.66666666666666674</v>
      </c>
      <c r="AD202" s="26" t="str">
        <f t="shared" si="47"/>
        <v>Proyecto atrasado con respecto al cronograma</v>
      </c>
      <c r="AE202" s="27">
        <f t="shared" si="48"/>
        <v>0</v>
      </c>
      <c r="AF202" s="27">
        <f t="shared" si="49"/>
        <v>-319021846</v>
      </c>
      <c r="AG202" s="28" t="str">
        <f>VLOOKUP(Indicador!E209,[1]Diccionario!C$1:AC$150,27,0)</f>
        <v>https://growdatasas.sharepoint.com/:x:/r/sites/Gestiondocumental/Administrativa/GD/Financiera/_layouts/15/Doc.aspx?sourcedoc=%7BD278ABBE-F1D6-4C56-888E-6E01CED7BFDD%7D&amp;file=SNR%20MIGRACION%203%20CIUDADES%20V6%20FINAL.xlsm&amp;action=default&amp;mobileredirect=true</v>
      </c>
      <c r="AH202" s="28">
        <v>1</v>
      </c>
      <c r="AI202" s="28">
        <v>1</v>
      </c>
      <c r="AJ202" s="28"/>
      <c r="AK202" s="28"/>
    </row>
    <row r="203" spans="1:37" ht="18.75" customHeight="1" x14ac:dyDescent="0.25">
      <c r="A203" s="11">
        <v>2024</v>
      </c>
      <c r="B203" s="12" t="s">
        <v>57</v>
      </c>
      <c r="C203" s="15" t="s">
        <v>193</v>
      </c>
      <c r="D203" s="39">
        <v>45569.614684062501</v>
      </c>
      <c r="E203" s="15" t="s">
        <v>194</v>
      </c>
      <c r="F203" s="15" t="s">
        <v>95</v>
      </c>
      <c r="G203" s="15" t="s">
        <v>195</v>
      </c>
      <c r="H203" s="15" t="s">
        <v>196</v>
      </c>
      <c r="I203" s="15" t="s">
        <v>78</v>
      </c>
      <c r="J203" s="15" t="s">
        <v>197</v>
      </c>
      <c r="K203" s="15" t="s">
        <v>65</v>
      </c>
      <c r="L203" s="17">
        <f>VLOOKUP(E203,[1]Diccionario!C$2:AC$150,22,0)</f>
        <v>319021846</v>
      </c>
      <c r="M203" s="18">
        <f>VLOOKUP(E203,[1]Diccionario!C$2:AC$150,24,0)</f>
        <v>45566</v>
      </c>
      <c r="N203" s="19">
        <f>VLOOKUP(E203,[1]Diccionario!C$2:AC$150,25,0)</f>
        <v>45641</v>
      </c>
      <c r="O203" s="20">
        <f>VLOOKUP(E203,[1]Diccionario!C$2:AC$150,26,0)</f>
        <v>2.4700000000000002</v>
      </c>
      <c r="P203" s="20">
        <f t="shared" si="39"/>
        <v>0.5299999999999998</v>
      </c>
      <c r="Q203" s="20">
        <v>3</v>
      </c>
      <c r="R203" s="15">
        <v>3</v>
      </c>
      <c r="S203" s="21">
        <v>1</v>
      </c>
      <c r="T203" s="21">
        <v>0.6</v>
      </c>
      <c r="U203" s="22"/>
      <c r="V203" s="24"/>
      <c r="W203" s="24">
        <f t="shared" si="40"/>
        <v>191413107.59999999</v>
      </c>
      <c r="X203" s="24">
        <f t="shared" si="41"/>
        <v>319021846</v>
      </c>
      <c r="Y203" s="24">
        <f t="shared" si="42"/>
        <v>191413107.59999999</v>
      </c>
      <c r="Z203" s="24">
        <f t="shared" si="43"/>
        <v>-127608738.40000001</v>
      </c>
      <c r="AA203" s="25" t="str">
        <f t="shared" si="44"/>
        <v>No se realizó gasto en este corte</v>
      </c>
      <c r="AB203" s="26" t="str">
        <f t="shared" si="45"/>
        <v>Costo eficiente: se está gastando menos de lo presupuestado</v>
      </c>
      <c r="AC203" s="26">
        <f t="shared" si="46"/>
        <v>0.6</v>
      </c>
      <c r="AD203" s="26" t="str">
        <f t="shared" si="47"/>
        <v>Proyecto atrasado con respecto al cronograma</v>
      </c>
      <c r="AE203" s="27">
        <f t="shared" si="48"/>
        <v>0</v>
      </c>
      <c r="AF203" s="27">
        <f t="shared" si="49"/>
        <v>-319021846</v>
      </c>
      <c r="AG203" s="28" t="str">
        <f>VLOOKUP(Indicador!E210,[1]Diccionario!C$1:AC$150,27,0)</f>
        <v>https://growdatasas.sharepoint.com/:x:/r/sites/Gestiondocumental/Administrativa/GD/Financiera/_layouts/15/Doc.aspx?sourcedoc=%7BD278ABBE-F1D6-4C56-888E-6E01CED7BFDD%7D&amp;file=SNR%20MIGRACION%203%20CIUDADES%20V6%20FINAL.xlsm&amp;action=default&amp;mobileredirect=true</v>
      </c>
      <c r="AH203" s="28">
        <v>1</v>
      </c>
      <c r="AI203" s="28">
        <v>1</v>
      </c>
      <c r="AJ203" s="28"/>
      <c r="AK203" s="28"/>
    </row>
    <row r="204" spans="1:37" ht="18.75" customHeight="1" x14ac:dyDescent="0.25">
      <c r="A204" s="11">
        <v>2025</v>
      </c>
      <c r="B204" s="12" t="s">
        <v>37</v>
      </c>
      <c r="C204" s="15" t="s">
        <v>193</v>
      </c>
      <c r="D204" s="39">
        <v>45569.614684062501</v>
      </c>
      <c r="E204" s="15" t="s">
        <v>194</v>
      </c>
      <c r="F204" s="15" t="s">
        <v>95</v>
      </c>
      <c r="G204" s="15" t="s">
        <v>195</v>
      </c>
      <c r="H204" s="15" t="s">
        <v>196</v>
      </c>
      <c r="I204" s="15" t="s">
        <v>78</v>
      </c>
      <c r="J204" s="15" t="s">
        <v>197</v>
      </c>
      <c r="K204" s="15" t="s">
        <v>65</v>
      </c>
      <c r="L204" s="17">
        <f>VLOOKUP(E204,[1]Diccionario!C$2:AC$150,22,0)</f>
        <v>319021846</v>
      </c>
      <c r="M204" s="18">
        <f>VLOOKUP(E204,[1]Diccionario!C$2:AC$150,24,0)</f>
        <v>45566</v>
      </c>
      <c r="N204" s="19">
        <f>VLOOKUP(E204,[1]Diccionario!C$2:AC$150,25,0)</f>
        <v>45641</v>
      </c>
      <c r="O204" s="20">
        <f>VLOOKUP(E204,[1]Diccionario!C$2:AC$150,26,0)</f>
        <v>2.4700000000000002</v>
      </c>
      <c r="P204" s="20">
        <f t="shared" si="39"/>
        <v>1.5299999999999998</v>
      </c>
      <c r="Q204" s="20">
        <v>4</v>
      </c>
      <c r="R204" s="15">
        <v>3</v>
      </c>
      <c r="S204" s="21">
        <v>1</v>
      </c>
      <c r="T204" s="21">
        <v>1</v>
      </c>
      <c r="U204" s="22"/>
      <c r="V204" s="24"/>
      <c r="W204" s="24">
        <f t="shared" si="40"/>
        <v>319021846</v>
      </c>
      <c r="X204" s="24">
        <f t="shared" si="41"/>
        <v>319021846</v>
      </c>
      <c r="Y204" s="24">
        <f t="shared" si="42"/>
        <v>319021846</v>
      </c>
      <c r="Z204" s="24">
        <f t="shared" si="43"/>
        <v>0</v>
      </c>
      <c r="AA204" s="25" t="str">
        <f t="shared" si="44"/>
        <v>No se realizó gasto en este corte</v>
      </c>
      <c r="AB204" s="26" t="str">
        <f t="shared" si="45"/>
        <v>Costo eficiente: se está gastando menos de lo presupuestado</v>
      </c>
      <c r="AC204" s="26">
        <f t="shared" si="46"/>
        <v>1</v>
      </c>
      <c r="AD204" s="26" t="str">
        <f t="shared" si="47"/>
        <v>Proyecto a tiempo según lo planificado</v>
      </c>
      <c r="AE204" s="27">
        <f t="shared" si="48"/>
        <v>0</v>
      </c>
      <c r="AF204" s="27">
        <f t="shared" si="49"/>
        <v>-319021846</v>
      </c>
      <c r="AG204" s="28" t="str">
        <f>VLOOKUP(Indicador!E211,[1]Diccionario!C$1:AC$150,27,0)</f>
        <v>https://growdatasas.sharepoint.com/:x:/r/sites/Gestiondocumental/Administrativa/GD/Financiera/_layouts/15/Doc.aspx?sourcedoc=%7B2C873097-3FE4-4C6E-BF7F-92677DD9D26A%7D&amp;file=Copia%20de%2020251301%20MODELO%20FINANCIERO%20REFERENCIA%20V7.4_FNA%2020251114_NOV_18%20AD%201.xlsm&amp;action=default&amp;mobileredirect=true</v>
      </c>
      <c r="AH204" s="28">
        <v>1</v>
      </c>
      <c r="AI204" s="28">
        <v>1</v>
      </c>
      <c r="AJ204" s="28"/>
      <c r="AK204" s="28"/>
    </row>
    <row r="205" spans="1:37" ht="18.75" customHeight="1" x14ac:dyDescent="0.25">
      <c r="A205" s="11">
        <v>2024</v>
      </c>
      <c r="B205" s="12" t="s">
        <v>55</v>
      </c>
      <c r="C205" s="15" t="s">
        <v>198</v>
      </c>
      <c r="D205" s="39">
        <v>45569.631959293984</v>
      </c>
      <c r="E205" s="15" t="s">
        <v>199</v>
      </c>
      <c r="F205" s="15" t="s">
        <v>134</v>
      </c>
      <c r="G205" s="15" t="s">
        <v>200</v>
      </c>
      <c r="H205" s="15" t="s">
        <v>201</v>
      </c>
      <c r="I205" s="15" t="s">
        <v>78</v>
      </c>
      <c r="J205" s="15" t="s">
        <v>202</v>
      </c>
      <c r="K205" s="15" t="s">
        <v>80</v>
      </c>
      <c r="L205" s="17">
        <f>VLOOKUP(E205,[1]Diccionario!C$2:AC$150,22,0)</f>
        <v>6272918706</v>
      </c>
      <c r="M205" s="18">
        <f>VLOOKUP(E205,[1]Diccionario!C$2:AC$150,24,0)</f>
        <v>45581</v>
      </c>
      <c r="N205" s="19">
        <f>VLOOKUP(E205,[1]Diccionario!C$2:AC$150,25,0)</f>
        <v>45626</v>
      </c>
      <c r="O205" s="20">
        <f>VLOOKUP(E205,[1]Diccionario!C$2:AC$150,26,0)</f>
        <v>1.47</v>
      </c>
      <c r="P205" s="20">
        <f t="shared" si="39"/>
        <v>-0.47</v>
      </c>
      <c r="Q205" s="20">
        <v>1</v>
      </c>
      <c r="R205" s="15">
        <v>1</v>
      </c>
      <c r="S205" s="21">
        <v>1</v>
      </c>
      <c r="T205" s="21">
        <v>0.37</v>
      </c>
      <c r="U205" s="22"/>
      <c r="V205" s="24"/>
      <c r="W205" s="24">
        <f t="shared" si="40"/>
        <v>2320979921.2199998</v>
      </c>
      <c r="X205" s="24">
        <f t="shared" si="41"/>
        <v>6272918706</v>
      </c>
      <c r="Y205" s="24">
        <f t="shared" si="42"/>
        <v>2320979921.2199998</v>
      </c>
      <c r="Z205" s="24">
        <f t="shared" si="43"/>
        <v>-3951938784.7800002</v>
      </c>
      <c r="AA205" s="25" t="str">
        <f t="shared" si="44"/>
        <v>No se realizó gasto en este corte</v>
      </c>
      <c r="AB205" s="26" t="str">
        <f t="shared" si="45"/>
        <v>Costo eficiente: se está gastando menos de lo presupuestado</v>
      </c>
      <c r="AC205" s="26">
        <f t="shared" si="46"/>
        <v>0.36999999999999994</v>
      </c>
      <c r="AD205" s="26" t="str">
        <f t="shared" si="47"/>
        <v>Proyecto atrasado con respecto al cronograma</v>
      </c>
      <c r="AE205" s="27">
        <f t="shared" si="48"/>
        <v>0</v>
      </c>
      <c r="AF205" s="27">
        <f t="shared" si="49"/>
        <v>-6272918706</v>
      </c>
      <c r="AG205" s="28" t="str">
        <f>VLOOKUP(Indicador!E238,[1]Diccionario!C$1:AC$150,27,0)</f>
        <v>https://growdatasas.sharepoint.com/:x:/r/sites/Gestiondocumental/Administrativa/GD/Financiera/_layouts/15/Doc.aspx?sourcedoc=%7B1DBFC819-A96C-4AF2-9C53-2D70E3ED9365%7D&amp;file=Modelo%20de%20negocio%20-%20Uniempresarial%20-%2020241127.xlsm&amp;action=default&amp;mobileredirect=true</v>
      </c>
      <c r="AH205" s="28">
        <v>1</v>
      </c>
      <c r="AI205" s="28">
        <v>1</v>
      </c>
      <c r="AJ205" s="28"/>
      <c r="AK205" s="28"/>
    </row>
    <row r="206" spans="1:37" ht="18.75" customHeight="1" x14ac:dyDescent="0.25">
      <c r="A206" s="11">
        <v>2024</v>
      </c>
      <c r="B206" s="12" t="s">
        <v>56</v>
      </c>
      <c r="C206" s="15" t="s">
        <v>198</v>
      </c>
      <c r="D206" s="39">
        <v>45569.631959293984</v>
      </c>
      <c r="E206" s="15" t="s">
        <v>199</v>
      </c>
      <c r="F206" s="15" t="s">
        <v>134</v>
      </c>
      <c r="G206" s="15" t="s">
        <v>200</v>
      </c>
      <c r="H206" s="15" t="s">
        <v>201</v>
      </c>
      <c r="I206" s="15" t="s">
        <v>78</v>
      </c>
      <c r="J206" s="15" t="s">
        <v>202</v>
      </c>
      <c r="K206" s="15" t="s">
        <v>80</v>
      </c>
      <c r="L206" s="17">
        <f>VLOOKUP(E206,[1]Diccionario!C$2:AC$150,22,0)</f>
        <v>6272918706</v>
      </c>
      <c r="M206" s="18">
        <f>VLOOKUP(E206,[1]Diccionario!C$2:AC$150,24,0)</f>
        <v>45581</v>
      </c>
      <c r="N206" s="19">
        <f>VLOOKUP(E206,[1]Diccionario!C$2:AC$150,25,0)</f>
        <v>45626</v>
      </c>
      <c r="O206" s="20">
        <f>VLOOKUP(E206,[1]Diccionario!C$2:AC$150,26,0)</f>
        <v>1.47</v>
      </c>
      <c r="P206" s="20">
        <f t="shared" si="39"/>
        <v>0.53</v>
      </c>
      <c r="Q206" s="20">
        <v>2</v>
      </c>
      <c r="R206" s="15">
        <v>1</v>
      </c>
      <c r="S206" s="21">
        <v>1</v>
      </c>
      <c r="T206" s="21">
        <v>0.85</v>
      </c>
      <c r="U206" s="22"/>
      <c r="V206" s="24"/>
      <c r="W206" s="24">
        <f t="shared" si="40"/>
        <v>5331980900.0999994</v>
      </c>
      <c r="X206" s="24">
        <f t="shared" si="41"/>
        <v>6272918706</v>
      </c>
      <c r="Y206" s="24">
        <f t="shared" si="42"/>
        <v>5331980900.0999994</v>
      </c>
      <c r="Z206" s="24">
        <f t="shared" si="43"/>
        <v>-940937805.90000057</v>
      </c>
      <c r="AA206" s="25" t="str">
        <f t="shared" si="44"/>
        <v>No se realizó gasto en este corte</v>
      </c>
      <c r="AB206" s="26" t="str">
        <f t="shared" si="45"/>
        <v>Costo eficiente: se está gastando menos de lo presupuestado</v>
      </c>
      <c r="AC206" s="26">
        <f t="shared" si="46"/>
        <v>0.84999999999999987</v>
      </c>
      <c r="AD206" s="26" t="str">
        <f t="shared" si="47"/>
        <v>Proyecto atrasado con respecto al cronograma</v>
      </c>
      <c r="AE206" s="27">
        <f t="shared" si="48"/>
        <v>0</v>
      </c>
      <c r="AF206" s="27">
        <f t="shared" si="49"/>
        <v>-6272918706</v>
      </c>
      <c r="AG206" s="28" t="str">
        <f>VLOOKUP(Indicador!E239,[1]Diccionario!C$1:AC$150,27,0)</f>
        <v>https://growdatasas.sharepoint.com/:x:/r/sites/Gestiondocumental/Administrativa/GD/Financiera/_layouts/15/Doc.aspx?sourcedoc=%7B1DBFC819-A96C-4AF2-9C53-2D70E3ED9365%7D&amp;file=Modelo%20de%20negocio%20-%20Uniempresarial%20-%2020241127.xlsm&amp;action=default&amp;mobileredirect=true</v>
      </c>
      <c r="AH206" s="28">
        <v>1</v>
      </c>
      <c r="AI206" s="28">
        <v>1</v>
      </c>
      <c r="AJ206" s="28"/>
      <c r="AK206" s="28"/>
    </row>
    <row r="207" spans="1:37" ht="18.75" customHeight="1" x14ac:dyDescent="0.25">
      <c r="A207" s="11">
        <v>2024</v>
      </c>
      <c r="B207" s="12" t="s">
        <v>57</v>
      </c>
      <c r="C207" s="15" t="s">
        <v>198</v>
      </c>
      <c r="D207" s="39">
        <v>45569.631959293984</v>
      </c>
      <c r="E207" s="15" t="s">
        <v>199</v>
      </c>
      <c r="F207" s="15" t="s">
        <v>134</v>
      </c>
      <c r="G207" s="15" t="s">
        <v>200</v>
      </c>
      <c r="H207" s="15" t="s">
        <v>201</v>
      </c>
      <c r="I207" s="15" t="s">
        <v>78</v>
      </c>
      <c r="J207" s="15" t="s">
        <v>202</v>
      </c>
      <c r="K207" s="15" t="s">
        <v>80</v>
      </c>
      <c r="L207" s="17">
        <f>VLOOKUP(E207,[1]Diccionario!C$2:AC$150,22,0)</f>
        <v>6272918706</v>
      </c>
      <c r="M207" s="18">
        <f>VLOOKUP(E207,[1]Diccionario!C$2:AC$150,24,0)</f>
        <v>45581</v>
      </c>
      <c r="N207" s="19">
        <f>VLOOKUP(E207,[1]Diccionario!C$2:AC$150,25,0)</f>
        <v>45626</v>
      </c>
      <c r="O207" s="20">
        <f>VLOOKUP(E207,[1]Diccionario!C$2:AC$150,26,0)</f>
        <v>1.47</v>
      </c>
      <c r="P207" s="20">
        <f t="shared" si="39"/>
        <v>1.53</v>
      </c>
      <c r="Q207" s="20">
        <v>3</v>
      </c>
      <c r="R207" s="15">
        <v>1</v>
      </c>
      <c r="S207" s="21">
        <v>1</v>
      </c>
      <c r="T207" s="21">
        <v>1</v>
      </c>
      <c r="U207" s="22"/>
      <c r="V207" s="24"/>
      <c r="W207" s="24">
        <f t="shared" si="40"/>
        <v>6272918706</v>
      </c>
      <c r="X207" s="24">
        <f t="shared" si="41"/>
        <v>6272918706</v>
      </c>
      <c r="Y207" s="24">
        <f t="shared" si="42"/>
        <v>6272918706</v>
      </c>
      <c r="Z207" s="24">
        <f t="shared" si="43"/>
        <v>0</v>
      </c>
      <c r="AA207" s="25" t="str">
        <f t="shared" si="44"/>
        <v>No se realizó gasto en este corte</v>
      </c>
      <c r="AB207" s="26" t="str">
        <f t="shared" si="45"/>
        <v>Costo eficiente: se está gastando menos de lo presupuestado</v>
      </c>
      <c r="AC207" s="26">
        <f t="shared" si="46"/>
        <v>1</v>
      </c>
      <c r="AD207" s="26" t="str">
        <f t="shared" si="47"/>
        <v>Proyecto a tiempo según lo planificado</v>
      </c>
      <c r="AE207" s="27">
        <f t="shared" si="48"/>
        <v>0</v>
      </c>
      <c r="AF207" s="27">
        <f t="shared" si="49"/>
        <v>-6272918706</v>
      </c>
      <c r="AG207" s="28" t="str">
        <f>VLOOKUP(Indicador!E240,[1]Diccionario!C$1:AC$150,27,0)</f>
        <v>https://growdatasas.sharepoint.com/:x:/r/sites/Gestiondocumental/Administrativa/GD/Financiera/_layouts/15/Doc.aspx?sourcedoc=%7BB7BAA080-4266-4F0B-BA53-BBE294612E30%7D&amp;file=MODELO%20FINANCIERO%20REFERENCIA%20V7_IDU_2024.xlsm&amp;action=default&amp;mobileredirect=true</v>
      </c>
      <c r="AH207" s="28">
        <v>1</v>
      </c>
      <c r="AI207" s="28">
        <v>1</v>
      </c>
      <c r="AJ207" s="28"/>
      <c r="AK207" s="28"/>
    </row>
    <row r="208" spans="1:37" ht="18.75" customHeight="1" x14ac:dyDescent="0.25">
      <c r="A208" s="11">
        <v>2024</v>
      </c>
      <c r="B208" s="12" t="s">
        <v>37</v>
      </c>
      <c r="C208" s="15" t="s">
        <v>203</v>
      </c>
      <c r="D208" s="39">
        <v>45615.65629467593</v>
      </c>
      <c r="E208" s="15" t="s">
        <v>204</v>
      </c>
      <c r="F208" s="15" t="s">
        <v>151</v>
      </c>
      <c r="G208" s="15" t="s">
        <v>205</v>
      </c>
      <c r="H208" s="15" t="s">
        <v>206</v>
      </c>
      <c r="I208" s="15" t="s">
        <v>63</v>
      </c>
      <c r="J208" s="15" t="s">
        <v>207</v>
      </c>
      <c r="K208" s="15" t="s">
        <v>80</v>
      </c>
      <c r="L208" s="17">
        <f>VLOOKUP(E208,[1]Diccionario!C$2:AC$150,22,0)</f>
        <v>314881564</v>
      </c>
      <c r="M208" s="18">
        <f>VLOOKUP(E208,[1]Diccionario!C$2:AC$150,24,0)</f>
        <v>45292</v>
      </c>
      <c r="N208" s="19">
        <f>VLOOKUP(E208,[1]Diccionario!C$2:AC$150,25,0)</f>
        <v>45321</v>
      </c>
      <c r="O208" s="20">
        <f>VLOOKUP(E208,[1]Diccionario!C$2:AC$150,26,0)</f>
        <v>0.97</v>
      </c>
      <c r="P208" s="20">
        <f>O208-Q208</f>
        <v>-3.0000000000000027E-2</v>
      </c>
      <c r="Q208" s="20">
        <v>1</v>
      </c>
      <c r="R208" s="37">
        <v>1</v>
      </c>
      <c r="S208" s="54">
        <v>1</v>
      </c>
      <c r="T208" s="55">
        <v>1</v>
      </c>
      <c r="U208" s="22">
        <f>TablaIndicador[[#This Row],[Costo Mensual]]</f>
        <v>0</v>
      </c>
      <c r="V208" s="24"/>
      <c r="W208" s="24">
        <f t="shared" si="40"/>
        <v>314881564</v>
      </c>
      <c r="X208" s="24">
        <f t="shared" si="41"/>
        <v>314881564</v>
      </c>
      <c r="Y208" s="24">
        <f t="shared" si="42"/>
        <v>314881564</v>
      </c>
      <c r="Z208" s="24">
        <f t="shared" si="43"/>
        <v>0</v>
      </c>
      <c r="AA208" s="25" t="str">
        <f t="shared" si="44"/>
        <v>No se realizó gasto en este corte</v>
      </c>
      <c r="AB208" s="26" t="str">
        <f t="shared" si="45"/>
        <v>Costo eficiente: se está gastando menos de lo presupuestado</v>
      </c>
      <c r="AC208" s="26">
        <f t="shared" si="46"/>
        <v>1</v>
      </c>
      <c r="AD208" s="26" t="str">
        <f t="shared" si="47"/>
        <v>Proyecto a tiempo según lo planificado</v>
      </c>
      <c r="AE208" s="27">
        <f t="shared" si="48"/>
        <v>0</v>
      </c>
      <c r="AF208" s="27">
        <f t="shared" si="49"/>
        <v>-314881564</v>
      </c>
      <c r="AG208" s="28" t="str">
        <f>VLOOKUP(Indicador!E2,[1]Diccionario!C$1:AC$150,27,0)</f>
        <v>https://growdatasas.sharepoint.com/:x:/r/sites/Gestiondocumental/Administrativa/GD/Financiera/_layouts/15/Doc.aspx?sourcedoc=%7BC3EFE0E2-C211-45B0-905D-ECEF11221767%7D&amp;file=299.%20DEFENSORIA_ERP.xlsm&amp;action=default&amp;mobileredirect=true</v>
      </c>
      <c r="AH208" s="28">
        <v>1</v>
      </c>
      <c r="AI208" s="28">
        <v>1</v>
      </c>
      <c r="AJ208" s="28"/>
      <c r="AK208" s="28"/>
    </row>
    <row r="209" spans="1:37" ht="18.75" customHeight="1" x14ac:dyDescent="0.25">
      <c r="A209" s="56">
        <v>2024</v>
      </c>
      <c r="B209" s="40" t="s">
        <v>56</v>
      </c>
      <c r="C209" s="41" t="s">
        <v>208</v>
      </c>
      <c r="D209" s="42">
        <v>45616.681283796293</v>
      </c>
      <c r="E209" s="41" t="s">
        <v>209</v>
      </c>
      <c r="F209" s="41" t="s">
        <v>89</v>
      </c>
      <c r="G209" s="41" t="s">
        <v>210</v>
      </c>
      <c r="H209" s="41" t="s">
        <v>211</v>
      </c>
      <c r="I209" s="41" t="s">
        <v>43</v>
      </c>
      <c r="J209" s="41" t="s">
        <v>212</v>
      </c>
      <c r="K209" s="41" t="s">
        <v>80</v>
      </c>
      <c r="L209" s="43">
        <f>VLOOKUP(E209,[1]Diccionario!C$2:AC$150,22,0)</f>
        <v>219060050</v>
      </c>
      <c r="M209" s="44">
        <f>VLOOKUP(E209,[1]Diccionario!C$2:AC$150,24,0)</f>
        <v>45597</v>
      </c>
      <c r="N209" s="45">
        <f>VLOOKUP(E209,[1]Diccionario!C$2:AC$150,25,0)</f>
        <v>45657</v>
      </c>
      <c r="O209" s="46">
        <f>VLOOKUP(E209,[1]Diccionario!C$2:AC$150,26,0)</f>
        <v>2</v>
      </c>
      <c r="P209" s="46">
        <f t="shared" ref="P209:P253" si="50">Q209-O209</f>
        <v>-1</v>
      </c>
      <c r="Q209" s="46">
        <v>1</v>
      </c>
      <c r="R209" s="57">
        <v>1</v>
      </c>
      <c r="S209" s="47">
        <v>0.5</v>
      </c>
      <c r="T209" s="47">
        <v>0.5</v>
      </c>
      <c r="U209" s="48"/>
      <c r="V209" s="49"/>
      <c r="W209" s="49">
        <f t="shared" si="40"/>
        <v>109530025</v>
      </c>
      <c r="X209" s="49">
        <f t="shared" si="41"/>
        <v>109530025</v>
      </c>
      <c r="Y209" s="49">
        <f t="shared" si="42"/>
        <v>109530025</v>
      </c>
      <c r="Z209" s="49">
        <f t="shared" si="43"/>
        <v>0</v>
      </c>
      <c r="AA209" s="50" t="str">
        <f t="shared" si="44"/>
        <v>No se realizó gasto en este corte</v>
      </c>
      <c r="AB209" s="51" t="str">
        <f t="shared" si="45"/>
        <v>Costo eficiente: se está gastando menos de lo presupuestado</v>
      </c>
      <c r="AC209" s="51">
        <f t="shared" si="46"/>
        <v>1</v>
      </c>
      <c r="AD209" s="51" t="str">
        <f t="shared" si="47"/>
        <v>Proyecto a tiempo según lo planificado</v>
      </c>
      <c r="AE209" s="52">
        <f t="shared" si="48"/>
        <v>0</v>
      </c>
      <c r="AF209" s="52">
        <f t="shared" si="49"/>
        <v>-219060050</v>
      </c>
      <c r="AG209" s="53" t="str">
        <f>VLOOKUP(Indicador!E252,[1]Diccionario!C$1:AC$150,27,0)</f>
        <v>https://growdatasas.sharepoint.com/:x:/r/sites/Gestiondocumental/Administrativa/GD/Financiera/_layouts/15/Doc.aspx?sourcedoc=%7B64199AB1-933D-448B-A513-EAC54C1C777D%7D&amp;file=20241101%20MODELO%20FINANCIERO%20TRANSITO_PASTO_Fortigate_120G.xlsm&amp;action=default&amp;mobileredirect=true</v>
      </c>
      <c r="AH209" s="53">
        <v>1</v>
      </c>
      <c r="AI209" s="53">
        <v>1</v>
      </c>
      <c r="AJ209" s="28"/>
      <c r="AK209" s="28"/>
    </row>
    <row r="210" spans="1:37" ht="18.75" customHeight="1" x14ac:dyDescent="0.25">
      <c r="A210" s="11">
        <v>2024</v>
      </c>
      <c r="B210" s="12" t="s">
        <v>57</v>
      </c>
      <c r="C210" s="15" t="s">
        <v>208</v>
      </c>
      <c r="D210" s="39">
        <v>45616.681283796293</v>
      </c>
      <c r="E210" s="15" t="s">
        <v>209</v>
      </c>
      <c r="F210" s="15" t="s">
        <v>89</v>
      </c>
      <c r="G210" s="15" t="s">
        <v>210</v>
      </c>
      <c r="H210" s="15" t="s">
        <v>211</v>
      </c>
      <c r="I210" s="15" t="s">
        <v>43</v>
      </c>
      <c r="J210" s="15" t="s">
        <v>212</v>
      </c>
      <c r="K210" s="15" t="s">
        <v>80</v>
      </c>
      <c r="L210" s="17">
        <f>VLOOKUP(E210,[1]Diccionario!C$2:AC$150,22,0)</f>
        <v>219060050</v>
      </c>
      <c r="M210" s="18">
        <f>VLOOKUP(E210,[1]Diccionario!C$2:AC$150,24,0)</f>
        <v>45597</v>
      </c>
      <c r="N210" s="19">
        <f>VLOOKUP(E210,[1]Diccionario!C$2:AC$150,25,0)</f>
        <v>45657</v>
      </c>
      <c r="O210" s="20">
        <f>VLOOKUP(E210,[1]Diccionario!C$2:AC$150,26,0)</f>
        <v>2</v>
      </c>
      <c r="P210" s="20">
        <f t="shared" si="50"/>
        <v>0</v>
      </c>
      <c r="Q210" s="20">
        <v>2</v>
      </c>
      <c r="R210" s="15">
        <v>2</v>
      </c>
      <c r="S210" s="21">
        <v>1</v>
      </c>
      <c r="T210" s="21">
        <v>1</v>
      </c>
      <c r="U210" s="22"/>
      <c r="V210" s="24"/>
      <c r="W210" s="24">
        <f t="shared" si="40"/>
        <v>219060050</v>
      </c>
      <c r="X210" s="24">
        <f t="shared" si="41"/>
        <v>219060050</v>
      </c>
      <c r="Y210" s="24">
        <f t="shared" si="42"/>
        <v>219060050</v>
      </c>
      <c r="Z210" s="24">
        <f t="shared" si="43"/>
        <v>0</v>
      </c>
      <c r="AA210" s="25" t="str">
        <f t="shared" si="44"/>
        <v>No se realizó gasto en este corte</v>
      </c>
      <c r="AB210" s="26" t="str">
        <f t="shared" si="45"/>
        <v>Costo eficiente: se está gastando menos de lo presupuestado</v>
      </c>
      <c r="AC210" s="26">
        <f t="shared" si="46"/>
        <v>1</v>
      </c>
      <c r="AD210" s="26" t="str">
        <f t="shared" si="47"/>
        <v>Proyecto a tiempo según lo planificado</v>
      </c>
      <c r="AE210" s="27">
        <f t="shared" si="48"/>
        <v>0</v>
      </c>
      <c r="AF210" s="27">
        <f t="shared" si="49"/>
        <v>-219060050</v>
      </c>
      <c r="AG210" s="28" t="str">
        <f>VLOOKUP(Indicador!E253,[1]Diccionario!C$1:AC$150,27,0)</f>
        <v>https://growdatasas.sharepoint.com/:x:/r/sites/Gestiondocumental/Administrativa/GD/Financiera/_layouts/15/Doc.aspx?sourcedoc=%7B64199AB1-933D-448B-A513-EAC54C1C777D%7D&amp;file=20241101%20MODELO%20FINANCIERO%20TRANSITO_PASTO_Fortigate_120G.xlsm&amp;action=default&amp;mobileredirect=true</v>
      </c>
      <c r="AH210" s="28">
        <v>1</v>
      </c>
      <c r="AI210" s="28">
        <v>1</v>
      </c>
      <c r="AJ210" s="28"/>
      <c r="AK210" s="28"/>
    </row>
    <row r="211" spans="1:37" ht="18.75" customHeight="1" x14ac:dyDescent="0.25">
      <c r="A211" s="11">
        <v>2025</v>
      </c>
      <c r="B211" s="12" t="s">
        <v>56</v>
      </c>
      <c r="C211" s="15" t="s">
        <v>213</v>
      </c>
      <c r="D211" s="39">
        <v>45616.835520104163</v>
      </c>
      <c r="E211" s="15" t="s">
        <v>214</v>
      </c>
      <c r="F211" s="15" t="s">
        <v>40</v>
      </c>
      <c r="G211" s="15" t="s">
        <v>215</v>
      </c>
      <c r="H211" s="15" t="s">
        <v>216</v>
      </c>
      <c r="I211" s="15" t="s">
        <v>78</v>
      </c>
      <c r="J211" s="15" t="s">
        <v>217</v>
      </c>
      <c r="K211" s="15" t="s">
        <v>45</v>
      </c>
      <c r="L211" s="17">
        <f>VLOOKUP(E211,[1]Diccionario!C$2:AC$150,22,0)</f>
        <v>1392930821</v>
      </c>
      <c r="M211" s="18">
        <f>VLOOKUP(E211,[1]Diccionario!C$2:AC$150,24,0)</f>
        <v>45597</v>
      </c>
      <c r="N211" s="19">
        <f>VLOOKUP(E211,[1]Diccionario!C$2:AC$150,25,0)</f>
        <v>46295</v>
      </c>
      <c r="O211" s="58">
        <f>VLOOKUP(E211,[1]Diccionario!C$2:AC$150,26,0)</f>
        <v>22.97</v>
      </c>
      <c r="P211" s="58">
        <f t="shared" si="50"/>
        <v>-21.97</v>
      </c>
      <c r="Q211" s="20">
        <v>1</v>
      </c>
      <c r="R211" s="15">
        <v>11</v>
      </c>
      <c r="S211" s="21">
        <v>0.08</v>
      </c>
      <c r="T211" s="21">
        <v>0.08</v>
      </c>
      <c r="U211" s="22"/>
      <c r="V211" s="24"/>
      <c r="W211" s="24">
        <f t="shared" si="40"/>
        <v>111434465.68000001</v>
      </c>
      <c r="X211" s="24">
        <f t="shared" si="41"/>
        <v>111434465.68000001</v>
      </c>
      <c r="Y211" s="24">
        <f t="shared" si="42"/>
        <v>111434465.68000001</v>
      </c>
      <c r="Z211" s="24">
        <f t="shared" si="43"/>
        <v>0</v>
      </c>
      <c r="AA211" s="25" t="str">
        <f t="shared" si="44"/>
        <v>No se realizó gasto en este corte</v>
      </c>
      <c r="AB211" s="26" t="str">
        <f t="shared" si="45"/>
        <v>Costo eficiente: se está gastando menos de lo presupuestado</v>
      </c>
      <c r="AC211" s="26">
        <f t="shared" si="46"/>
        <v>1</v>
      </c>
      <c r="AD211" s="26" t="str">
        <f t="shared" si="47"/>
        <v>Proyecto a tiempo según lo planificado</v>
      </c>
      <c r="AE211" s="27">
        <f t="shared" si="48"/>
        <v>0</v>
      </c>
      <c r="AF211" s="27">
        <f t="shared" si="49"/>
        <v>-1392930821</v>
      </c>
      <c r="AG211" s="28" t="str">
        <f>VLOOKUP(Indicador!E241,[1]Diccionario!C$1:AC$150,27,0)</f>
        <v>https://growdatasas.sharepoint.com/:x:/r/sites/Gestiondocumental/Administrativa/GD/Financiera/_layouts/15/Doc.aspx?sourcedoc=%7BB7BAA080-4266-4F0B-BA53-BBE294612E30%7D&amp;file=MODELO%20FINANCIERO%20REFERENCIA%20V7_IDU_2024.xlsm&amp;action=default&amp;mobileredirect=true</v>
      </c>
      <c r="AH211" s="28">
        <v>1</v>
      </c>
      <c r="AI211" s="28">
        <v>1</v>
      </c>
      <c r="AJ211" s="28"/>
      <c r="AK211" s="28"/>
    </row>
    <row r="212" spans="1:37" ht="18.75" customHeight="1" x14ac:dyDescent="0.25">
      <c r="A212" s="11">
        <v>2025</v>
      </c>
      <c r="B212" s="12" t="s">
        <v>57</v>
      </c>
      <c r="C212" s="15" t="s">
        <v>213</v>
      </c>
      <c r="D212" s="39">
        <v>45616.835520104163</v>
      </c>
      <c r="E212" s="15" t="s">
        <v>214</v>
      </c>
      <c r="F212" s="15" t="s">
        <v>40</v>
      </c>
      <c r="G212" s="15" t="s">
        <v>215</v>
      </c>
      <c r="H212" s="15" t="s">
        <v>216</v>
      </c>
      <c r="I212" s="15" t="s">
        <v>78</v>
      </c>
      <c r="J212" s="15" t="s">
        <v>217</v>
      </c>
      <c r="K212" s="15" t="s">
        <v>45</v>
      </c>
      <c r="L212" s="17">
        <f>VLOOKUP(E212,[1]Diccionario!C$2:AC$150,22,0)</f>
        <v>1392930821</v>
      </c>
      <c r="M212" s="18">
        <f>VLOOKUP(E212,[1]Diccionario!C$2:AC$150,24,0)</f>
        <v>45597</v>
      </c>
      <c r="N212" s="19">
        <f>VLOOKUP(E212,[1]Diccionario!C$2:AC$150,25,0)</f>
        <v>46295</v>
      </c>
      <c r="O212" s="20">
        <f>VLOOKUP(E212,[1]Diccionario!C$2:AC$150,26,0)</f>
        <v>22.97</v>
      </c>
      <c r="P212" s="20">
        <f t="shared" si="50"/>
        <v>-20.97</v>
      </c>
      <c r="Q212" s="20">
        <v>2</v>
      </c>
      <c r="R212" s="15">
        <v>11</v>
      </c>
      <c r="S212" s="21">
        <v>0.19</v>
      </c>
      <c r="T212" s="21">
        <v>0.2</v>
      </c>
      <c r="U212" s="22"/>
      <c r="V212" s="24"/>
      <c r="W212" s="24">
        <f t="shared" si="40"/>
        <v>278586164.19999999</v>
      </c>
      <c r="X212" s="24">
        <f t="shared" si="41"/>
        <v>264656855.99000001</v>
      </c>
      <c r="Y212" s="24">
        <f t="shared" si="42"/>
        <v>278586164.19999999</v>
      </c>
      <c r="Z212" s="24">
        <f t="shared" si="43"/>
        <v>13929308.209999979</v>
      </c>
      <c r="AA212" s="25" t="str">
        <f t="shared" si="44"/>
        <v>No se realizó gasto en este corte</v>
      </c>
      <c r="AB212" s="26" t="str">
        <f t="shared" si="45"/>
        <v>Costo eficiente: se está gastando menos de lo presupuestado</v>
      </c>
      <c r="AC212" s="26">
        <f t="shared" si="46"/>
        <v>1.0526315789473684</v>
      </c>
      <c r="AD212" s="26" t="str">
        <f t="shared" si="47"/>
        <v>Proyecto adelantado respecto al cronograma</v>
      </c>
      <c r="AE212" s="27">
        <f t="shared" si="48"/>
        <v>0</v>
      </c>
      <c r="AF212" s="27">
        <f t="shared" si="49"/>
        <v>-1392930821</v>
      </c>
      <c r="AG212" s="28" t="str">
        <f>VLOOKUP(Indicador!E242,[1]Diccionario!C$1:AC$150,27,0)</f>
        <v>https://growdatasas.sharepoint.com/:x:/r/sites/Gestiondocumental/Administrativa/GD/Financiera/_layouts/15/Doc.aspx?sourcedoc=%7B0E336D45-736A-482E-8FD2-86305F4DA8CF%7D&amp;file=DNP%20MODELO%20FINANCIERO%20REFERENCIA%20V7%2024122024.xlsm&amp;action=default&amp;mobileredirect=true</v>
      </c>
      <c r="AH212" s="28">
        <v>1</v>
      </c>
      <c r="AI212" s="28">
        <v>1</v>
      </c>
      <c r="AJ212" s="28"/>
      <c r="AK212" s="28"/>
    </row>
    <row r="213" spans="1:37" ht="18.75" customHeight="1" x14ac:dyDescent="0.25">
      <c r="A213" s="11">
        <v>2026</v>
      </c>
      <c r="B213" s="12" t="s">
        <v>37</v>
      </c>
      <c r="C213" s="15" t="s">
        <v>213</v>
      </c>
      <c r="D213" s="39">
        <v>45616.835520104163</v>
      </c>
      <c r="E213" s="15" t="s">
        <v>214</v>
      </c>
      <c r="F213" s="15" t="s">
        <v>40</v>
      </c>
      <c r="G213" s="15" t="s">
        <v>215</v>
      </c>
      <c r="H213" s="15" t="s">
        <v>216</v>
      </c>
      <c r="I213" s="15" t="s">
        <v>78</v>
      </c>
      <c r="J213" s="15" t="s">
        <v>217</v>
      </c>
      <c r="K213" s="15" t="s">
        <v>45</v>
      </c>
      <c r="L213" s="17">
        <f>VLOOKUP(E213,[1]Diccionario!C$2:AC$150,22,0)</f>
        <v>1392930821</v>
      </c>
      <c r="M213" s="18">
        <f>VLOOKUP(E213,[1]Diccionario!C$2:AC$150,24,0)</f>
        <v>45597</v>
      </c>
      <c r="N213" s="19">
        <f>VLOOKUP(E213,[1]Diccionario!C$2:AC$150,25,0)</f>
        <v>46295</v>
      </c>
      <c r="O213" s="20">
        <f>VLOOKUP(E213,[1]Diccionario!C$2:AC$150,26,0)</f>
        <v>22.97</v>
      </c>
      <c r="P213" s="20">
        <f t="shared" si="50"/>
        <v>-19.97</v>
      </c>
      <c r="Q213" s="20">
        <v>3</v>
      </c>
      <c r="R213" s="15">
        <v>11</v>
      </c>
      <c r="S213" s="21">
        <v>0.3</v>
      </c>
      <c r="T213" s="21">
        <v>0.3</v>
      </c>
      <c r="U213" s="22"/>
      <c r="V213" s="24"/>
      <c r="W213" s="24">
        <f t="shared" si="40"/>
        <v>417879246.30000001</v>
      </c>
      <c r="X213" s="24">
        <f t="shared" si="41"/>
        <v>417879246.30000001</v>
      </c>
      <c r="Y213" s="24">
        <f t="shared" si="42"/>
        <v>417879246.30000001</v>
      </c>
      <c r="Z213" s="24">
        <f t="shared" si="43"/>
        <v>0</v>
      </c>
      <c r="AA213" s="25" t="str">
        <f t="shared" si="44"/>
        <v>No se realizó gasto en este corte</v>
      </c>
      <c r="AB213" s="26" t="str">
        <f t="shared" si="45"/>
        <v>Costo eficiente: se está gastando menos de lo presupuestado</v>
      </c>
      <c r="AC213" s="26">
        <f t="shared" si="46"/>
        <v>1</v>
      </c>
      <c r="AD213" s="26" t="str">
        <f t="shared" si="47"/>
        <v>Proyecto a tiempo según lo planificado</v>
      </c>
      <c r="AE213" s="27">
        <f t="shared" si="48"/>
        <v>0</v>
      </c>
      <c r="AF213" s="27">
        <f t="shared" si="49"/>
        <v>-1392930821</v>
      </c>
      <c r="AG213" s="28" t="str">
        <f>VLOOKUP(Indicador!E243,[1]Diccionario!C$1:AC$150,27,0)</f>
        <v>https://growdatasas.sharepoint.com/:x:/r/sites/Gestiondocumental/Administrativa/GD/Financiera/_layouts/15/Doc.aspx?sourcedoc=%7B0E336D45-736A-482E-8FD2-86305F4DA8CF%7D&amp;file=DNP%20MODELO%20FINANCIERO%20REFERENCIA%20V7%2024122024.xlsm&amp;action=default&amp;mobileredirect=true</v>
      </c>
      <c r="AH213" s="28">
        <v>1</v>
      </c>
      <c r="AI213" s="28">
        <v>1</v>
      </c>
      <c r="AJ213" s="28"/>
      <c r="AK213" s="28"/>
    </row>
    <row r="214" spans="1:37" ht="18.75" customHeight="1" x14ac:dyDescent="0.25">
      <c r="A214" s="11">
        <v>2026</v>
      </c>
      <c r="B214" s="12" t="s">
        <v>47</v>
      </c>
      <c r="C214" s="15" t="s">
        <v>213</v>
      </c>
      <c r="D214" s="39">
        <v>45616.835520104163</v>
      </c>
      <c r="E214" s="15" t="s">
        <v>214</v>
      </c>
      <c r="F214" s="15" t="s">
        <v>40</v>
      </c>
      <c r="G214" s="15" t="s">
        <v>215</v>
      </c>
      <c r="H214" s="15" t="s">
        <v>216</v>
      </c>
      <c r="I214" s="15" t="s">
        <v>78</v>
      </c>
      <c r="J214" s="15" t="s">
        <v>217</v>
      </c>
      <c r="K214" s="15" t="s">
        <v>45</v>
      </c>
      <c r="L214" s="17">
        <f>VLOOKUP(E214,[1]Diccionario!C$2:AC$150,22,0)</f>
        <v>1392930821</v>
      </c>
      <c r="M214" s="18">
        <f>VLOOKUP(E214,[1]Diccionario!C$2:AC$150,24,0)</f>
        <v>45597</v>
      </c>
      <c r="N214" s="19">
        <f>VLOOKUP(E214,[1]Diccionario!C$2:AC$150,25,0)</f>
        <v>46295</v>
      </c>
      <c r="O214" s="20">
        <f>VLOOKUP(E214,[1]Diccionario!C$2:AC$150,26,0)</f>
        <v>22.97</v>
      </c>
      <c r="P214" s="20">
        <f t="shared" si="50"/>
        <v>-18.97</v>
      </c>
      <c r="Q214" s="20">
        <v>4</v>
      </c>
      <c r="R214" s="15">
        <v>11</v>
      </c>
      <c r="S214" s="21">
        <v>0.4</v>
      </c>
      <c r="T214" s="21">
        <v>0</v>
      </c>
      <c r="U214" s="22"/>
      <c r="V214" s="24"/>
      <c r="W214" s="24">
        <f t="shared" si="40"/>
        <v>0</v>
      </c>
      <c r="X214" s="24">
        <f t="shared" si="41"/>
        <v>557172328.39999998</v>
      </c>
      <c r="Y214" s="24">
        <f t="shared" si="42"/>
        <v>0</v>
      </c>
      <c r="Z214" s="24">
        <f t="shared" si="43"/>
        <v>-557172328.39999998</v>
      </c>
      <c r="AA214" s="25" t="str">
        <f t="shared" si="44"/>
        <v>No se realizó gasto en este corte</v>
      </c>
      <c r="AB214" s="26" t="str">
        <f t="shared" si="45"/>
        <v>Costo eficiente: se está gastando menos de lo presupuestado</v>
      </c>
      <c r="AC214" s="26">
        <f t="shared" si="46"/>
        <v>0</v>
      </c>
      <c r="AD214" s="26" t="str">
        <f t="shared" si="47"/>
        <v>Sin Línea Base</v>
      </c>
      <c r="AE214" s="27">
        <f t="shared" si="48"/>
        <v>0</v>
      </c>
      <c r="AF214" s="27">
        <f t="shared" si="49"/>
        <v>-1392930821</v>
      </c>
      <c r="AG214" s="28" t="str">
        <f>VLOOKUP(Indicador!E244,[1]Diccionario!C$1:AC$150,27,0)</f>
        <v>https://growdatasas.sharepoint.com/:x:/r/sites/Gestiondocumental/Administrativa/GD/Financiera/_layouts/15/Doc.aspx?sourcedoc=%7B0E336D45-736A-482E-8FD2-86305F4DA8CF%7D&amp;file=DNP%20MODELO%20FINANCIERO%20REFERENCIA%20V7%2024122024.xlsm&amp;action=default&amp;mobileredirect=true</v>
      </c>
      <c r="AH214" s="28">
        <v>1</v>
      </c>
      <c r="AI214" s="28">
        <v>1</v>
      </c>
      <c r="AJ214" s="28"/>
      <c r="AK214" s="28"/>
    </row>
    <row r="215" spans="1:37" ht="18.75" customHeight="1" x14ac:dyDescent="0.25">
      <c r="A215" s="11">
        <v>2026</v>
      </c>
      <c r="B215" s="12" t="s">
        <v>48</v>
      </c>
      <c r="C215" s="15" t="s">
        <v>213</v>
      </c>
      <c r="D215" s="39">
        <v>45616.835520104163</v>
      </c>
      <c r="E215" s="15" t="s">
        <v>214</v>
      </c>
      <c r="F215" s="15" t="s">
        <v>40</v>
      </c>
      <c r="G215" s="15" t="s">
        <v>215</v>
      </c>
      <c r="H215" s="15" t="s">
        <v>216</v>
      </c>
      <c r="I215" s="15" t="s">
        <v>78</v>
      </c>
      <c r="J215" s="15" t="s">
        <v>217</v>
      </c>
      <c r="K215" s="15" t="s">
        <v>45</v>
      </c>
      <c r="L215" s="17">
        <f>VLOOKUP(E215,[1]Diccionario!C$2:AC$150,22,0)</f>
        <v>1392930821</v>
      </c>
      <c r="M215" s="18">
        <f>VLOOKUP(E215,[1]Diccionario!C$2:AC$150,24,0)</f>
        <v>45597</v>
      </c>
      <c r="N215" s="19">
        <f>VLOOKUP(E215,[1]Diccionario!C$2:AC$150,25,0)</f>
        <v>46295</v>
      </c>
      <c r="O215" s="20">
        <f>VLOOKUP(E215,[1]Diccionario!C$2:AC$150,26,0)</f>
        <v>22.97</v>
      </c>
      <c r="P215" s="20">
        <f t="shared" si="50"/>
        <v>-17.97</v>
      </c>
      <c r="Q215" s="20">
        <v>5</v>
      </c>
      <c r="R215" s="15">
        <v>11</v>
      </c>
      <c r="S215" s="21">
        <v>0.45</v>
      </c>
      <c r="T215" s="21">
        <v>0</v>
      </c>
      <c r="U215" s="22"/>
      <c r="V215" s="24"/>
      <c r="W215" s="24">
        <f t="shared" si="40"/>
        <v>0</v>
      </c>
      <c r="X215" s="24">
        <f t="shared" si="41"/>
        <v>626818869.45000005</v>
      </c>
      <c r="Y215" s="24">
        <f t="shared" si="42"/>
        <v>0</v>
      </c>
      <c r="Z215" s="24">
        <f t="shared" si="43"/>
        <v>-626818869.45000005</v>
      </c>
      <c r="AA215" s="25" t="str">
        <f t="shared" si="44"/>
        <v>No se realizó gasto en este corte</v>
      </c>
      <c r="AB215" s="26" t="str">
        <f t="shared" si="45"/>
        <v>Costo eficiente: se está gastando menos de lo presupuestado</v>
      </c>
      <c r="AC215" s="26">
        <f t="shared" si="46"/>
        <v>0</v>
      </c>
      <c r="AD215" s="26" t="str">
        <f t="shared" si="47"/>
        <v>Sin Línea Base</v>
      </c>
      <c r="AE215" s="27">
        <f t="shared" si="48"/>
        <v>0</v>
      </c>
      <c r="AF215" s="27">
        <f t="shared" si="49"/>
        <v>-1392930821</v>
      </c>
      <c r="AG215" s="28" t="str">
        <f>VLOOKUP(Indicador!E245,[1]Diccionario!C$1:AC$150,27,0)</f>
        <v>https://growdatasas.sharepoint.com/:x:/r/sites/Gestiondocumental/Administrativa/GD/Financiera/_layouts/15/Doc.aspx?sourcedoc=%7B0E336D45-736A-482E-8FD2-86305F4DA8CF%7D&amp;file=DNP%20MODELO%20FINANCIERO%20REFERENCIA%20V7%2024122024.xlsm&amp;action=default&amp;mobileredirect=true</v>
      </c>
      <c r="AH215" s="28">
        <v>1</v>
      </c>
      <c r="AI215" s="28">
        <v>1</v>
      </c>
      <c r="AJ215" s="28"/>
      <c r="AK215" s="28"/>
    </row>
    <row r="216" spans="1:37" ht="18.75" customHeight="1" x14ac:dyDescent="0.25">
      <c r="A216" s="11">
        <v>2026</v>
      </c>
      <c r="B216" s="12" t="s">
        <v>49</v>
      </c>
      <c r="C216" s="15" t="s">
        <v>213</v>
      </c>
      <c r="D216" s="39">
        <v>45616.835520104163</v>
      </c>
      <c r="E216" s="15" t="s">
        <v>214</v>
      </c>
      <c r="F216" s="15" t="s">
        <v>40</v>
      </c>
      <c r="G216" s="15" t="s">
        <v>215</v>
      </c>
      <c r="H216" s="15" t="s">
        <v>216</v>
      </c>
      <c r="I216" s="15" t="s">
        <v>78</v>
      </c>
      <c r="J216" s="15" t="s">
        <v>217</v>
      </c>
      <c r="K216" s="15" t="s">
        <v>45</v>
      </c>
      <c r="L216" s="17">
        <f>VLOOKUP(E216,[1]Diccionario!C$2:AC$150,22,0)</f>
        <v>1392930821</v>
      </c>
      <c r="M216" s="18">
        <f>VLOOKUP(E216,[1]Diccionario!C$2:AC$150,24,0)</f>
        <v>45597</v>
      </c>
      <c r="N216" s="19">
        <f>VLOOKUP(E216,[1]Diccionario!C$2:AC$150,25,0)</f>
        <v>46295</v>
      </c>
      <c r="O216" s="20">
        <f>VLOOKUP(E216,[1]Diccionario!C$2:AC$150,26,0)</f>
        <v>22.97</v>
      </c>
      <c r="P216" s="20">
        <f t="shared" si="50"/>
        <v>-16.97</v>
      </c>
      <c r="Q216" s="20">
        <v>6</v>
      </c>
      <c r="R216" s="15">
        <v>11</v>
      </c>
      <c r="S216" s="21">
        <v>0.5</v>
      </c>
      <c r="T216" s="21">
        <v>0</v>
      </c>
      <c r="U216" s="22"/>
      <c r="V216" s="24"/>
      <c r="W216" s="24">
        <f t="shared" si="40"/>
        <v>0</v>
      </c>
      <c r="X216" s="24">
        <f t="shared" si="41"/>
        <v>696465410.5</v>
      </c>
      <c r="Y216" s="24">
        <f t="shared" si="42"/>
        <v>0</v>
      </c>
      <c r="Z216" s="24">
        <f t="shared" si="43"/>
        <v>-696465410.5</v>
      </c>
      <c r="AA216" s="25" t="str">
        <f t="shared" si="44"/>
        <v>No se realizó gasto en este corte</v>
      </c>
      <c r="AB216" s="26" t="str">
        <f t="shared" si="45"/>
        <v>Costo eficiente: se está gastando menos de lo presupuestado</v>
      </c>
      <c r="AC216" s="26">
        <f t="shared" si="46"/>
        <v>0</v>
      </c>
      <c r="AD216" s="26" t="str">
        <f t="shared" si="47"/>
        <v>Sin Línea Base</v>
      </c>
      <c r="AE216" s="27">
        <f t="shared" si="48"/>
        <v>0</v>
      </c>
      <c r="AF216" s="27">
        <f t="shared" si="49"/>
        <v>-1392930821</v>
      </c>
      <c r="AG216" s="28" t="str">
        <f>VLOOKUP(Indicador!E246,[1]Diccionario!C$1:AC$150,27,0)</f>
        <v>https://growdatasas.sharepoint.com/:x:/r/sites/Gestiondocumental/Administrativa/GD/Financiera/_layouts/15/Doc.aspx?sourcedoc=%7B0E336D45-736A-482E-8FD2-86305F4DA8CF%7D&amp;file=DNP%20MODELO%20FINANCIERO%20REFERENCIA%20V7%2024122024.xlsm&amp;action=default&amp;mobileredirect=true</v>
      </c>
      <c r="AH216" s="28">
        <v>1</v>
      </c>
      <c r="AI216" s="28">
        <v>1</v>
      </c>
      <c r="AJ216" s="28"/>
      <c r="AK216" s="28"/>
    </row>
    <row r="217" spans="1:37" ht="18.75" customHeight="1" x14ac:dyDescent="0.25">
      <c r="A217" s="11">
        <v>2026</v>
      </c>
      <c r="B217" s="12" t="s">
        <v>50</v>
      </c>
      <c r="C217" s="15" t="s">
        <v>213</v>
      </c>
      <c r="D217" s="39">
        <v>45616.835520104163</v>
      </c>
      <c r="E217" s="15" t="s">
        <v>214</v>
      </c>
      <c r="F217" s="15" t="s">
        <v>40</v>
      </c>
      <c r="G217" s="15" t="s">
        <v>215</v>
      </c>
      <c r="H217" s="15" t="s">
        <v>216</v>
      </c>
      <c r="I217" s="15" t="s">
        <v>78</v>
      </c>
      <c r="J217" s="15" t="s">
        <v>217</v>
      </c>
      <c r="K217" s="15" t="s">
        <v>45</v>
      </c>
      <c r="L217" s="17">
        <f>VLOOKUP(E217,[1]Diccionario!C$2:AC$150,22,0)</f>
        <v>1392930821</v>
      </c>
      <c r="M217" s="18">
        <f>VLOOKUP(E217,[1]Diccionario!C$2:AC$150,24,0)</f>
        <v>45597</v>
      </c>
      <c r="N217" s="19">
        <f>VLOOKUP(E217,[1]Diccionario!C$2:AC$150,25,0)</f>
        <v>46295</v>
      </c>
      <c r="O217" s="20">
        <f>VLOOKUP(E217,[1]Diccionario!C$2:AC$150,26,0)</f>
        <v>22.97</v>
      </c>
      <c r="P217" s="20">
        <f t="shared" si="50"/>
        <v>-15.969999999999999</v>
      </c>
      <c r="Q217" s="20">
        <v>7</v>
      </c>
      <c r="R217" s="15">
        <v>11</v>
      </c>
      <c r="S217" s="21">
        <v>0.55000000000000004</v>
      </c>
      <c r="T217" s="21">
        <v>0</v>
      </c>
      <c r="U217" s="22"/>
      <c r="V217" s="24"/>
      <c r="W217" s="24">
        <f t="shared" si="40"/>
        <v>0</v>
      </c>
      <c r="X217" s="24">
        <f t="shared" si="41"/>
        <v>766111951.55000007</v>
      </c>
      <c r="Y217" s="24">
        <f t="shared" si="42"/>
        <v>0</v>
      </c>
      <c r="Z217" s="24">
        <f t="shared" si="43"/>
        <v>-766111951.55000007</v>
      </c>
      <c r="AA217" s="25" t="str">
        <f t="shared" si="44"/>
        <v>No se realizó gasto en este corte</v>
      </c>
      <c r="AB217" s="26" t="str">
        <f t="shared" si="45"/>
        <v>Costo eficiente: se está gastando menos de lo presupuestado</v>
      </c>
      <c r="AC217" s="26">
        <f t="shared" si="46"/>
        <v>0</v>
      </c>
      <c r="AD217" s="26" t="str">
        <f t="shared" si="47"/>
        <v>Sin Línea Base</v>
      </c>
      <c r="AE217" s="27">
        <f t="shared" si="48"/>
        <v>0</v>
      </c>
      <c r="AF217" s="27">
        <f t="shared" si="49"/>
        <v>-1392930821</v>
      </c>
      <c r="AG217" s="28" t="str">
        <f>VLOOKUP(Indicador!E247,[1]Diccionario!C$1:AC$150,27,0)</f>
        <v>https://growdatasas.sharepoint.com/:x:/r/sites/Gestiondocumental/Administrativa/GD/Financiera/_layouts/15/Doc.aspx?sourcedoc=%7B0E336D45-736A-482E-8FD2-86305F4DA8CF%7D&amp;file=DNP%20MODELO%20FINANCIERO%20REFERENCIA%20V7%2024122024.xlsm&amp;action=default&amp;mobileredirect=true</v>
      </c>
      <c r="AH217" s="28">
        <v>1</v>
      </c>
      <c r="AI217" s="28">
        <v>1</v>
      </c>
      <c r="AJ217" s="28"/>
      <c r="AK217" s="28"/>
    </row>
    <row r="218" spans="1:37" ht="18.75" customHeight="1" x14ac:dyDescent="0.25">
      <c r="A218" s="11">
        <v>2026</v>
      </c>
      <c r="B218" s="12" t="s">
        <v>51</v>
      </c>
      <c r="C218" s="15" t="s">
        <v>213</v>
      </c>
      <c r="D218" s="39">
        <v>45616.835520104163</v>
      </c>
      <c r="E218" s="15" t="s">
        <v>214</v>
      </c>
      <c r="F218" s="15" t="s">
        <v>40</v>
      </c>
      <c r="G218" s="15" t="s">
        <v>215</v>
      </c>
      <c r="H218" s="15" t="s">
        <v>216</v>
      </c>
      <c r="I218" s="15" t="s">
        <v>78</v>
      </c>
      <c r="J218" s="15" t="s">
        <v>217</v>
      </c>
      <c r="K218" s="15" t="s">
        <v>45</v>
      </c>
      <c r="L218" s="17">
        <f>VLOOKUP(E218,[1]Diccionario!C$2:AC$150,22,0)</f>
        <v>1392930821</v>
      </c>
      <c r="M218" s="18">
        <f>VLOOKUP(E218,[1]Diccionario!C$2:AC$150,24,0)</f>
        <v>45597</v>
      </c>
      <c r="N218" s="19">
        <f>VLOOKUP(E218,[1]Diccionario!C$2:AC$150,25,0)</f>
        <v>46295</v>
      </c>
      <c r="O218" s="20">
        <f>VLOOKUP(E218,[1]Diccionario!C$2:AC$150,26,0)</f>
        <v>22.97</v>
      </c>
      <c r="P218" s="20">
        <f t="shared" si="50"/>
        <v>-14.969999999999999</v>
      </c>
      <c r="Q218" s="20">
        <v>8</v>
      </c>
      <c r="R218" s="15">
        <v>11</v>
      </c>
      <c r="S218" s="21">
        <v>0.65</v>
      </c>
      <c r="T218" s="21">
        <v>0</v>
      </c>
      <c r="U218" s="22"/>
      <c r="V218" s="24"/>
      <c r="W218" s="24">
        <f t="shared" si="40"/>
        <v>0</v>
      </c>
      <c r="X218" s="24">
        <f t="shared" si="41"/>
        <v>905405033.64999998</v>
      </c>
      <c r="Y218" s="24">
        <f t="shared" si="42"/>
        <v>0</v>
      </c>
      <c r="Z218" s="24">
        <f t="shared" si="43"/>
        <v>-905405033.64999998</v>
      </c>
      <c r="AA218" s="25" t="str">
        <f t="shared" si="44"/>
        <v>No se realizó gasto en este corte</v>
      </c>
      <c r="AB218" s="26" t="str">
        <f t="shared" si="45"/>
        <v>Costo eficiente: se está gastando menos de lo presupuestado</v>
      </c>
      <c r="AC218" s="26">
        <f t="shared" si="46"/>
        <v>0</v>
      </c>
      <c r="AD218" s="26" t="str">
        <f t="shared" si="47"/>
        <v>Sin Línea Base</v>
      </c>
      <c r="AE218" s="27">
        <f t="shared" si="48"/>
        <v>0</v>
      </c>
      <c r="AF218" s="27">
        <f t="shared" si="49"/>
        <v>-1392930821</v>
      </c>
      <c r="AG218" s="28" t="str">
        <f>VLOOKUP(Indicador!E248,[1]Diccionario!C$1:AC$150,27,0)</f>
        <v>https://growdatasas.sharepoint.com/:x:/r/sites/Gestiondocumental/Administrativa/GD/Financiera/_layouts/15/Doc.aspx?sourcedoc=%7B0E336D45-736A-482E-8FD2-86305F4DA8CF%7D&amp;file=DNP%20MODELO%20FINANCIERO%20REFERENCIA%20V7%2024122024.xlsm&amp;action=default&amp;mobileredirect=true</v>
      </c>
      <c r="AH218" s="28">
        <v>1</v>
      </c>
      <c r="AI218" s="28">
        <v>1</v>
      </c>
      <c r="AJ218" s="28"/>
      <c r="AK218" s="28"/>
    </row>
    <row r="219" spans="1:37" ht="18.75" customHeight="1" x14ac:dyDescent="0.25">
      <c r="A219" s="11">
        <v>2026</v>
      </c>
      <c r="B219" s="12" t="s">
        <v>52</v>
      </c>
      <c r="C219" s="15" t="s">
        <v>213</v>
      </c>
      <c r="D219" s="39">
        <v>45616.835520104163</v>
      </c>
      <c r="E219" s="15" t="s">
        <v>214</v>
      </c>
      <c r="F219" s="15" t="s">
        <v>40</v>
      </c>
      <c r="G219" s="15" t="s">
        <v>215</v>
      </c>
      <c r="H219" s="15" t="s">
        <v>216</v>
      </c>
      <c r="I219" s="15" t="s">
        <v>78</v>
      </c>
      <c r="J219" s="15" t="s">
        <v>217</v>
      </c>
      <c r="K219" s="15" t="s">
        <v>45</v>
      </c>
      <c r="L219" s="17">
        <f>VLOOKUP(E219,[1]Diccionario!C$2:AC$150,22,0)</f>
        <v>1392930821</v>
      </c>
      <c r="M219" s="18">
        <f>VLOOKUP(E219,[1]Diccionario!C$2:AC$150,24,0)</f>
        <v>45597</v>
      </c>
      <c r="N219" s="19">
        <f>VLOOKUP(E219,[1]Diccionario!C$2:AC$150,25,0)</f>
        <v>46295</v>
      </c>
      <c r="O219" s="20">
        <f>VLOOKUP(E219,[1]Diccionario!C$2:AC$150,26,0)</f>
        <v>22.97</v>
      </c>
      <c r="P219" s="20">
        <f t="shared" si="50"/>
        <v>-13.969999999999999</v>
      </c>
      <c r="Q219" s="20">
        <v>9</v>
      </c>
      <c r="R219" s="15">
        <v>11</v>
      </c>
      <c r="S219" s="21">
        <v>0.7</v>
      </c>
      <c r="T219" s="21">
        <v>0</v>
      </c>
      <c r="U219" s="22"/>
      <c r="V219" s="24"/>
      <c r="W219" s="24">
        <f t="shared" si="40"/>
        <v>0</v>
      </c>
      <c r="X219" s="24">
        <f t="shared" si="41"/>
        <v>975051574.69999993</v>
      </c>
      <c r="Y219" s="24">
        <f t="shared" si="42"/>
        <v>0</v>
      </c>
      <c r="Z219" s="24">
        <f t="shared" si="43"/>
        <v>-975051574.69999993</v>
      </c>
      <c r="AA219" s="25" t="str">
        <f t="shared" si="44"/>
        <v>No se realizó gasto en este corte</v>
      </c>
      <c r="AB219" s="26" t="str">
        <f t="shared" si="45"/>
        <v>Costo eficiente: se está gastando menos de lo presupuestado</v>
      </c>
      <c r="AC219" s="26">
        <f t="shared" si="46"/>
        <v>0</v>
      </c>
      <c r="AD219" s="26" t="str">
        <f t="shared" si="47"/>
        <v>Sin Línea Base</v>
      </c>
      <c r="AE219" s="27">
        <f t="shared" si="48"/>
        <v>0</v>
      </c>
      <c r="AF219" s="27">
        <f t="shared" si="49"/>
        <v>-1392930821</v>
      </c>
      <c r="AG219" s="28" t="str">
        <f>VLOOKUP(Indicador!E249,[1]Diccionario!C$1:AC$150,27,0)</f>
        <v>https://growdatasas.sharepoint.com/:x:/r/sites/Gestiondocumental/Administrativa/GD/Financiera/_layouts/15/Doc.aspx?sourcedoc=%7B0E336D45-736A-482E-8FD2-86305F4DA8CF%7D&amp;file=DNP%20MODELO%20FINANCIERO%20REFERENCIA%20V7%2024122024.xlsm&amp;action=default&amp;mobileredirect=true</v>
      </c>
      <c r="AH219" s="28">
        <v>1</v>
      </c>
      <c r="AI219" s="28">
        <v>1</v>
      </c>
      <c r="AJ219" s="28"/>
      <c r="AK219" s="28"/>
    </row>
    <row r="220" spans="1:37" ht="18.75" customHeight="1" x14ac:dyDescent="0.25">
      <c r="A220" s="11">
        <v>2026</v>
      </c>
      <c r="B220" s="12" t="s">
        <v>53</v>
      </c>
      <c r="C220" s="15" t="s">
        <v>213</v>
      </c>
      <c r="D220" s="39">
        <v>45616.835520104163</v>
      </c>
      <c r="E220" s="15" t="s">
        <v>214</v>
      </c>
      <c r="F220" s="15" t="s">
        <v>40</v>
      </c>
      <c r="G220" s="15" t="s">
        <v>215</v>
      </c>
      <c r="H220" s="15" t="s">
        <v>216</v>
      </c>
      <c r="I220" s="15" t="s">
        <v>78</v>
      </c>
      <c r="J220" s="15" t="s">
        <v>217</v>
      </c>
      <c r="K220" s="15" t="s">
        <v>45</v>
      </c>
      <c r="L220" s="17">
        <f>VLOOKUP(E220,[1]Diccionario!C$2:AC$150,22,0)</f>
        <v>1392930821</v>
      </c>
      <c r="M220" s="18">
        <f>VLOOKUP(E220,[1]Diccionario!C$2:AC$150,24,0)</f>
        <v>45597</v>
      </c>
      <c r="N220" s="19">
        <f>VLOOKUP(E220,[1]Diccionario!C$2:AC$150,25,0)</f>
        <v>46295</v>
      </c>
      <c r="O220" s="20">
        <f>VLOOKUP(E220,[1]Diccionario!C$2:AC$150,26,0)</f>
        <v>22.97</v>
      </c>
      <c r="P220" s="20">
        <f t="shared" si="50"/>
        <v>-12.969999999999999</v>
      </c>
      <c r="Q220" s="20">
        <v>10</v>
      </c>
      <c r="R220" s="15">
        <v>11</v>
      </c>
      <c r="S220" s="21">
        <v>0.8</v>
      </c>
      <c r="T220" s="21">
        <v>0</v>
      </c>
      <c r="U220" s="22"/>
      <c r="V220" s="24"/>
      <c r="W220" s="24">
        <f t="shared" si="40"/>
        <v>0</v>
      </c>
      <c r="X220" s="24">
        <f t="shared" si="41"/>
        <v>1114344656.8</v>
      </c>
      <c r="Y220" s="24">
        <f t="shared" si="42"/>
        <v>0</v>
      </c>
      <c r="Z220" s="24">
        <f t="shared" si="43"/>
        <v>-1114344656.8</v>
      </c>
      <c r="AA220" s="25" t="str">
        <f t="shared" si="44"/>
        <v>No se realizó gasto en este corte</v>
      </c>
      <c r="AB220" s="26" t="str">
        <f t="shared" si="45"/>
        <v>Costo eficiente: se está gastando menos de lo presupuestado</v>
      </c>
      <c r="AC220" s="26">
        <f t="shared" si="46"/>
        <v>0</v>
      </c>
      <c r="AD220" s="26" t="str">
        <f t="shared" si="47"/>
        <v>Sin Línea Base</v>
      </c>
      <c r="AE220" s="27">
        <f t="shared" si="48"/>
        <v>0</v>
      </c>
      <c r="AF220" s="27">
        <f t="shared" si="49"/>
        <v>-1392930821</v>
      </c>
      <c r="AG220" s="28" t="str">
        <f>VLOOKUP(Indicador!E250,[1]Diccionario!C$1:AC$150,27,0)</f>
        <v>https://growdatasas.sharepoint.com/:x:/r/sites/Gestiondocumental/Administrativa/GD/Financiera/_layouts/15/Doc.aspx?sourcedoc=%7B0E336D45-736A-482E-8FD2-86305F4DA8CF%7D&amp;file=DNP%20MODELO%20FINANCIERO%20REFERENCIA%20V7%2024122024.xlsm&amp;action=default&amp;mobileredirect=true</v>
      </c>
      <c r="AH220" s="28">
        <v>1</v>
      </c>
      <c r="AI220" s="28">
        <v>1</v>
      </c>
      <c r="AJ220" s="28"/>
      <c r="AK220" s="28"/>
    </row>
    <row r="221" spans="1:37" ht="18.75" customHeight="1" x14ac:dyDescent="0.25">
      <c r="A221" s="11">
        <v>2026</v>
      </c>
      <c r="B221" s="12" t="s">
        <v>54</v>
      </c>
      <c r="C221" s="15" t="s">
        <v>213</v>
      </c>
      <c r="D221" s="39">
        <v>45616.835520104163</v>
      </c>
      <c r="E221" s="15" t="s">
        <v>214</v>
      </c>
      <c r="F221" s="15" t="s">
        <v>40</v>
      </c>
      <c r="G221" s="15" t="s">
        <v>215</v>
      </c>
      <c r="H221" s="15" t="s">
        <v>216</v>
      </c>
      <c r="I221" s="15" t="s">
        <v>78</v>
      </c>
      <c r="J221" s="15" t="s">
        <v>217</v>
      </c>
      <c r="K221" s="15" t="s">
        <v>45</v>
      </c>
      <c r="L221" s="17">
        <f>VLOOKUP(E221,[1]Diccionario!C$2:AC$150,22,0)</f>
        <v>1392930821</v>
      </c>
      <c r="M221" s="18">
        <f>VLOOKUP(E221,[1]Diccionario!C$2:AC$150,24,0)</f>
        <v>45597</v>
      </c>
      <c r="N221" s="19">
        <f>VLOOKUP(E221,[1]Diccionario!C$2:AC$150,25,0)</f>
        <v>46295</v>
      </c>
      <c r="O221" s="20">
        <f>VLOOKUP(E221,[1]Diccionario!C$2:AC$150,26,0)</f>
        <v>22.97</v>
      </c>
      <c r="P221" s="20">
        <f t="shared" si="50"/>
        <v>-11.969999999999999</v>
      </c>
      <c r="Q221" s="20">
        <v>11</v>
      </c>
      <c r="R221" s="15">
        <v>11</v>
      </c>
      <c r="S221" s="21">
        <v>1</v>
      </c>
      <c r="T221" s="21">
        <v>0</v>
      </c>
      <c r="U221" s="22"/>
      <c r="V221" s="24"/>
      <c r="W221" s="24">
        <f t="shared" si="40"/>
        <v>0</v>
      </c>
      <c r="X221" s="24">
        <f t="shared" si="41"/>
        <v>1392930821</v>
      </c>
      <c r="Y221" s="24">
        <f t="shared" si="42"/>
        <v>0</v>
      </c>
      <c r="Z221" s="24">
        <f t="shared" si="43"/>
        <v>-1392930821</v>
      </c>
      <c r="AA221" s="25" t="str">
        <f t="shared" si="44"/>
        <v>No se realizó gasto en este corte</v>
      </c>
      <c r="AB221" s="26" t="str">
        <f t="shared" si="45"/>
        <v>Costo eficiente: se está gastando menos de lo presupuestado</v>
      </c>
      <c r="AC221" s="26">
        <f t="shared" si="46"/>
        <v>0</v>
      </c>
      <c r="AD221" s="26" t="str">
        <f t="shared" si="47"/>
        <v>Sin Línea Base</v>
      </c>
      <c r="AE221" s="27">
        <f t="shared" si="48"/>
        <v>0</v>
      </c>
      <c r="AF221" s="27">
        <f t="shared" si="49"/>
        <v>-1392930821</v>
      </c>
      <c r="AG221" s="28" t="str">
        <f>VLOOKUP(Indicador!E251,[1]Diccionario!C$1:AC$150,27,0)</f>
        <v>https://growdatasas.sharepoint.com/:x:/r/sites/Gestiondocumental/Administrativa/GD/Financiera/_layouts/15/Doc.aspx?sourcedoc=%7B0E336D45-736A-482E-8FD2-86305F4DA8CF%7D&amp;file=DNP%20MODELO%20FINANCIERO%20REFERENCIA%20V7%2024122024.xlsm&amp;action=default&amp;mobileredirect=true</v>
      </c>
      <c r="AH221" s="28">
        <v>1</v>
      </c>
      <c r="AI221" s="28">
        <v>1</v>
      </c>
      <c r="AJ221" s="28"/>
      <c r="AK221" s="28"/>
    </row>
    <row r="222" spans="1:37" ht="18.75" customHeight="1" x14ac:dyDescent="0.25">
      <c r="A222" s="11">
        <v>2024</v>
      </c>
      <c r="B222" s="12" t="s">
        <v>54</v>
      </c>
      <c r="C222" s="15" t="s">
        <v>218</v>
      </c>
      <c r="D222" s="39">
        <v>45628.681196990743</v>
      </c>
      <c r="E222" s="15" t="s">
        <v>219</v>
      </c>
      <c r="F222" s="15" t="s">
        <v>140</v>
      </c>
      <c r="G222" s="15" t="s">
        <v>220</v>
      </c>
      <c r="H222" s="15" t="s">
        <v>221</v>
      </c>
      <c r="I222" s="15" t="s">
        <v>78</v>
      </c>
      <c r="J222" s="15" t="s">
        <v>222</v>
      </c>
      <c r="K222" s="15" t="s">
        <v>80</v>
      </c>
      <c r="L222" s="17">
        <f>VLOOKUP(E222,[1]Diccionario!C$2:AC$150,22,0)</f>
        <v>7049000</v>
      </c>
      <c r="M222" s="18">
        <f>VLOOKUP(E222,[1]Diccionario!C$2:AC$150,24,0)</f>
        <v>45536</v>
      </c>
      <c r="N222" s="19">
        <f>VLOOKUP(E222,[1]Diccionario!C$2:AC$150,25,0)</f>
        <v>45565</v>
      </c>
      <c r="O222" s="20">
        <f>VLOOKUP(E222,[1]Diccionario!C$2:AC$150,26,0)</f>
        <v>0.97</v>
      </c>
      <c r="P222" s="20">
        <f t="shared" si="50"/>
        <v>3.0000000000000027E-2</v>
      </c>
      <c r="Q222" s="20">
        <v>1</v>
      </c>
      <c r="R222" s="15">
        <v>1</v>
      </c>
      <c r="S222" s="21">
        <v>1</v>
      </c>
      <c r="T222" s="21">
        <v>0.25</v>
      </c>
      <c r="U222" s="22"/>
      <c r="V222" s="24"/>
      <c r="W222" s="24">
        <f t="shared" si="40"/>
        <v>1762250</v>
      </c>
      <c r="X222" s="24">
        <f t="shared" si="41"/>
        <v>7049000</v>
      </c>
      <c r="Y222" s="24">
        <f t="shared" si="42"/>
        <v>1762250</v>
      </c>
      <c r="Z222" s="24">
        <f t="shared" si="43"/>
        <v>-5286750</v>
      </c>
      <c r="AA222" s="25" t="str">
        <f t="shared" si="44"/>
        <v>No se realizó gasto en este corte</v>
      </c>
      <c r="AB222" s="26" t="str">
        <f t="shared" si="45"/>
        <v>Costo eficiente: se está gastando menos de lo presupuestado</v>
      </c>
      <c r="AC222" s="26">
        <f t="shared" si="46"/>
        <v>0.25</v>
      </c>
      <c r="AD222" s="26" t="str">
        <f t="shared" si="47"/>
        <v>Proyecto atrasado con respecto al cronograma</v>
      </c>
      <c r="AE222" s="27">
        <f t="shared" si="48"/>
        <v>0</v>
      </c>
      <c r="AF222" s="27">
        <f t="shared" si="49"/>
        <v>-7049000</v>
      </c>
      <c r="AG222" s="28" t="str">
        <f>VLOOKUP(Indicador!E177,[1]Diccionario!C$1:AC$150,27,0)</f>
        <v>https://growdatasas.sharepoint.com/:x:/r/sites/Gestiondocumental/Administrativa/GD/Financiera/_layouts/15/Doc.aspx?sourcedoc=%7BE250AEF5-F247-458E-91D3-6BE23701DF39%7D&amp;file=RUNT%20CONTENEDORES%20ESTRATEGICOS%20V5.xlsm&amp;action=default&amp;mobileredirect=true</v>
      </c>
      <c r="AH222" s="28">
        <v>1</v>
      </c>
      <c r="AI222" s="28">
        <v>1</v>
      </c>
      <c r="AJ222" s="28"/>
      <c r="AK222" s="28"/>
    </row>
    <row r="223" spans="1:37" ht="18.75" customHeight="1" x14ac:dyDescent="0.25">
      <c r="A223" s="11">
        <v>2024</v>
      </c>
      <c r="B223" s="12" t="s">
        <v>55</v>
      </c>
      <c r="C223" s="15" t="s">
        <v>218</v>
      </c>
      <c r="D223" s="39">
        <v>45628.681196990743</v>
      </c>
      <c r="E223" s="15" t="s">
        <v>219</v>
      </c>
      <c r="F223" s="15" t="s">
        <v>140</v>
      </c>
      <c r="G223" s="15" t="s">
        <v>220</v>
      </c>
      <c r="H223" s="15" t="s">
        <v>221</v>
      </c>
      <c r="I223" s="15" t="s">
        <v>78</v>
      </c>
      <c r="J223" s="15" t="s">
        <v>222</v>
      </c>
      <c r="K223" s="15" t="s">
        <v>80</v>
      </c>
      <c r="L223" s="17">
        <f>VLOOKUP(E223,[1]Diccionario!C$2:AC$150,22,0)</f>
        <v>7049000</v>
      </c>
      <c r="M223" s="18">
        <f>VLOOKUP(E223,[1]Diccionario!C$2:AC$150,24,0)</f>
        <v>45536</v>
      </c>
      <c r="N223" s="19">
        <f>VLOOKUP(E223,[1]Diccionario!C$2:AC$150,25,0)</f>
        <v>45565</v>
      </c>
      <c r="O223" s="20">
        <f>VLOOKUP(E223,[1]Diccionario!C$2:AC$150,26,0)</f>
        <v>0.97</v>
      </c>
      <c r="P223" s="20">
        <f t="shared" si="50"/>
        <v>1.03</v>
      </c>
      <c r="Q223" s="20">
        <v>2</v>
      </c>
      <c r="R223" s="15">
        <v>1</v>
      </c>
      <c r="S223" s="21">
        <v>1</v>
      </c>
      <c r="T223" s="21">
        <v>0.75</v>
      </c>
      <c r="U223" s="22"/>
      <c r="V223" s="24"/>
      <c r="W223" s="24">
        <f t="shared" si="40"/>
        <v>5286750</v>
      </c>
      <c r="X223" s="24">
        <f t="shared" si="41"/>
        <v>7049000</v>
      </c>
      <c r="Y223" s="24">
        <f t="shared" si="42"/>
        <v>5286750</v>
      </c>
      <c r="Z223" s="24">
        <f t="shared" si="43"/>
        <v>-1762250</v>
      </c>
      <c r="AA223" s="25" t="str">
        <f t="shared" si="44"/>
        <v>No se realizó gasto en este corte</v>
      </c>
      <c r="AB223" s="26" t="str">
        <f t="shared" si="45"/>
        <v>Costo eficiente: se está gastando menos de lo presupuestado</v>
      </c>
      <c r="AC223" s="26">
        <f t="shared" si="46"/>
        <v>0.75</v>
      </c>
      <c r="AD223" s="26" t="str">
        <f t="shared" si="47"/>
        <v>Proyecto atrasado con respecto al cronograma</v>
      </c>
      <c r="AE223" s="27">
        <f t="shared" si="48"/>
        <v>0</v>
      </c>
      <c r="AF223" s="27">
        <f t="shared" si="49"/>
        <v>-7049000</v>
      </c>
      <c r="AG223" s="28" t="str">
        <f>VLOOKUP(Indicador!E178,[1]Diccionario!C$1:AC$150,27,0)</f>
        <v>https://growdatasas.sharepoint.com/:x:/r/sites/Gestiondocumental/Administrativa/GD/Financiera/_layouts/15/Doc.aspx?sourcedoc=%7BE250AEF5-F247-458E-91D3-6BE23701DF39%7D&amp;file=RUNT%20CONTENEDORES%20ESTRATEGICOS%20V5.xlsm&amp;action=default&amp;mobileredirect=true</v>
      </c>
      <c r="AH223" s="28">
        <v>1</v>
      </c>
      <c r="AI223" s="28">
        <v>1</v>
      </c>
      <c r="AJ223" s="28"/>
      <c r="AK223" s="28"/>
    </row>
    <row r="224" spans="1:37" ht="18.75" customHeight="1" x14ac:dyDescent="0.25">
      <c r="A224" s="11">
        <v>2024</v>
      </c>
      <c r="B224" s="12" t="s">
        <v>56</v>
      </c>
      <c r="C224" s="15" t="s">
        <v>218</v>
      </c>
      <c r="D224" s="39">
        <v>45628.681196990743</v>
      </c>
      <c r="E224" s="15" t="s">
        <v>219</v>
      </c>
      <c r="F224" s="15" t="s">
        <v>140</v>
      </c>
      <c r="G224" s="15" t="s">
        <v>220</v>
      </c>
      <c r="H224" s="15" t="s">
        <v>221</v>
      </c>
      <c r="I224" s="15" t="s">
        <v>78</v>
      </c>
      <c r="J224" s="15" t="s">
        <v>222</v>
      </c>
      <c r="K224" s="15" t="s">
        <v>80</v>
      </c>
      <c r="L224" s="17">
        <f>VLOOKUP(E224,[1]Diccionario!C$2:AC$150,22,0)</f>
        <v>7049000</v>
      </c>
      <c r="M224" s="18">
        <f>VLOOKUP(E224,[1]Diccionario!C$2:AC$150,24,0)</f>
        <v>45536</v>
      </c>
      <c r="N224" s="19">
        <f>VLOOKUP(E224,[1]Diccionario!C$2:AC$150,25,0)</f>
        <v>45565</v>
      </c>
      <c r="O224" s="20">
        <f>VLOOKUP(E224,[1]Diccionario!C$2:AC$150,26,0)</f>
        <v>0.97</v>
      </c>
      <c r="P224" s="20">
        <f t="shared" si="50"/>
        <v>2.0300000000000002</v>
      </c>
      <c r="Q224" s="20">
        <v>3</v>
      </c>
      <c r="R224" s="15">
        <v>1</v>
      </c>
      <c r="S224" s="21">
        <v>1</v>
      </c>
      <c r="T224" s="21">
        <v>1</v>
      </c>
      <c r="U224" s="22"/>
      <c r="V224" s="24"/>
      <c r="W224" s="24">
        <f t="shared" si="40"/>
        <v>7049000</v>
      </c>
      <c r="X224" s="24">
        <f t="shared" si="41"/>
        <v>7049000</v>
      </c>
      <c r="Y224" s="24">
        <f t="shared" si="42"/>
        <v>7049000</v>
      </c>
      <c r="Z224" s="24">
        <f t="shared" si="43"/>
        <v>0</v>
      </c>
      <c r="AA224" s="25" t="str">
        <f t="shared" si="44"/>
        <v>No se realizó gasto en este corte</v>
      </c>
      <c r="AB224" s="26" t="str">
        <f t="shared" si="45"/>
        <v>Costo eficiente: se está gastando menos de lo presupuestado</v>
      </c>
      <c r="AC224" s="26">
        <f t="shared" si="46"/>
        <v>1</v>
      </c>
      <c r="AD224" s="26" t="str">
        <f t="shared" si="47"/>
        <v>Proyecto a tiempo según lo planificado</v>
      </c>
      <c r="AE224" s="27">
        <f t="shared" si="48"/>
        <v>0</v>
      </c>
      <c r="AF224" s="27">
        <f t="shared" si="49"/>
        <v>-7049000</v>
      </c>
      <c r="AG224" s="28" t="str">
        <f>VLOOKUP(Indicador!E179,[1]Diccionario!C$1:AC$150,27,0)</f>
        <v>https://growdatasas.sharepoint.com/:x:/r/sites/Gestiondocumental/Administrativa/GD/Financiera/_layouts/15/Doc.aspx?sourcedoc=%7BE250AEF5-F247-458E-91D3-6BE23701DF39%7D&amp;file=RUNT%20CONTENEDORES%20ESTRATEGICOS%20V5.xlsm&amp;action=default&amp;mobileredirect=true</v>
      </c>
      <c r="AH224" s="28">
        <v>1</v>
      </c>
      <c r="AI224" s="28">
        <v>1</v>
      </c>
      <c r="AJ224" s="28"/>
      <c r="AK224" s="28"/>
    </row>
    <row r="225" spans="1:37" ht="18.75" customHeight="1" x14ac:dyDescent="0.25">
      <c r="A225" s="11">
        <v>2024</v>
      </c>
      <c r="B225" s="12" t="s">
        <v>54</v>
      </c>
      <c r="C225" s="15" t="s">
        <v>223</v>
      </c>
      <c r="D225" s="39">
        <v>45636.851213506947</v>
      </c>
      <c r="E225" s="15" t="s">
        <v>224</v>
      </c>
      <c r="F225" s="15" t="s">
        <v>140</v>
      </c>
      <c r="G225" s="15" t="s">
        <v>225</v>
      </c>
      <c r="H225" s="15" t="s">
        <v>226</v>
      </c>
      <c r="I225" s="15" t="s">
        <v>78</v>
      </c>
      <c r="J225" s="15" t="s">
        <v>227</v>
      </c>
      <c r="K225" s="15" t="s">
        <v>45</v>
      </c>
      <c r="L225" s="17">
        <f>VLOOKUP(E225,[1]Diccionario!C$2:AC$150,22,0)</f>
        <v>410789543</v>
      </c>
      <c r="M225" s="18">
        <f>VLOOKUP(E225,[1]Diccionario!C$2:AC$150,24,0)</f>
        <v>45536</v>
      </c>
      <c r="N225" s="19">
        <f>VLOOKUP(E225,[1]Diccionario!C$2:AC$150,25,0)</f>
        <v>45597</v>
      </c>
      <c r="O225" s="20">
        <f>VLOOKUP(E225,[1]Diccionario!C$2:AC$150,26,0)</f>
        <v>2</v>
      </c>
      <c r="P225" s="20">
        <f t="shared" si="50"/>
        <v>-1</v>
      </c>
      <c r="Q225" s="20">
        <v>1</v>
      </c>
      <c r="R225" s="15">
        <v>3</v>
      </c>
      <c r="S225" s="21">
        <v>0.35</v>
      </c>
      <c r="T225" s="21">
        <v>0.35</v>
      </c>
      <c r="U225" s="22"/>
      <c r="V225" s="24"/>
      <c r="W225" s="24">
        <f t="shared" si="40"/>
        <v>143776340.04999998</v>
      </c>
      <c r="X225" s="24">
        <f t="shared" si="41"/>
        <v>143776340.04999998</v>
      </c>
      <c r="Y225" s="24">
        <f t="shared" si="42"/>
        <v>143776340.04999998</v>
      </c>
      <c r="Z225" s="24">
        <f t="shared" si="43"/>
        <v>0</v>
      </c>
      <c r="AA225" s="25" t="str">
        <f t="shared" si="44"/>
        <v>No se realizó gasto en este corte</v>
      </c>
      <c r="AB225" s="26" t="str">
        <f t="shared" si="45"/>
        <v>Costo eficiente: se está gastando menos de lo presupuestado</v>
      </c>
      <c r="AC225" s="26">
        <f t="shared" si="46"/>
        <v>1</v>
      </c>
      <c r="AD225" s="26" t="str">
        <f t="shared" si="47"/>
        <v>Proyecto a tiempo según lo planificado</v>
      </c>
      <c r="AE225" s="27">
        <f t="shared" si="48"/>
        <v>0</v>
      </c>
      <c r="AF225" s="27">
        <f t="shared" si="49"/>
        <v>-410789543</v>
      </c>
      <c r="AG225" s="28" t="str">
        <f>VLOOKUP(Indicador!E174,[1]Diccionario!C$1:AC$150,27,0)</f>
        <v>https://growdatasas.sharepoint.com/:x:/r/sites/Gestiondocumental/Administrativa/GD/Financiera/_layouts/15/Doc.aspx?sourcedoc=%7BE250AEF5-F247-458E-91D3-6BE23701DF39%7D&amp;file=RUNT%20CONTENEDORES%20ESTRATEGICOS%20V5.xlsm&amp;action=default&amp;mobileredirect=true</v>
      </c>
      <c r="AH225" s="28">
        <v>1</v>
      </c>
      <c r="AI225" s="28">
        <v>1</v>
      </c>
      <c r="AJ225" s="28"/>
      <c r="AK225" s="28"/>
    </row>
    <row r="226" spans="1:37" ht="18.75" customHeight="1" x14ac:dyDescent="0.25">
      <c r="A226" s="11">
        <v>2024</v>
      </c>
      <c r="B226" s="12" t="s">
        <v>55</v>
      </c>
      <c r="C226" s="15" t="s">
        <v>223</v>
      </c>
      <c r="D226" s="39">
        <v>45636.851213506947</v>
      </c>
      <c r="E226" s="15" t="s">
        <v>224</v>
      </c>
      <c r="F226" s="15" t="s">
        <v>140</v>
      </c>
      <c r="G226" s="15" t="s">
        <v>225</v>
      </c>
      <c r="H226" s="15" t="s">
        <v>226</v>
      </c>
      <c r="I226" s="15" t="s">
        <v>78</v>
      </c>
      <c r="J226" s="15" t="s">
        <v>227</v>
      </c>
      <c r="K226" s="15" t="s">
        <v>45</v>
      </c>
      <c r="L226" s="17">
        <f>VLOOKUP(E226,[1]Diccionario!C$2:AC$150,22,0)</f>
        <v>410789543</v>
      </c>
      <c r="M226" s="18">
        <f>VLOOKUP(E226,[1]Diccionario!C$2:AC$150,24,0)</f>
        <v>45536</v>
      </c>
      <c r="N226" s="19">
        <f>VLOOKUP(E226,[1]Diccionario!C$2:AC$150,25,0)</f>
        <v>45597</v>
      </c>
      <c r="O226" s="20">
        <f>VLOOKUP(E226,[1]Diccionario!C$2:AC$150,26,0)</f>
        <v>2</v>
      </c>
      <c r="P226" s="20">
        <f t="shared" si="50"/>
        <v>0</v>
      </c>
      <c r="Q226" s="20">
        <v>2</v>
      </c>
      <c r="R226" s="15">
        <v>3</v>
      </c>
      <c r="S226" s="21">
        <v>0.75</v>
      </c>
      <c r="T226" s="21">
        <v>0.75</v>
      </c>
      <c r="U226" s="22"/>
      <c r="V226" s="24"/>
      <c r="W226" s="24">
        <f t="shared" si="40"/>
        <v>308092157.25</v>
      </c>
      <c r="X226" s="24">
        <f t="shared" si="41"/>
        <v>308092157.25</v>
      </c>
      <c r="Y226" s="24">
        <f t="shared" si="42"/>
        <v>308092157.25</v>
      </c>
      <c r="Z226" s="24">
        <f t="shared" si="43"/>
        <v>0</v>
      </c>
      <c r="AA226" s="25" t="str">
        <f t="shared" si="44"/>
        <v>No se realizó gasto en este corte</v>
      </c>
      <c r="AB226" s="26" t="str">
        <f t="shared" si="45"/>
        <v>Costo eficiente: se está gastando menos de lo presupuestado</v>
      </c>
      <c r="AC226" s="26">
        <f t="shared" si="46"/>
        <v>1</v>
      </c>
      <c r="AD226" s="26" t="str">
        <f t="shared" si="47"/>
        <v>Proyecto a tiempo según lo planificado</v>
      </c>
      <c r="AE226" s="27">
        <f t="shared" si="48"/>
        <v>0</v>
      </c>
      <c r="AF226" s="27">
        <f t="shared" si="49"/>
        <v>-410789543</v>
      </c>
      <c r="AG226" s="28" t="str">
        <f>VLOOKUP(Indicador!E175,[1]Diccionario!C$1:AC$150,27,0)</f>
        <v>https://growdatasas.sharepoint.com/:x:/r/sites/Gestiondocumental/Administrativa/GD/Financiera/_layouts/15/Doc.aspx?sourcedoc=%7BE250AEF5-F247-458E-91D3-6BE23701DF39%7D&amp;file=RUNT%20CONTENEDORES%20ESTRATEGICOS%20V5.xlsm&amp;action=default&amp;mobileredirect=true</v>
      </c>
      <c r="AH226" s="28">
        <v>1</v>
      </c>
      <c r="AI226" s="28">
        <v>1</v>
      </c>
      <c r="AJ226" s="28"/>
      <c r="AK226" s="28"/>
    </row>
    <row r="227" spans="1:37" ht="18.75" customHeight="1" x14ac:dyDescent="0.25">
      <c r="A227" s="11">
        <v>2024</v>
      </c>
      <c r="B227" s="12" t="s">
        <v>56</v>
      </c>
      <c r="C227" s="15" t="s">
        <v>223</v>
      </c>
      <c r="D227" s="39">
        <v>45636.851213506947</v>
      </c>
      <c r="E227" s="15" t="s">
        <v>224</v>
      </c>
      <c r="F227" s="15" t="s">
        <v>140</v>
      </c>
      <c r="G227" s="15" t="s">
        <v>225</v>
      </c>
      <c r="H227" s="15" t="s">
        <v>226</v>
      </c>
      <c r="I227" s="15" t="s">
        <v>78</v>
      </c>
      <c r="J227" s="15" t="s">
        <v>227</v>
      </c>
      <c r="K227" s="15" t="s">
        <v>45</v>
      </c>
      <c r="L227" s="17">
        <f>VLOOKUP(E227,[1]Diccionario!C$2:AC$150,22,0)</f>
        <v>410789543</v>
      </c>
      <c r="M227" s="18">
        <f>VLOOKUP(E227,[1]Diccionario!C$2:AC$150,24,0)</f>
        <v>45536</v>
      </c>
      <c r="N227" s="19">
        <f>VLOOKUP(E227,[1]Diccionario!C$2:AC$150,25,0)</f>
        <v>45597</v>
      </c>
      <c r="O227" s="20">
        <f>VLOOKUP(E227,[1]Diccionario!C$2:AC$150,26,0)</f>
        <v>2</v>
      </c>
      <c r="P227" s="20">
        <f t="shared" si="50"/>
        <v>1</v>
      </c>
      <c r="Q227" s="20">
        <v>3</v>
      </c>
      <c r="R227" s="15">
        <v>3</v>
      </c>
      <c r="S227" s="21">
        <v>1</v>
      </c>
      <c r="T227" s="21">
        <v>1</v>
      </c>
      <c r="U227" s="22"/>
      <c r="V227" s="24"/>
      <c r="W227" s="24">
        <f t="shared" si="40"/>
        <v>410789543</v>
      </c>
      <c r="X227" s="24">
        <f t="shared" si="41"/>
        <v>410789543</v>
      </c>
      <c r="Y227" s="24">
        <f t="shared" si="42"/>
        <v>410789543</v>
      </c>
      <c r="Z227" s="24">
        <f t="shared" si="43"/>
        <v>0</v>
      </c>
      <c r="AA227" s="25" t="str">
        <f t="shared" si="44"/>
        <v>No se realizó gasto en este corte</v>
      </c>
      <c r="AB227" s="26" t="str">
        <f t="shared" si="45"/>
        <v>Costo eficiente: se está gastando menos de lo presupuestado</v>
      </c>
      <c r="AC227" s="26">
        <f t="shared" si="46"/>
        <v>1</v>
      </c>
      <c r="AD227" s="26" t="str">
        <f t="shared" si="47"/>
        <v>Proyecto a tiempo según lo planificado</v>
      </c>
      <c r="AE227" s="27">
        <f t="shared" si="48"/>
        <v>0</v>
      </c>
      <c r="AF227" s="27">
        <f t="shared" si="49"/>
        <v>-410789543</v>
      </c>
      <c r="AG227" s="28" t="str">
        <f>VLOOKUP(Indicador!E176,[1]Diccionario!C$1:AC$150,27,0)</f>
        <v>https://growdatasas.sharepoint.com/:x:/r/sites/Gestiondocumental/Administrativa/GD/Financiera/_layouts/15/Doc.aspx?sourcedoc=%7BE250AEF5-F247-458E-91D3-6BE23701DF39%7D&amp;file=RUNT%20CONTENEDORES%20ESTRATEGICOS%20V5.xlsm&amp;action=default&amp;mobileredirect=true</v>
      </c>
      <c r="AH227" s="28">
        <v>1</v>
      </c>
      <c r="AI227" s="28">
        <v>1</v>
      </c>
      <c r="AJ227" s="28"/>
      <c r="AK227" s="28"/>
    </row>
    <row r="228" spans="1:37" ht="18.75" customHeight="1" x14ac:dyDescent="0.25">
      <c r="A228" s="11">
        <v>2025</v>
      </c>
      <c r="B228" s="12" t="s">
        <v>37</v>
      </c>
      <c r="C228" s="15" t="s">
        <v>228</v>
      </c>
      <c r="D228" s="39">
        <v>45638.807590046294</v>
      </c>
      <c r="E228" s="59" t="s">
        <v>229</v>
      </c>
      <c r="F228" s="15" t="s">
        <v>140</v>
      </c>
      <c r="G228" s="15" t="s">
        <v>230</v>
      </c>
      <c r="H228" s="15" t="s">
        <v>231</v>
      </c>
      <c r="I228" s="15" t="s">
        <v>63</v>
      </c>
      <c r="J228" s="15" t="s">
        <v>232</v>
      </c>
      <c r="K228" s="15" t="s">
        <v>45</v>
      </c>
      <c r="L228" s="17">
        <f>VLOOKUP(E228,[1]Diccionario!C$2:AC$150,22,0)</f>
        <v>198857341</v>
      </c>
      <c r="M228" s="18">
        <f>VLOOKUP(E228,[1]Diccionario!C$2:AC$150,24,0)</f>
        <v>45931</v>
      </c>
      <c r="N228" s="19">
        <f>VLOOKUP(E228,[1]Diccionario!C$2:AC$150,25,0)</f>
        <v>46022</v>
      </c>
      <c r="O228" s="20">
        <f>VLOOKUP(E228,[1]Diccionario!C$2:AC$150,26,0)</f>
        <v>3</v>
      </c>
      <c r="P228" s="20">
        <f t="shared" ca="1" si="50"/>
        <v>3</v>
      </c>
      <c r="Q228" s="20">
        <f t="shared" ref="Q228:Q239" ca="1" si="51">DATEDIF(M228,TODAY(),"m")</f>
        <v>6</v>
      </c>
      <c r="R228" s="15">
        <v>12</v>
      </c>
      <c r="S228" s="21"/>
      <c r="T228" s="21"/>
      <c r="U228" s="22"/>
      <c r="V228" s="24"/>
      <c r="W228" s="24">
        <f t="shared" si="40"/>
        <v>0</v>
      </c>
      <c r="X228" s="24">
        <f t="shared" si="41"/>
        <v>0</v>
      </c>
      <c r="Y228" s="24">
        <f t="shared" si="42"/>
        <v>0</v>
      </c>
      <c r="Z228" s="24">
        <f t="shared" si="43"/>
        <v>0</v>
      </c>
      <c r="AA228" s="25" t="str">
        <f t="shared" si="44"/>
        <v>No se realizó gasto en este corte</v>
      </c>
      <c r="AB228" s="26" t="str">
        <f t="shared" si="45"/>
        <v>Costo eficiente: se está gastando menos de lo presupuestado</v>
      </c>
      <c r="AC228" s="26">
        <f t="shared" si="46"/>
        <v>0</v>
      </c>
      <c r="AD228" s="26" t="str">
        <f t="shared" si="47"/>
        <v>Sin Línea Base</v>
      </c>
      <c r="AE228" s="27">
        <f t="shared" si="48"/>
        <v>0</v>
      </c>
      <c r="AF228" s="27">
        <f t="shared" si="49"/>
        <v>-198857341</v>
      </c>
      <c r="AG228" s="28" t="str">
        <f>VLOOKUP(Indicador!E613,[1]Diccionario!C$1:AC$150,27,0)</f>
        <v>https://growdatasas.sharepoint.com/:x:/r/sites/Gestiondocumental/Administrativa/GD/Financiera/_layouts/15/Doc.aspx?sourcedoc=%7B1DB7BB77-F516-4EEA-9E40-1031014F157D%7D&amp;file=MODELO%20FINANCIERO%20CGR%207.10.25%20v3.xlsm&amp;action=default&amp;mobileredirect=true</v>
      </c>
      <c r="AH228" s="28">
        <v>1</v>
      </c>
      <c r="AI228" s="28">
        <v>1</v>
      </c>
      <c r="AJ228" s="28"/>
      <c r="AK228" s="28"/>
    </row>
    <row r="229" spans="1:37" ht="18.75" customHeight="1" x14ac:dyDescent="0.25">
      <c r="A229" s="11">
        <v>2025</v>
      </c>
      <c r="B229" s="12" t="s">
        <v>47</v>
      </c>
      <c r="C229" s="15" t="s">
        <v>228</v>
      </c>
      <c r="D229" s="39">
        <v>45638.807590046294</v>
      </c>
      <c r="E229" s="59" t="s">
        <v>229</v>
      </c>
      <c r="F229" s="15" t="s">
        <v>140</v>
      </c>
      <c r="G229" s="15" t="s">
        <v>230</v>
      </c>
      <c r="H229" s="15" t="s">
        <v>231</v>
      </c>
      <c r="I229" s="15" t="s">
        <v>63</v>
      </c>
      <c r="J229" s="15" t="s">
        <v>232</v>
      </c>
      <c r="K229" s="15" t="s">
        <v>45</v>
      </c>
      <c r="L229" s="17">
        <f>VLOOKUP(E229,[1]Diccionario!C$2:AC$150,22,0)</f>
        <v>198857341</v>
      </c>
      <c r="M229" s="18">
        <f>VLOOKUP(E229,[1]Diccionario!C$2:AC$150,24,0)</f>
        <v>45931</v>
      </c>
      <c r="N229" s="19">
        <f>VLOOKUP(E229,[1]Diccionario!C$2:AC$150,25,0)</f>
        <v>46022</v>
      </c>
      <c r="O229" s="20">
        <f>VLOOKUP(E229,[1]Diccionario!C$2:AC$150,26,0)</f>
        <v>3</v>
      </c>
      <c r="P229" s="20">
        <f t="shared" ca="1" si="50"/>
        <v>3</v>
      </c>
      <c r="Q229" s="20">
        <f t="shared" ca="1" si="51"/>
        <v>6</v>
      </c>
      <c r="R229" s="15">
        <v>12</v>
      </c>
      <c r="S229" s="21"/>
      <c r="T229" s="21"/>
      <c r="U229" s="22"/>
      <c r="V229" s="24"/>
      <c r="W229" s="24">
        <f t="shared" si="40"/>
        <v>0</v>
      </c>
      <c r="X229" s="24">
        <f t="shared" si="41"/>
        <v>0</v>
      </c>
      <c r="Y229" s="24">
        <f t="shared" si="42"/>
        <v>0</v>
      </c>
      <c r="Z229" s="24">
        <f t="shared" si="43"/>
        <v>0</v>
      </c>
      <c r="AA229" s="25" t="str">
        <f t="shared" si="44"/>
        <v>No se realizó gasto en este corte</v>
      </c>
      <c r="AB229" s="26" t="str">
        <f t="shared" si="45"/>
        <v>Costo eficiente: se está gastando menos de lo presupuestado</v>
      </c>
      <c r="AC229" s="26">
        <f t="shared" si="46"/>
        <v>0</v>
      </c>
      <c r="AD229" s="26" t="str">
        <f t="shared" si="47"/>
        <v>Sin Línea Base</v>
      </c>
      <c r="AE229" s="27">
        <f t="shared" si="48"/>
        <v>0</v>
      </c>
      <c r="AF229" s="27">
        <f t="shared" si="49"/>
        <v>-198857341</v>
      </c>
      <c r="AG229" s="28" t="str">
        <f>VLOOKUP(Indicador!E614,[1]Diccionario!C$1:AC$150,27,0)</f>
        <v>https://growdatasas.sharepoint.com/:x:/r/sites/Gestiondocumental/Administrativa/GD/Financiera/_layouts/15/Doc.aspx?sourcedoc=%7B1DB7BB77-F516-4EEA-9E40-1031014F157D%7D&amp;file=MODELO%20FINANCIERO%20CGR%207.10.25%20v3.xlsm&amp;action=default&amp;mobileredirect=true</v>
      </c>
      <c r="AH229" s="28">
        <v>1</v>
      </c>
      <c r="AI229" s="28">
        <v>1</v>
      </c>
      <c r="AJ229" s="28"/>
      <c r="AK229" s="28"/>
    </row>
    <row r="230" spans="1:37" ht="18.75" customHeight="1" x14ac:dyDescent="0.25">
      <c r="A230" s="11">
        <v>2025</v>
      </c>
      <c r="B230" s="12" t="s">
        <v>48</v>
      </c>
      <c r="C230" s="15" t="s">
        <v>228</v>
      </c>
      <c r="D230" s="39">
        <v>45638.807590046294</v>
      </c>
      <c r="E230" s="59" t="s">
        <v>229</v>
      </c>
      <c r="F230" s="15" t="s">
        <v>140</v>
      </c>
      <c r="G230" s="15" t="s">
        <v>230</v>
      </c>
      <c r="H230" s="15" t="s">
        <v>231</v>
      </c>
      <c r="I230" s="15" t="s">
        <v>63</v>
      </c>
      <c r="J230" s="15" t="s">
        <v>232</v>
      </c>
      <c r="K230" s="15" t="s">
        <v>45</v>
      </c>
      <c r="L230" s="17">
        <f>VLOOKUP(E230,[1]Diccionario!C$2:AC$150,22,0)</f>
        <v>198857341</v>
      </c>
      <c r="M230" s="18">
        <f>VLOOKUP(E230,[1]Diccionario!C$2:AC$150,24,0)</f>
        <v>45931</v>
      </c>
      <c r="N230" s="19">
        <f>VLOOKUP(E230,[1]Diccionario!C$2:AC$150,25,0)</f>
        <v>46022</v>
      </c>
      <c r="O230" s="20">
        <f>VLOOKUP(E230,[1]Diccionario!C$2:AC$150,26,0)</f>
        <v>3</v>
      </c>
      <c r="P230" s="20">
        <f t="shared" ca="1" si="50"/>
        <v>3</v>
      </c>
      <c r="Q230" s="20">
        <f t="shared" ca="1" si="51"/>
        <v>6</v>
      </c>
      <c r="R230" s="15">
        <v>12</v>
      </c>
      <c r="S230" s="21"/>
      <c r="T230" s="21"/>
      <c r="U230" s="22"/>
      <c r="V230" s="24"/>
      <c r="W230" s="24">
        <f t="shared" si="40"/>
        <v>0</v>
      </c>
      <c r="X230" s="24">
        <f t="shared" si="41"/>
        <v>0</v>
      </c>
      <c r="Y230" s="24">
        <f t="shared" si="42"/>
        <v>0</v>
      </c>
      <c r="Z230" s="24">
        <f t="shared" si="43"/>
        <v>0</v>
      </c>
      <c r="AA230" s="25" t="str">
        <f t="shared" si="44"/>
        <v>No se realizó gasto en este corte</v>
      </c>
      <c r="AB230" s="26" t="str">
        <f t="shared" si="45"/>
        <v>Costo eficiente: se está gastando menos de lo presupuestado</v>
      </c>
      <c r="AC230" s="26">
        <f t="shared" si="46"/>
        <v>0</v>
      </c>
      <c r="AD230" s="26" t="str">
        <f t="shared" si="47"/>
        <v>Sin Línea Base</v>
      </c>
      <c r="AE230" s="27">
        <f t="shared" si="48"/>
        <v>0</v>
      </c>
      <c r="AF230" s="27">
        <f t="shared" si="49"/>
        <v>-198857341</v>
      </c>
      <c r="AG230" s="28" t="str">
        <f>VLOOKUP(Indicador!E615,[1]Diccionario!C$1:AC$150,27,0)</f>
        <v>https://growdatasas.sharepoint.com/:x:/r/sites/Gestiondocumental/Administrativa/GD/Financiera/_layouts/15/Doc.aspx?sourcedoc=%7B1DB7BB77-F516-4EEA-9E40-1031014F157D%7D&amp;file=MODELO%20FINANCIERO%20CGR%207.10.25%20v3.xlsm&amp;action=default&amp;mobileredirect=true</v>
      </c>
      <c r="AH230" s="28">
        <v>1</v>
      </c>
      <c r="AI230" s="28">
        <v>1</v>
      </c>
      <c r="AJ230" s="28"/>
      <c r="AK230" s="28"/>
    </row>
    <row r="231" spans="1:37" ht="18.75" customHeight="1" x14ac:dyDescent="0.25">
      <c r="A231" s="11">
        <v>2025</v>
      </c>
      <c r="B231" s="12" t="s">
        <v>49</v>
      </c>
      <c r="C231" s="15" t="s">
        <v>228</v>
      </c>
      <c r="D231" s="39">
        <v>45638.807590046294</v>
      </c>
      <c r="E231" s="59" t="s">
        <v>229</v>
      </c>
      <c r="F231" s="15" t="s">
        <v>140</v>
      </c>
      <c r="G231" s="15" t="s">
        <v>230</v>
      </c>
      <c r="H231" s="15" t="s">
        <v>231</v>
      </c>
      <c r="I231" s="15" t="s">
        <v>63</v>
      </c>
      <c r="J231" s="15" t="s">
        <v>232</v>
      </c>
      <c r="K231" s="15" t="s">
        <v>45</v>
      </c>
      <c r="L231" s="17">
        <f>VLOOKUP(E231,[1]Diccionario!C$2:AC$150,22,0)</f>
        <v>198857341</v>
      </c>
      <c r="M231" s="18">
        <f>VLOOKUP(E231,[1]Diccionario!C$2:AC$150,24,0)</f>
        <v>45931</v>
      </c>
      <c r="N231" s="19">
        <f>VLOOKUP(E231,[1]Diccionario!C$2:AC$150,25,0)</f>
        <v>46022</v>
      </c>
      <c r="O231" s="20">
        <f>VLOOKUP(E231,[1]Diccionario!C$2:AC$150,26,0)</f>
        <v>3</v>
      </c>
      <c r="P231" s="20">
        <f t="shared" ca="1" si="50"/>
        <v>3</v>
      </c>
      <c r="Q231" s="20">
        <f t="shared" ca="1" si="51"/>
        <v>6</v>
      </c>
      <c r="R231" s="15">
        <v>12</v>
      </c>
      <c r="S231" s="21"/>
      <c r="T231" s="21"/>
      <c r="U231" s="22"/>
      <c r="V231" s="24"/>
      <c r="W231" s="24">
        <f t="shared" si="40"/>
        <v>0</v>
      </c>
      <c r="X231" s="24">
        <f t="shared" si="41"/>
        <v>0</v>
      </c>
      <c r="Y231" s="24">
        <f t="shared" si="42"/>
        <v>0</v>
      </c>
      <c r="Z231" s="24">
        <f t="shared" si="43"/>
        <v>0</v>
      </c>
      <c r="AA231" s="25" t="str">
        <f t="shared" si="44"/>
        <v>No se realizó gasto en este corte</v>
      </c>
      <c r="AB231" s="26" t="str">
        <f t="shared" si="45"/>
        <v>Costo eficiente: se está gastando menos de lo presupuestado</v>
      </c>
      <c r="AC231" s="26">
        <f t="shared" si="46"/>
        <v>0</v>
      </c>
      <c r="AD231" s="26" t="str">
        <f t="shared" si="47"/>
        <v>Sin Línea Base</v>
      </c>
      <c r="AE231" s="27">
        <f t="shared" si="48"/>
        <v>0</v>
      </c>
      <c r="AF231" s="27">
        <f t="shared" si="49"/>
        <v>-198857341</v>
      </c>
      <c r="AG231" s="28" t="str">
        <f>VLOOKUP(Indicador!E616,[1]Diccionario!C$1:AC$150,27,0)</f>
        <v>https://growdatasas.sharepoint.com/:x:/r/sites/Gestiondocumental/Administrativa/GD/Financiera/_layouts/15/Doc.aspx?sourcedoc=%7B1DB7BB77-F516-4EEA-9E40-1031014F157D%7D&amp;file=MODELO%20FINANCIERO%20CGR%207.10.25%20v3.xlsm&amp;action=default&amp;mobileredirect=true</v>
      </c>
      <c r="AH231" s="28">
        <v>1</v>
      </c>
      <c r="AI231" s="28">
        <v>1</v>
      </c>
      <c r="AJ231" s="28"/>
      <c r="AK231" s="28"/>
    </row>
    <row r="232" spans="1:37" ht="18.75" customHeight="1" x14ac:dyDescent="0.25">
      <c r="A232" s="11">
        <v>2025</v>
      </c>
      <c r="B232" s="12" t="s">
        <v>50</v>
      </c>
      <c r="C232" s="15" t="s">
        <v>228</v>
      </c>
      <c r="D232" s="39">
        <v>45638.807590046294</v>
      </c>
      <c r="E232" s="59" t="s">
        <v>229</v>
      </c>
      <c r="F232" s="15" t="s">
        <v>140</v>
      </c>
      <c r="G232" s="15" t="s">
        <v>230</v>
      </c>
      <c r="H232" s="15" t="s">
        <v>231</v>
      </c>
      <c r="I232" s="15" t="s">
        <v>63</v>
      </c>
      <c r="J232" s="15" t="s">
        <v>232</v>
      </c>
      <c r="K232" s="15" t="s">
        <v>45</v>
      </c>
      <c r="L232" s="17">
        <f>VLOOKUP(E232,[1]Diccionario!C$2:AC$150,22,0)</f>
        <v>198857341</v>
      </c>
      <c r="M232" s="18">
        <f>VLOOKUP(E232,[1]Diccionario!C$2:AC$150,24,0)</f>
        <v>45931</v>
      </c>
      <c r="N232" s="19">
        <f>VLOOKUP(E232,[1]Diccionario!C$2:AC$150,25,0)</f>
        <v>46022</v>
      </c>
      <c r="O232" s="20">
        <f>VLOOKUP(E232,[1]Diccionario!C$2:AC$150,26,0)</f>
        <v>3</v>
      </c>
      <c r="P232" s="20">
        <f t="shared" ca="1" si="50"/>
        <v>3</v>
      </c>
      <c r="Q232" s="20">
        <f t="shared" ca="1" si="51"/>
        <v>6</v>
      </c>
      <c r="R232" s="15">
        <v>12</v>
      </c>
      <c r="S232" s="21"/>
      <c r="T232" s="21"/>
      <c r="U232" s="22"/>
      <c r="V232" s="24"/>
      <c r="W232" s="24">
        <f t="shared" si="40"/>
        <v>0</v>
      </c>
      <c r="X232" s="24">
        <f t="shared" si="41"/>
        <v>0</v>
      </c>
      <c r="Y232" s="24">
        <f t="shared" si="42"/>
        <v>0</v>
      </c>
      <c r="Z232" s="24">
        <f t="shared" si="43"/>
        <v>0</v>
      </c>
      <c r="AA232" s="25" t="str">
        <f t="shared" si="44"/>
        <v>No se realizó gasto en este corte</v>
      </c>
      <c r="AB232" s="26" t="str">
        <f t="shared" si="45"/>
        <v>Costo eficiente: se está gastando menos de lo presupuestado</v>
      </c>
      <c r="AC232" s="26">
        <f t="shared" si="46"/>
        <v>0</v>
      </c>
      <c r="AD232" s="26" t="str">
        <f t="shared" si="47"/>
        <v>Sin Línea Base</v>
      </c>
      <c r="AE232" s="27">
        <f t="shared" si="48"/>
        <v>0</v>
      </c>
      <c r="AF232" s="27">
        <f t="shared" si="49"/>
        <v>-198857341</v>
      </c>
      <c r="AG232" s="28" t="str">
        <f>VLOOKUP(Indicador!E619,[1]Diccionario!C$1:AC$150,27,0)</f>
        <v>https://growdatasas.sharepoint.com/:x:/r/sites/Gestiondocumental/Administrativa/GD/Financiera/_layouts/15/Doc.aspx?sourcedoc=%7BBD7E6B05-C8DF-4CE6-95B4-3ED6B2F351D2%7D&amp;file=MODELO%20FINANCIERO%20SUMINISTRO%20HCI%20CANCILLER%C3%8DA%20-%20GROW%20DATA%20-%20Consolidado.xlsm&amp;action=default&amp;mobileredirect=true</v>
      </c>
      <c r="AH232" s="28">
        <v>1</v>
      </c>
      <c r="AI232" s="28">
        <v>1</v>
      </c>
      <c r="AJ232" s="28"/>
      <c r="AK232" s="28"/>
    </row>
    <row r="233" spans="1:37" ht="18.75" customHeight="1" x14ac:dyDescent="0.25">
      <c r="A233" s="11">
        <v>2025</v>
      </c>
      <c r="B233" s="12" t="s">
        <v>51</v>
      </c>
      <c r="C233" s="15" t="s">
        <v>228</v>
      </c>
      <c r="D233" s="39">
        <v>45638.807590046294</v>
      </c>
      <c r="E233" s="59" t="s">
        <v>229</v>
      </c>
      <c r="F233" s="15" t="s">
        <v>140</v>
      </c>
      <c r="G233" s="15" t="s">
        <v>230</v>
      </c>
      <c r="H233" s="15" t="s">
        <v>231</v>
      </c>
      <c r="I233" s="15" t="s">
        <v>63</v>
      </c>
      <c r="J233" s="15" t="s">
        <v>232</v>
      </c>
      <c r="K233" s="15" t="s">
        <v>45</v>
      </c>
      <c r="L233" s="17">
        <f>VLOOKUP(E233,[1]Diccionario!C$2:AC$150,22,0)</f>
        <v>198857341</v>
      </c>
      <c r="M233" s="18">
        <f>VLOOKUP(E233,[1]Diccionario!C$2:AC$150,24,0)</f>
        <v>45931</v>
      </c>
      <c r="N233" s="19">
        <f>VLOOKUP(E233,[1]Diccionario!C$2:AC$150,25,0)</f>
        <v>46022</v>
      </c>
      <c r="O233" s="20">
        <f>VLOOKUP(E233,[1]Diccionario!C$2:AC$150,26,0)</f>
        <v>3</v>
      </c>
      <c r="P233" s="20">
        <f t="shared" ca="1" si="50"/>
        <v>3</v>
      </c>
      <c r="Q233" s="20">
        <f t="shared" ca="1" si="51"/>
        <v>6</v>
      </c>
      <c r="R233" s="15">
        <v>12</v>
      </c>
      <c r="S233" s="21"/>
      <c r="T233" s="21"/>
      <c r="U233" s="22"/>
      <c r="V233" s="24"/>
      <c r="W233" s="24">
        <f t="shared" si="40"/>
        <v>0</v>
      </c>
      <c r="X233" s="24">
        <f t="shared" si="41"/>
        <v>0</v>
      </c>
      <c r="Y233" s="24">
        <f t="shared" si="42"/>
        <v>0</v>
      </c>
      <c r="Z233" s="24">
        <f t="shared" si="43"/>
        <v>0</v>
      </c>
      <c r="AA233" s="25" t="str">
        <f t="shared" si="44"/>
        <v>No se realizó gasto en este corte</v>
      </c>
      <c r="AB233" s="26" t="str">
        <f t="shared" si="45"/>
        <v>Costo eficiente: se está gastando menos de lo presupuestado</v>
      </c>
      <c r="AC233" s="26">
        <f t="shared" si="46"/>
        <v>0</v>
      </c>
      <c r="AD233" s="26" t="str">
        <f t="shared" si="47"/>
        <v>Sin Línea Base</v>
      </c>
      <c r="AE233" s="27">
        <f t="shared" si="48"/>
        <v>0</v>
      </c>
      <c r="AF233" s="27">
        <f t="shared" si="49"/>
        <v>-198857341</v>
      </c>
      <c r="AG233" s="28" t="str">
        <f>VLOOKUP(Indicador!E620,[1]Diccionario!C$1:AC$150,27,0)</f>
        <v>https://growdatasas.sharepoint.com/:x:/r/sites/Gestiondocumental/Administrativa/GD/Financiera/_layouts/15/Doc.aspx?sourcedoc=%7BBD7E6B05-C8DF-4CE6-95B4-3ED6B2F351D2%7D&amp;file=MODELO%20FINANCIERO%20SUMINISTRO%20HCI%20CANCILLER%C3%8DA%20-%20GROW%20DATA%20-%20Consolidado.xlsm&amp;action=default&amp;mobileredirect=true</v>
      </c>
      <c r="AH233" s="28">
        <v>1</v>
      </c>
      <c r="AI233" s="28">
        <v>1</v>
      </c>
      <c r="AJ233" s="28"/>
      <c r="AK233" s="28"/>
    </row>
    <row r="234" spans="1:37" ht="18.75" customHeight="1" x14ac:dyDescent="0.25">
      <c r="A234" s="11">
        <v>2025</v>
      </c>
      <c r="B234" s="12" t="s">
        <v>52</v>
      </c>
      <c r="C234" s="15" t="s">
        <v>228</v>
      </c>
      <c r="D234" s="39">
        <v>45638.807590046294</v>
      </c>
      <c r="E234" s="59" t="s">
        <v>229</v>
      </c>
      <c r="F234" s="15" t="s">
        <v>140</v>
      </c>
      <c r="G234" s="15" t="s">
        <v>230</v>
      </c>
      <c r="H234" s="15" t="s">
        <v>231</v>
      </c>
      <c r="I234" s="15" t="s">
        <v>63</v>
      </c>
      <c r="J234" s="15" t="s">
        <v>232</v>
      </c>
      <c r="K234" s="15" t="s">
        <v>45</v>
      </c>
      <c r="L234" s="17">
        <f>VLOOKUP(E234,[1]Diccionario!C$2:AC$150,22,0)</f>
        <v>198857341</v>
      </c>
      <c r="M234" s="18">
        <f>VLOOKUP(E234,[1]Diccionario!C$2:AC$150,24,0)</f>
        <v>45931</v>
      </c>
      <c r="N234" s="19">
        <f>VLOOKUP(E234,[1]Diccionario!C$2:AC$150,25,0)</f>
        <v>46022</v>
      </c>
      <c r="O234" s="20">
        <f>VLOOKUP(E234,[1]Diccionario!C$2:AC$150,26,0)</f>
        <v>3</v>
      </c>
      <c r="P234" s="20">
        <f t="shared" ca="1" si="50"/>
        <v>3</v>
      </c>
      <c r="Q234" s="20">
        <f t="shared" ca="1" si="51"/>
        <v>6</v>
      </c>
      <c r="R234" s="15">
        <v>12</v>
      </c>
      <c r="S234" s="21"/>
      <c r="T234" s="21"/>
      <c r="U234" s="22"/>
      <c r="V234" s="24"/>
      <c r="W234" s="24">
        <f t="shared" si="40"/>
        <v>0</v>
      </c>
      <c r="X234" s="24">
        <f t="shared" si="41"/>
        <v>0</v>
      </c>
      <c r="Y234" s="24">
        <f t="shared" si="42"/>
        <v>0</v>
      </c>
      <c r="Z234" s="24">
        <f t="shared" si="43"/>
        <v>0</v>
      </c>
      <c r="AA234" s="25" t="str">
        <f t="shared" si="44"/>
        <v>No se realizó gasto en este corte</v>
      </c>
      <c r="AB234" s="26" t="str">
        <f t="shared" si="45"/>
        <v>Costo eficiente: se está gastando menos de lo presupuestado</v>
      </c>
      <c r="AC234" s="26">
        <f t="shared" si="46"/>
        <v>0</v>
      </c>
      <c r="AD234" s="26" t="str">
        <f t="shared" si="47"/>
        <v>Sin Línea Base</v>
      </c>
      <c r="AE234" s="27">
        <f t="shared" si="48"/>
        <v>0</v>
      </c>
      <c r="AF234" s="27">
        <f t="shared" si="49"/>
        <v>-198857341</v>
      </c>
      <c r="AG234" s="28" t="str">
        <f>VLOOKUP(Indicador!E621,[1]Diccionario!C$1:AC$150,27,0)</f>
        <v>https://growdatasas.sharepoint.com/:x:/r/sites/Gestiondocumental/Administrativa/GD/Financiera/_layouts/15/Doc.aspx?sourcedoc=%7BBD7E6B05-C8DF-4CE6-95B4-3ED6B2F351D2%7D&amp;file=MODELO%20FINANCIERO%20SUMINISTRO%20HCI%20CANCILLER%C3%8DA%20-%20GROW%20DATA%20-%20Consolidado.xlsm&amp;action=default&amp;mobileredirect=true</v>
      </c>
      <c r="AH234" s="28">
        <v>1</v>
      </c>
      <c r="AI234" s="28">
        <v>1</v>
      </c>
      <c r="AJ234" s="28"/>
      <c r="AK234" s="28"/>
    </row>
    <row r="235" spans="1:37" ht="18.75" customHeight="1" x14ac:dyDescent="0.25">
      <c r="A235" s="11">
        <v>2025</v>
      </c>
      <c r="B235" s="12" t="s">
        <v>53</v>
      </c>
      <c r="C235" s="15" t="s">
        <v>228</v>
      </c>
      <c r="D235" s="39">
        <v>45638.807590046294</v>
      </c>
      <c r="E235" s="59" t="s">
        <v>229</v>
      </c>
      <c r="F235" s="15" t="s">
        <v>140</v>
      </c>
      <c r="G235" s="15" t="s">
        <v>230</v>
      </c>
      <c r="H235" s="15" t="s">
        <v>231</v>
      </c>
      <c r="I235" s="15" t="s">
        <v>63</v>
      </c>
      <c r="J235" s="15" t="s">
        <v>232</v>
      </c>
      <c r="K235" s="15" t="s">
        <v>45</v>
      </c>
      <c r="L235" s="17">
        <f>VLOOKUP(E235,[1]Diccionario!C$2:AC$150,22,0)</f>
        <v>198857341</v>
      </c>
      <c r="M235" s="18">
        <f>VLOOKUP(E235,[1]Diccionario!C$2:AC$150,24,0)</f>
        <v>45931</v>
      </c>
      <c r="N235" s="19">
        <f>VLOOKUP(E235,[1]Diccionario!C$2:AC$150,25,0)</f>
        <v>46022</v>
      </c>
      <c r="O235" s="20">
        <f>VLOOKUP(E235,[1]Diccionario!C$2:AC$150,26,0)</f>
        <v>3</v>
      </c>
      <c r="P235" s="20">
        <f t="shared" ca="1" si="50"/>
        <v>3</v>
      </c>
      <c r="Q235" s="20">
        <f t="shared" ca="1" si="51"/>
        <v>6</v>
      </c>
      <c r="R235" s="15">
        <v>12</v>
      </c>
      <c r="S235" s="21"/>
      <c r="T235" s="21"/>
      <c r="U235" s="22"/>
      <c r="V235" s="24"/>
      <c r="W235" s="24">
        <f t="shared" si="40"/>
        <v>0</v>
      </c>
      <c r="X235" s="24">
        <f t="shared" si="41"/>
        <v>0</v>
      </c>
      <c r="Y235" s="24">
        <f t="shared" si="42"/>
        <v>0</v>
      </c>
      <c r="Z235" s="24">
        <f t="shared" si="43"/>
        <v>0</v>
      </c>
      <c r="AA235" s="25" t="str">
        <f t="shared" si="44"/>
        <v>No se realizó gasto en este corte</v>
      </c>
      <c r="AB235" s="26" t="str">
        <f t="shared" si="45"/>
        <v>Costo eficiente: se está gastando menos de lo presupuestado</v>
      </c>
      <c r="AC235" s="26">
        <f t="shared" si="46"/>
        <v>0</v>
      </c>
      <c r="AD235" s="26" t="str">
        <f t="shared" si="47"/>
        <v>Sin Línea Base</v>
      </c>
      <c r="AE235" s="27">
        <f t="shared" si="48"/>
        <v>0</v>
      </c>
      <c r="AF235" s="27">
        <f t="shared" si="49"/>
        <v>-198857341</v>
      </c>
      <c r="AG235" s="28" t="str">
        <f>VLOOKUP(Indicador!E622,[1]Diccionario!C$1:AC$150,27,0)</f>
        <v>https://growdatasas.sharepoint.com/:x:/r/sites/Gestiondocumental/Administrativa/GD/Financiera/_layouts/15/Doc.aspx?sourcedoc=%7BBD7E6B05-C8DF-4CE6-95B4-3ED6B2F351D2%7D&amp;file=MODELO%20FINANCIERO%20SUMINISTRO%20HCI%20CANCILLER%C3%8DA%20-%20GROW%20DATA%20-%20Consolidado.xlsm&amp;action=default&amp;mobileredirect=true</v>
      </c>
      <c r="AH235" s="28">
        <v>1</v>
      </c>
      <c r="AI235" s="28">
        <v>1</v>
      </c>
      <c r="AJ235" s="28"/>
      <c r="AK235" s="28"/>
    </row>
    <row r="236" spans="1:37" ht="18.75" customHeight="1" x14ac:dyDescent="0.25">
      <c r="A236" s="11">
        <v>2025</v>
      </c>
      <c r="B236" s="12" t="s">
        <v>54</v>
      </c>
      <c r="C236" s="15" t="s">
        <v>228</v>
      </c>
      <c r="D236" s="39">
        <v>45638.807590046294</v>
      </c>
      <c r="E236" s="59" t="s">
        <v>229</v>
      </c>
      <c r="F236" s="15" t="s">
        <v>140</v>
      </c>
      <c r="G236" s="15" t="s">
        <v>230</v>
      </c>
      <c r="H236" s="15" t="s">
        <v>231</v>
      </c>
      <c r="I236" s="15" t="s">
        <v>63</v>
      </c>
      <c r="J236" s="15" t="s">
        <v>232</v>
      </c>
      <c r="K236" s="15" t="s">
        <v>45</v>
      </c>
      <c r="L236" s="17">
        <f>VLOOKUP(E236,[1]Diccionario!C$2:AC$150,22,0)</f>
        <v>198857341</v>
      </c>
      <c r="M236" s="18">
        <f>VLOOKUP(E236,[1]Diccionario!C$2:AC$150,24,0)</f>
        <v>45931</v>
      </c>
      <c r="N236" s="19">
        <f>VLOOKUP(E236,[1]Diccionario!C$2:AC$150,25,0)</f>
        <v>46022</v>
      </c>
      <c r="O236" s="20">
        <f>VLOOKUP(E236,[1]Diccionario!C$2:AC$150,26,0)</f>
        <v>3</v>
      </c>
      <c r="P236" s="20">
        <f t="shared" ca="1" si="50"/>
        <v>3</v>
      </c>
      <c r="Q236" s="20">
        <f t="shared" ca="1" si="51"/>
        <v>6</v>
      </c>
      <c r="R236" s="15">
        <v>12</v>
      </c>
      <c r="S236" s="21"/>
      <c r="T236" s="21"/>
      <c r="U236" s="22"/>
      <c r="V236" s="24"/>
      <c r="W236" s="24">
        <f t="shared" si="40"/>
        <v>0</v>
      </c>
      <c r="X236" s="24">
        <f t="shared" si="41"/>
        <v>0</v>
      </c>
      <c r="Y236" s="24">
        <f t="shared" si="42"/>
        <v>0</v>
      </c>
      <c r="Z236" s="24">
        <f t="shared" si="43"/>
        <v>0</v>
      </c>
      <c r="AA236" s="25" t="str">
        <f t="shared" si="44"/>
        <v>No se realizó gasto en este corte</v>
      </c>
      <c r="AB236" s="26" t="str">
        <f t="shared" si="45"/>
        <v>Costo eficiente: se está gastando menos de lo presupuestado</v>
      </c>
      <c r="AC236" s="26">
        <f t="shared" si="46"/>
        <v>0</v>
      </c>
      <c r="AD236" s="26" t="str">
        <f t="shared" si="47"/>
        <v>Sin Línea Base</v>
      </c>
      <c r="AE236" s="27">
        <f t="shared" si="48"/>
        <v>0</v>
      </c>
      <c r="AF236" s="27">
        <f t="shared" si="49"/>
        <v>-198857341</v>
      </c>
      <c r="AG236" s="28" t="str">
        <f>VLOOKUP(Indicador!E623,[1]Diccionario!C$1:AC$150,27,0)</f>
        <v>https://growdatasas.sharepoint.com/:x:/r/sites/Gestiondocumental/Administrativa/GD/Financiera/_layouts/15/Doc.aspx?sourcedoc=%7BBD7E6B05-C8DF-4CE6-95B4-3ED6B2F351D2%7D&amp;file=MODELO%20FINANCIERO%20SUMINISTRO%20HCI%20CANCILLER%C3%8DA%20-%20GROW%20DATA%20-%20Consolidado.xlsm&amp;action=default&amp;mobileredirect=true</v>
      </c>
      <c r="AH236" s="28">
        <v>1</v>
      </c>
      <c r="AI236" s="28">
        <v>1</v>
      </c>
      <c r="AJ236" s="28"/>
      <c r="AK236" s="28"/>
    </row>
    <row r="237" spans="1:37" ht="18.75" customHeight="1" x14ac:dyDescent="0.25">
      <c r="A237" s="11">
        <v>2025</v>
      </c>
      <c r="B237" s="12" t="s">
        <v>55</v>
      </c>
      <c r="C237" s="15" t="s">
        <v>228</v>
      </c>
      <c r="D237" s="39">
        <v>45638.807590046294</v>
      </c>
      <c r="E237" s="59" t="s">
        <v>229</v>
      </c>
      <c r="F237" s="15" t="s">
        <v>140</v>
      </c>
      <c r="G237" s="15" t="s">
        <v>230</v>
      </c>
      <c r="H237" s="15" t="s">
        <v>231</v>
      </c>
      <c r="I237" s="15" t="s">
        <v>63</v>
      </c>
      <c r="J237" s="15" t="s">
        <v>232</v>
      </c>
      <c r="K237" s="15" t="s">
        <v>45</v>
      </c>
      <c r="L237" s="17">
        <f>VLOOKUP(E237,[1]Diccionario!C$2:AC$150,22,0)</f>
        <v>198857341</v>
      </c>
      <c r="M237" s="18">
        <f>VLOOKUP(E237,[1]Diccionario!C$2:AC$150,24,0)</f>
        <v>45931</v>
      </c>
      <c r="N237" s="19">
        <f>VLOOKUP(E237,[1]Diccionario!C$2:AC$150,25,0)</f>
        <v>46022</v>
      </c>
      <c r="O237" s="20">
        <f>VLOOKUP(E237,[1]Diccionario!C$2:AC$150,26,0)</f>
        <v>3</v>
      </c>
      <c r="P237" s="20">
        <f t="shared" ca="1" si="50"/>
        <v>3</v>
      </c>
      <c r="Q237" s="20">
        <f t="shared" ca="1" si="51"/>
        <v>6</v>
      </c>
      <c r="R237" s="15">
        <v>12</v>
      </c>
      <c r="S237" s="21"/>
      <c r="T237" s="21"/>
      <c r="U237" s="22"/>
      <c r="V237" s="24"/>
      <c r="W237" s="24">
        <f t="shared" si="40"/>
        <v>0</v>
      </c>
      <c r="X237" s="24">
        <f t="shared" si="41"/>
        <v>0</v>
      </c>
      <c r="Y237" s="24">
        <f t="shared" si="42"/>
        <v>0</v>
      </c>
      <c r="Z237" s="24">
        <f t="shared" si="43"/>
        <v>0</v>
      </c>
      <c r="AA237" s="25" t="str">
        <f t="shared" si="44"/>
        <v>No se realizó gasto en este corte</v>
      </c>
      <c r="AB237" s="26" t="str">
        <f t="shared" si="45"/>
        <v>Costo eficiente: se está gastando menos de lo presupuestado</v>
      </c>
      <c r="AC237" s="26">
        <f t="shared" si="46"/>
        <v>0</v>
      </c>
      <c r="AD237" s="26" t="str">
        <f t="shared" si="47"/>
        <v>Sin Línea Base</v>
      </c>
      <c r="AE237" s="27">
        <f t="shared" si="48"/>
        <v>0</v>
      </c>
      <c r="AF237" s="27">
        <f t="shared" si="49"/>
        <v>-198857341</v>
      </c>
      <c r="AG237" s="28" t="str">
        <f>VLOOKUP(Indicador!E624,[1]Diccionario!C$1:AC$150,27,0)</f>
        <v>https://growdatasas.sharepoint.com/:x:/r/sites/Gestiondocumental/Administrativa/GD/Financiera/_layouts/15/Doc.aspx?sourcedoc=%7BBD7E6B05-C8DF-4CE6-95B4-3ED6B2F351D2%7D&amp;file=MODELO%20FINANCIERO%20SUMINISTRO%20HCI%20CANCILLER%C3%8DA%20-%20GROW%20DATA%20-%20Consolidado.xlsm&amp;action=default&amp;mobileredirect=true</v>
      </c>
      <c r="AH237" s="28">
        <v>1</v>
      </c>
      <c r="AI237" s="28">
        <v>1</v>
      </c>
      <c r="AJ237" s="28"/>
      <c r="AK237" s="28"/>
    </row>
    <row r="238" spans="1:37" ht="18.75" customHeight="1" x14ac:dyDescent="0.25">
      <c r="A238" s="11">
        <v>2025</v>
      </c>
      <c r="B238" s="12" t="s">
        <v>56</v>
      </c>
      <c r="C238" s="15" t="s">
        <v>228</v>
      </c>
      <c r="D238" s="39">
        <v>45638.807590046294</v>
      </c>
      <c r="E238" s="59" t="s">
        <v>229</v>
      </c>
      <c r="F238" s="15" t="s">
        <v>140</v>
      </c>
      <c r="G238" s="15" t="s">
        <v>230</v>
      </c>
      <c r="H238" s="15" t="s">
        <v>231</v>
      </c>
      <c r="I238" s="15" t="s">
        <v>63</v>
      </c>
      <c r="J238" s="15" t="s">
        <v>232</v>
      </c>
      <c r="K238" s="15" t="s">
        <v>45</v>
      </c>
      <c r="L238" s="17">
        <f>VLOOKUP(E238,[1]Diccionario!C$2:AC$150,22,0)</f>
        <v>198857341</v>
      </c>
      <c r="M238" s="18">
        <f>VLOOKUP(E238,[1]Diccionario!C$2:AC$150,24,0)</f>
        <v>45931</v>
      </c>
      <c r="N238" s="19">
        <f>VLOOKUP(E238,[1]Diccionario!C$2:AC$150,25,0)</f>
        <v>46022</v>
      </c>
      <c r="O238" s="20">
        <f>VLOOKUP(E238,[1]Diccionario!C$2:AC$150,26,0)</f>
        <v>3</v>
      </c>
      <c r="P238" s="20">
        <f t="shared" ca="1" si="50"/>
        <v>3</v>
      </c>
      <c r="Q238" s="20">
        <f t="shared" ca="1" si="51"/>
        <v>6</v>
      </c>
      <c r="R238" s="15">
        <v>12</v>
      </c>
      <c r="S238" s="21"/>
      <c r="T238" s="21"/>
      <c r="U238" s="22"/>
      <c r="V238" s="24"/>
      <c r="W238" s="24">
        <f t="shared" si="40"/>
        <v>0</v>
      </c>
      <c r="X238" s="24">
        <f t="shared" si="41"/>
        <v>0</v>
      </c>
      <c r="Y238" s="24">
        <f t="shared" si="42"/>
        <v>0</v>
      </c>
      <c r="Z238" s="24">
        <f t="shared" si="43"/>
        <v>0</v>
      </c>
      <c r="AA238" s="25" t="str">
        <f t="shared" si="44"/>
        <v>No se realizó gasto en este corte</v>
      </c>
      <c r="AB238" s="26" t="str">
        <f t="shared" si="45"/>
        <v>Costo eficiente: se está gastando menos de lo presupuestado</v>
      </c>
      <c r="AC238" s="26">
        <f t="shared" si="46"/>
        <v>0</v>
      </c>
      <c r="AD238" s="26" t="str">
        <f t="shared" si="47"/>
        <v>Sin Línea Base</v>
      </c>
      <c r="AE238" s="27">
        <f t="shared" si="48"/>
        <v>0</v>
      </c>
      <c r="AF238" s="27">
        <f t="shared" si="49"/>
        <v>-198857341</v>
      </c>
      <c r="AG238" s="28" t="str">
        <f>VLOOKUP(Indicador!E625,[1]Diccionario!C$1:AC$150,27,0)</f>
        <v>https://growdatasas.sharepoint.com/:x:/r/sites/Gestiondocumental/Administrativa/GD/Financiera/_layouts/15/Doc.aspx?sourcedoc=%7BBD7E6B05-C8DF-4CE6-95B4-3ED6B2F351D2%7D&amp;file=MODELO%20FINANCIERO%20SUMINISTRO%20HCI%20CANCILLER%C3%8DA%20-%20GROW%20DATA%20-%20Consolidado.xlsm&amp;action=default&amp;mobileredirect=true</v>
      </c>
      <c r="AH238" s="28">
        <v>1</v>
      </c>
      <c r="AI238" s="28">
        <v>1</v>
      </c>
      <c r="AJ238" s="28"/>
      <c r="AK238" s="28"/>
    </row>
    <row r="239" spans="1:37" ht="18.75" customHeight="1" x14ac:dyDescent="0.25">
      <c r="A239" s="11">
        <v>2025</v>
      </c>
      <c r="B239" s="12" t="s">
        <v>57</v>
      </c>
      <c r="C239" s="15" t="s">
        <v>228</v>
      </c>
      <c r="D239" s="39">
        <v>45638.807590046294</v>
      </c>
      <c r="E239" s="59" t="s">
        <v>229</v>
      </c>
      <c r="F239" s="15" t="s">
        <v>140</v>
      </c>
      <c r="G239" s="15" t="s">
        <v>230</v>
      </c>
      <c r="H239" s="15" t="s">
        <v>231</v>
      </c>
      <c r="I239" s="15" t="s">
        <v>63</v>
      </c>
      <c r="J239" s="15" t="s">
        <v>232</v>
      </c>
      <c r="K239" s="15" t="s">
        <v>45</v>
      </c>
      <c r="L239" s="17">
        <f>VLOOKUP(E239,[1]Diccionario!C$2:AC$150,22,0)</f>
        <v>198857341</v>
      </c>
      <c r="M239" s="18">
        <f>VLOOKUP(E239,[1]Diccionario!C$2:AC$150,24,0)</f>
        <v>45931</v>
      </c>
      <c r="N239" s="19">
        <f>VLOOKUP(E239,[1]Diccionario!C$2:AC$150,25,0)</f>
        <v>46022</v>
      </c>
      <c r="O239" s="20">
        <f>VLOOKUP(E239,[1]Diccionario!C$2:AC$150,26,0)</f>
        <v>3</v>
      </c>
      <c r="P239" s="20">
        <f t="shared" ca="1" si="50"/>
        <v>3</v>
      </c>
      <c r="Q239" s="20">
        <f t="shared" ca="1" si="51"/>
        <v>6</v>
      </c>
      <c r="R239" s="15">
        <v>12</v>
      </c>
      <c r="S239" s="21"/>
      <c r="T239" s="21"/>
      <c r="U239" s="22"/>
      <c r="V239" s="24"/>
      <c r="W239" s="24">
        <f t="shared" si="40"/>
        <v>0</v>
      </c>
      <c r="X239" s="24">
        <f t="shared" si="41"/>
        <v>0</v>
      </c>
      <c r="Y239" s="24">
        <f t="shared" si="42"/>
        <v>0</v>
      </c>
      <c r="Z239" s="24">
        <f t="shared" si="43"/>
        <v>0</v>
      </c>
      <c r="AA239" s="25" t="str">
        <f t="shared" si="44"/>
        <v>No se realizó gasto en este corte</v>
      </c>
      <c r="AB239" s="26" t="str">
        <f t="shared" si="45"/>
        <v>Costo eficiente: se está gastando menos de lo presupuestado</v>
      </c>
      <c r="AC239" s="26">
        <f t="shared" si="46"/>
        <v>0</v>
      </c>
      <c r="AD239" s="26" t="str">
        <f t="shared" si="47"/>
        <v>Sin Línea Base</v>
      </c>
      <c r="AE239" s="27">
        <f t="shared" si="48"/>
        <v>0</v>
      </c>
      <c r="AF239" s="27">
        <f t="shared" si="49"/>
        <v>-198857341</v>
      </c>
      <c r="AG239" s="28" t="str">
        <f>VLOOKUP(Indicador!E626,[1]Diccionario!C$1:AC$150,27,0)</f>
        <v>https://growdatasas.sharepoint.com/:x:/r/sites/Gestiondocumental/Administrativa/GD/Financiera/_layouts/15/Doc.aspx?sourcedoc=%7BBD7E6B05-C8DF-4CE6-95B4-3ED6B2F351D2%7D&amp;file=MODELO%20FINANCIERO%20SUMINISTRO%20HCI%20CANCILLER%C3%8DA%20-%20GROW%20DATA%20-%20Consolidado.xlsm&amp;action=default&amp;mobileredirect=true</v>
      </c>
      <c r="AH239" s="28">
        <v>1</v>
      </c>
      <c r="AI239" s="28">
        <v>1</v>
      </c>
      <c r="AJ239" s="28"/>
      <c r="AK239" s="28"/>
    </row>
    <row r="240" spans="1:37" ht="18.75" customHeight="1" x14ac:dyDescent="0.25">
      <c r="A240" s="11">
        <v>2024</v>
      </c>
      <c r="B240" s="12" t="s">
        <v>57</v>
      </c>
      <c r="C240" s="15" t="s">
        <v>233</v>
      </c>
      <c r="D240" s="39">
        <v>45644.888087002313</v>
      </c>
      <c r="E240" s="15" t="s">
        <v>234</v>
      </c>
      <c r="F240" s="15" t="s">
        <v>95</v>
      </c>
      <c r="G240" s="15" t="s">
        <v>235</v>
      </c>
      <c r="H240" s="15" t="s">
        <v>236</v>
      </c>
      <c r="I240" s="15" t="s">
        <v>78</v>
      </c>
      <c r="J240" s="15" t="s">
        <v>237</v>
      </c>
      <c r="K240" s="15" t="s">
        <v>80</v>
      </c>
      <c r="L240" s="17">
        <f>VLOOKUP(E240,[1]Diccionario!C$2:AC$150,22,0)</f>
        <v>55501215</v>
      </c>
      <c r="M240" s="18">
        <f>VLOOKUP(E240,[1]Diccionario!C$2:AC$150,24,0)</f>
        <v>45642</v>
      </c>
      <c r="N240" s="19">
        <f>VLOOKUP(E240,[1]Diccionario!C$2:AC$150,25,0)</f>
        <v>45657</v>
      </c>
      <c r="O240" s="20">
        <f>VLOOKUP(E240,[1]Diccionario!C$2:AC$150,26,0)</f>
        <v>0.5</v>
      </c>
      <c r="P240" s="20">
        <f t="shared" si="50"/>
        <v>0.5</v>
      </c>
      <c r="Q240" s="20">
        <v>1</v>
      </c>
      <c r="R240" s="15">
        <v>1</v>
      </c>
      <c r="S240" s="21">
        <v>1</v>
      </c>
      <c r="T240" s="21">
        <v>0.5</v>
      </c>
      <c r="U240" s="22"/>
      <c r="V240" s="24"/>
      <c r="W240" s="24">
        <f t="shared" si="40"/>
        <v>27750607.5</v>
      </c>
      <c r="X240" s="24">
        <f t="shared" si="41"/>
        <v>55501215</v>
      </c>
      <c r="Y240" s="24">
        <f t="shared" si="42"/>
        <v>27750607.5</v>
      </c>
      <c r="Z240" s="24">
        <f t="shared" si="43"/>
        <v>-27750607.5</v>
      </c>
      <c r="AA240" s="25" t="str">
        <f t="shared" si="44"/>
        <v>No se realizó gasto en este corte</v>
      </c>
      <c r="AB240" s="26" t="str">
        <f t="shared" si="45"/>
        <v>Costo eficiente: se está gastando menos de lo presupuestado</v>
      </c>
      <c r="AC240" s="26">
        <f t="shared" si="46"/>
        <v>0.5</v>
      </c>
      <c r="AD240" s="26" t="str">
        <f t="shared" si="47"/>
        <v>Proyecto atrasado con respecto al cronograma</v>
      </c>
      <c r="AE240" s="27">
        <f t="shared" si="48"/>
        <v>0</v>
      </c>
      <c r="AF240" s="27">
        <f t="shared" si="49"/>
        <v>-55501215</v>
      </c>
      <c r="AG240" s="28" t="str">
        <f>VLOOKUP(Indicador!E256,[1]Diccionario!C$1:AC$150,27,0)</f>
        <v>https://growdatasas.sharepoint.com/:x:/r/sites/Gestiondocumental/Administrativa/GD/Financiera/_layouts/15/Doc.aspx?sourcedoc=%7B74DBEC6A-69C6-4C69-8B83-8B465ADA35AB%7D&amp;file=Modelo%20Cortolima%20%20V2.xlsm&amp;action=default&amp;mobileredirect=true</v>
      </c>
      <c r="AH240" s="28">
        <v>1</v>
      </c>
      <c r="AI240" s="28">
        <v>1</v>
      </c>
      <c r="AJ240" s="28"/>
      <c r="AK240" s="28"/>
    </row>
    <row r="241" spans="1:37" ht="18.75" customHeight="1" x14ac:dyDescent="0.25">
      <c r="A241" s="11">
        <v>2025</v>
      </c>
      <c r="B241" s="12" t="s">
        <v>37</v>
      </c>
      <c r="C241" s="15" t="s">
        <v>233</v>
      </c>
      <c r="D241" s="39">
        <v>45644.888087002313</v>
      </c>
      <c r="E241" s="15" t="s">
        <v>234</v>
      </c>
      <c r="F241" s="15" t="s">
        <v>95</v>
      </c>
      <c r="G241" s="15" t="s">
        <v>235</v>
      </c>
      <c r="H241" s="15" t="s">
        <v>236</v>
      </c>
      <c r="I241" s="15" t="s">
        <v>78</v>
      </c>
      <c r="J241" s="15" t="s">
        <v>237</v>
      </c>
      <c r="K241" s="15" t="s">
        <v>80</v>
      </c>
      <c r="L241" s="17">
        <f>VLOOKUP(E241,[1]Diccionario!C$2:AC$150,22,0)</f>
        <v>55501215</v>
      </c>
      <c r="M241" s="18">
        <f>VLOOKUP(E241,[1]Diccionario!C$2:AC$150,24,0)</f>
        <v>45642</v>
      </c>
      <c r="N241" s="19">
        <f>VLOOKUP(E241,[1]Diccionario!C$2:AC$150,25,0)</f>
        <v>45657</v>
      </c>
      <c r="O241" s="20">
        <f>VLOOKUP(E241,[1]Diccionario!C$2:AC$150,26,0)</f>
        <v>0.5</v>
      </c>
      <c r="P241" s="20">
        <f t="shared" si="50"/>
        <v>1.5</v>
      </c>
      <c r="Q241" s="20">
        <v>2</v>
      </c>
      <c r="R241" s="15">
        <v>1</v>
      </c>
      <c r="S241" s="21">
        <v>1</v>
      </c>
      <c r="T241" s="21">
        <v>1</v>
      </c>
      <c r="U241" s="22"/>
      <c r="V241" s="24"/>
      <c r="W241" s="24">
        <f t="shared" si="40"/>
        <v>55501215</v>
      </c>
      <c r="X241" s="24">
        <f t="shared" si="41"/>
        <v>55501215</v>
      </c>
      <c r="Y241" s="24">
        <f t="shared" si="42"/>
        <v>55501215</v>
      </c>
      <c r="Z241" s="24">
        <f t="shared" si="43"/>
        <v>0</v>
      </c>
      <c r="AA241" s="25" t="str">
        <f t="shared" si="44"/>
        <v>No se realizó gasto en este corte</v>
      </c>
      <c r="AB241" s="26" t="str">
        <f t="shared" si="45"/>
        <v>Costo eficiente: se está gastando menos de lo presupuestado</v>
      </c>
      <c r="AC241" s="26">
        <f t="shared" si="46"/>
        <v>1</v>
      </c>
      <c r="AD241" s="26" t="str">
        <f t="shared" si="47"/>
        <v>Proyecto a tiempo según lo planificado</v>
      </c>
      <c r="AE241" s="27">
        <f t="shared" si="48"/>
        <v>0</v>
      </c>
      <c r="AF241" s="27">
        <f t="shared" si="49"/>
        <v>-55501215</v>
      </c>
      <c r="AG241" s="28" t="str">
        <f>VLOOKUP(Indicador!E257,[1]Diccionario!C$1:AC$150,27,0)</f>
        <v>https://growdatasas.sharepoint.com/:x:/r/sites/Gestiondocumental/Administrativa/GD/Financiera/_layouts/15/Doc.aspx?sourcedoc=%7B74DBEC6A-69C6-4C69-8B83-8B465ADA35AB%7D&amp;file=Modelo%20Cortolima%20%20V2.xlsm&amp;action=default&amp;mobileredirect=true</v>
      </c>
      <c r="AH241" s="28">
        <v>1</v>
      </c>
      <c r="AI241" s="28">
        <v>1</v>
      </c>
      <c r="AJ241" s="28"/>
      <c r="AK241" s="28"/>
    </row>
    <row r="242" spans="1:37" ht="18.75" customHeight="1" x14ac:dyDescent="0.25">
      <c r="A242" s="11">
        <v>2024</v>
      </c>
      <c r="B242" s="12" t="s">
        <v>57</v>
      </c>
      <c r="C242" s="15" t="s">
        <v>238</v>
      </c>
      <c r="D242" s="39">
        <v>45656.606922488427</v>
      </c>
      <c r="E242" s="15" t="s">
        <v>239</v>
      </c>
      <c r="F242" s="15" t="s">
        <v>240</v>
      </c>
      <c r="G242" s="15" t="s">
        <v>241</v>
      </c>
      <c r="H242" s="15" t="s">
        <v>242</v>
      </c>
      <c r="I242" s="15" t="s">
        <v>63</v>
      </c>
      <c r="J242" s="15" t="s">
        <v>243</v>
      </c>
      <c r="K242" s="15" t="s">
        <v>45</v>
      </c>
      <c r="L242" s="17">
        <f>VLOOKUP(E242,[1]Diccionario!C$2:AC$150,22,0)</f>
        <v>3399664692</v>
      </c>
      <c r="M242" s="18">
        <f>VLOOKUP(E242,[1]Diccionario!C$2:AC$150,24,0)</f>
        <v>45652</v>
      </c>
      <c r="N242" s="19">
        <f>VLOOKUP(E242,[1]Diccionario!C$2:AC$150,25,0)</f>
        <v>45925</v>
      </c>
      <c r="O242" s="20">
        <f>VLOOKUP(E242,[1]Diccionario!C$2:AC$150,26,0)</f>
        <v>8.9700000000000006</v>
      </c>
      <c r="P242" s="20">
        <f t="shared" si="50"/>
        <v>-7.9700000000000006</v>
      </c>
      <c r="Q242" s="20">
        <v>1</v>
      </c>
      <c r="R242" s="15">
        <v>10</v>
      </c>
      <c r="S242" s="21">
        <v>0.1</v>
      </c>
      <c r="T242" s="21">
        <v>0.1</v>
      </c>
      <c r="U242" s="22"/>
      <c r="V242" s="24"/>
      <c r="W242" s="24">
        <f t="shared" si="40"/>
        <v>339966469.20000005</v>
      </c>
      <c r="X242" s="24">
        <f t="shared" si="41"/>
        <v>339966469.20000005</v>
      </c>
      <c r="Y242" s="24">
        <f t="shared" si="42"/>
        <v>339966469.20000005</v>
      </c>
      <c r="Z242" s="24">
        <f t="shared" si="43"/>
        <v>0</v>
      </c>
      <c r="AA242" s="25" t="str">
        <f t="shared" si="44"/>
        <v>No se realizó gasto en este corte</v>
      </c>
      <c r="AB242" s="26" t="str">
        <f t="shared" si="45"/>
        <v>Costo eficiente: se está gastando menos de lo presupuestado</v>
      </c>
      <c r="AC242" s="26">
        <f t="shared" si="46"/>
        <v>1</v>
      </c>
      <c r="AD242" s="26" t="str">
        <f t="shared" si="47"/>
        <v>Proyecto a tiempo según lo planificado</v>
      </c>
      <c r="AE242" s="27">
        <f t="shared" si="48"/>
        <v>0</v>
      </c>
      <c r="AF242" s="27">
        <f t="shared" si="49"/>
        <v>-3399664692</v>
      </c>
      <c r="AG242" s="28" t="str">
        <f>VLOOKUP(Indicador!E258,[1]Diccionario!C$1:AC$150,27,0)</f>
        <v>https://growdatasas.sharepoint.com/:x:/r/sites/Gestiondocumental/Administrativa/GD/Financiera/_layouts/15/Doc.aspx?sourcedoc=%7B74DBEC6A-69C6-4C69-8B83-8B465ADA35AB%7D&amp;file=Modelo%20Cortolima%20%20V2.xlsm&amp;action=default&amp;mobileredirect=true</v>
      </c>
      <c r="AH242" s="28">
        <v>1</v>
      </c>
      <c r="AI242" s="28">
        <v>1</v>
      </c>
      <c r="AJ242" s="28"/>
      <c r="AK242" s="28"/>
    </row>
    <row r="243" spans="1:37" ht="18.75" customHeight="1" x14ac:dyDescent="0.25">
      <c r="A243" s="11">
        <v>2025</v>
      </c>
      <c r="B243" s="12" t="s">
        <v>37</v>
      </c>
      <c r="C243" s="15" t="s">
        <v>238</v>
      </c>
      <c r="D243" s="39">
        <v>45656.606922488427</v>
      </c>
      <c r="E243" s="15" t="s">
        <v>239</v>
      </c>
      <c r="F243" s="15" t="s">
        <v>240</v>
      </c>
      <c r="G243" s="15" t="s">
        <v>241</v>
      </c>
      <c r="H243" s="15" t="s">
        <v>242</v>
      </c>
      <c r="I243" s="15" t="s">
        <v>63</v>
      </c>
      <c r="J243" s="15" t="s">
        <v>243</v>
      </c>
      <c r="K243" s="15" t="s">
        <v>45</v>
      </c>
      <c r="L243" s="17">
        <f>VLOOKUP(E243,[1]Diccionario!C$2:AC$150,22,0)</f>
        <v>3399664692</v>
      </c>
      <c r="M243" s="18">
        <f>VLOOKUP(E243,[1]Diccionario!C$2:AC$150,24,0)</f>
        <v>45652</v>
      </c>
      <c r="N243" s="19">
        <f>VLOOKUP(E243,[1]Diccionario!C$2:AC$150,25,0)</f>
        <v>45925</v>
      </c>
      <c r="O243" s="20">
        <f>VLOOKUP(E243,[1]Diccionario!C$2:AC$150,26,0)</f>
        <v>8.9700000000000006</v>
      </c>
      <c r="P243" s="20">
        <f t="shared" si="50"/>
        <v>-6.9700000000000006</v>
      </c>
      <c r="Q243" s="20">
        <v>2</v>
      </c>
      <c r="R243" s="15">
        <v>10</v>
      </c>
      <c r="S243" s="21">
        <v>0.2</v>
      </c>
      <c r="T243" s="21">
        <v>0.2</v>
      </c>
      <c r="U243" s="22"/>
      <c r="V243" s="24"/>
      <c r="W243" s="24">
        <f t="shared" si="40"/>
        <v>679932938.4000001</v>
      </c>
      <c r="X243" s="24">
        <f t="shared" si="41"/>
        <v>679932938.4000001</v>
      </c>
      <c r="Y243" s="24">
        <f t="shared" si="42"/>
        <v>679932938.4000001</v>
      </c>
      <c r="Z243" s="24">
        <f t="shared" si="43"/>
        <v>0</v>
      </c>
      <c r="AA243" s="25" t="str">
        <f t="shared" si="44"/>
        <v>No se realizó gasto en este corte</v>
      </c>
      <c r="AB243" s="26" t="str">
        <f t="shared" si="45"/>
        <v>Costo eficiente: se está gastando menos de lo presupuestado</v>
      </c>
      <c r="AC243" s="26">
        <f t="shared" si="46"/>
        <v>1</v>
      </c>
      <c r="AD243" s="26" t="str">
        <f t="shared" si="47"/>
        <v>Proyecto a tiempo según lo planificado</v>
      </c>
      <c r="AE243" s="27">
        <f t="shared" si="48"/>
        <v>0</v>
      </c>
      <c r="AF243" s="27">
        <f t="shared" si="49"/>
        <v>-3399664692</v>
      </c>
      <c r="AG243" s="28" t="str">
        <f>VLOOKUP(Indicador!E259,[1]Diccionario!C$1:AC$150,27,0)</f>
        <v>https://growdatasas.sharepoint.com/:x:/r/sites/Gestiondocumental/Administrativa/GD/Financiera/_layouts/15/Doc.aspx?sourcedoc=%7B74DBEC6A-69C6-4C69-8B83-8B465ADA35AB%7D&amp;file=Modelo%20Cortolima%20%20V2.xlsm&amp;action=default&amp;mobileredirect=true</v>
      </c>
      <c r="AH243" s="28">
        <v>1</v>
      </c>
      <c r="AI243" s="28">
        <v>1</v>
      </c>
      <c r="AJ243" s="28"/>
      <c r="AK243" s="28"/>
    </row>
    <row r="244" spans="1:37" ht="18.75" customHeight="1" x14ac:dyDescent="0.25">
      <c r="A244" s="11">
        <v>2025</v>
      </c>
      <c r="B244" s="12" t="s">
        <v>47</v>
      </c>
      <c r="C244" s="15" t="s">
        <v>238</v>
      </c>
      <c r="D244" s="39">
        <v>45656.606922488427</v>
      </c>
      <c r="E244" s="15" t="s">
        <v>239</v>
      </c>
      <c r="F244" s="15" t="s">
        <v>240</v>
      </c>
      <c r="G244" s="15" t="s">
        <v>241</v>
      </c>
      <c r="H244" s="15" t="s">
        <v>242</v>
      </c>
      <c r="I244" s="15" t="s">
        <v>63</v>
      </c>
      <c r="J244" s="15" t="s">
        <v>243</v>
      </c>
      <c r="K244" s="15" t="s">
        <v>45</v>
      </c>
      <c r="L244" s="17">
        <f>VLOOKUP(E244,[1]Diccionario!C$2:AC$150,22,0)</f>
        <v>3399664692</v>
      </c>
      <c r="M244" s="18">
        <f>VLOOKUP(E244,[1]Diccionario!C$2:AC$150,24,0)</f>
        <v>45652</v>
      </c>
      <c r="N244" s="19">
        <f>VLOOKUP(E244,[1]Diccionario!C$2:AC$150,25,0)</f>
        <v>45925</v>
      </c>
      <c r="O244" s="20">
        <f>VLOOKUP(E244,[1]Diccionario!C$2:AC$150,26,0)</f>
        <v>8.9700000000000006</v>
      </c>
      <c r="P244" s="20">
        <f t="shared" si="50"/>
        <v>-5.9700000000000006</v>
      </c>
      <c r="Q244" s="20">
        <v>3</v>
      </c>
      <c r="R244" s="15">
        <v>10</v>
      </c>
      <c r="S244" s="21">
        <v>0.3</v>
      </c>
      <c r="T244" s="21">
        <v>0.3</v>
      </c>
      <c r="U244" s="22"/>
      <c r="V244" s="24"/>
      <c r="W244" s="24">
        <f t="shared" si="40"/>
        <v>1019899407.5999999</v>
      </c>
      <c r="X244" s="24">
        <f t="shared" si="41"/>
        <v>1019899407.5999999</v>
      </c>
      <c r="Y244" s="24">
        <f t="shared" si="42"/>
        <v>1019899407.5999999</v>
      </c>
      <c r="Z244" s="24">
        <f t="shared" si="43"/>
        <v>0</v>
      </c>
      <c r="AA244" s="25" t="str">
        <f t="shared" si="44"/>
        <v>No se realizó gasto en este corte</v>
      </c>
      <c r="AB244" s="26" t="str">
        <f t="shared" si="45"/>
        <v>Costo eficiente: se está gastando menos de lo presupuestado</v>
      </c>
      <c r="AC244" s="26">
        <f t="shared" si="46"/>
        <v>1</v>
      </c>
      <c r="AD244" s="26" t="str">
        <f t="shared" si="47"/>
        <v>Proyecto a tiempo según lo planificado</v>
      </c>
      <c r="AE244" s="27">
        <f t="shared" si="48"/>
        <v>0</v>
      </c>
      <c r="AF244" s="27">
        <f t="shared" si="49"/>
        <v>-3399664692</v>
      </c>
      <c r="AG244" s="28" t="str">
        <f>VLOOKUP(Indicador!E260,[1]Diccionario!C$1:AC$150,27,0)</f>
        <v>https://growdatasas.sharepoint.com/:x:/r/sites/Gestiondocumental/Administrativa/GD/Financiera/_layouts/15/Doc.aspx?sourcedoc=%7B74DBEC6A-69C6-4C69-8B83-8B465ADA35AB%7D&amp;file=Modelo%20Cortolima%20%20V2.xlsm&amp;action=default&amp;mobileredirect=true</v>
      </c>
      <c r="AH244" s="28">
        <v>1</v>
      </c>
      <c r="AI244" s="28">
        <v>1</v>
      </c>
      <c r="AJ244" s="28"/>
      <c r="AK244" s="28"/>
    </row>
    <row r="245" spans="1:37" ht="18.75" customHeight="1" x14ac:dyDescent="0.25">
      <c r="A245" s="11">
        <v>2025</v>
      </c>
      <c r="B245" s="12" t="s">
        <v>48</v>
      </c>
      <c r="C245" s="15" t="s">
        <v>238</v>
      </c>
      <c r="D245" s="39">
        <v>45656.606922488427</v>
      </c>
      <c r="E245" s="15" t="s">
        <v>239</v>
      </c>
      <c r="F245" s="15" t="s">
        <v>240</v>
      </c>
      <c r="G245" s="15" t="s">
        <v>241</v>
      </c>
      <c r="H245" s="15" t="s">
        <v>242</v>
      </c>
      <c r="I245" s="15" t="s">
        <v>63</v>
      </c>
      <c r="J245" s="15" t="s">
        <v>243</v>
      </c>
      <c r="K245" s="15" t="s">
        <v>45</v>
      </c>
      <c r="L245" s="17">
        <f>VLOOKUP(E245,[1]Diccionario!C$2:AC$150,22,0)</f>
        <v>3399664692</v>
      </c>
      <c r="M245" s="18">
        <f>VLOOKUP(E245,[1]Diccionario!C$2:AC$150,24,0)</f>
        <v>45652</v>
      </c>
      <c r="N245" s="19">
        <f>VLOOKUP(E245,[1]Diccionario!C$2:AC$150,25,0)</f>
        <v>45925</v>
      </c>
      <c r="O245" s="20">
        <f>VLOOKUP(E245,[1]Diccionario!C$2:AC$150,26,0)</f>
        <v>8.9700000000000006</v>
      </c>
      <c r="P245" s="20">
        <f t="shared" si="50"/>
        <v>-4.9700000000000006</v>
      </c>
      <c r="Q245" s="20">
        <v>4</v>
      </c>
      <c r="R245" s="15">
        <v>10</v>
      </c>
      <c r="S245" s="21">
        <v>0.4</v>
      </c>
      <c r="T245" s="21">
        <v>0.4</v>
      </c>
      <c r="U245" s="22"/>
      <c r="V245" s="24"/>
      <c r="W245" s="24">
        <f t="shared" si="40"/>
        <v>1359865876.8000002</v>
      </c>
      <c r="X245" s="24">
        <f t="shared" si="41"/>
        <v>1359865876.8000002</v>
      </c>
      <c r="Y245" s="24">
        <f t="shared" si="42"/>
        <v>1359865876.8000002</v>
      </c>
      <c r="Z245" s="24">
        <f t="shared" si="43"/>
        <v>0</v>
      </c>
      <c r="AA245" s="25" t="str">
        <f t="shared" si="44"/>
        <v>No se realizó gasto en este corte</v>
      </c>
      <c r="AB245" s="26" t="str">
        <f t="shared" si="45"/>
        <v>Costo eficiente: se está gastando menos de lo presupuestado</v>
      </c>
      <c r="AC245" s="26">
        <f t="shared" si="46"/>
        <v>1</v>
      </c>
      <c r="AD245" s="26" t="str">
        <f t="shared" si="47"/>
        <v>Proyecto a tiempo según lo planificado</v>
      </c>
      <c r="AE245" s="27">
        <f t="shared" si="48"/>
        <v>0</v>
      </c>
      <c r="AF245" s="27">
        <f t="shared" si="49"/>
        <v>-3399664692</v>
      </c>
      <c r="AG245" s="28" t="str">
        <f>VLOOKUP(Indicador!E261,[1]Diccionario!C$1:AC$150,27,0)</f>
        <v>https://growdatasas.sharepoint.com/:x:/r/sites/Gestiondocumental/Administrativa/GD/Financiera/_layouts/15/Doc.aspx?sourcedoc=%7B74DBEC6A-69C6-4C69-8B83-8B465ADA35AB%7D&amp;file=Modelo%20Cortolima%20%20V2.xlsm&amp;action=default&amp;mobileredirect=true</v>
      </c>
      <c r="AH245" s="28">
        <v>1</v>
      </c>
      <c r="AI245" s="28">
        <v>1</v>
      </c>
      <c r="AJ245" s="28"/>
      <c r="AK245" s="28"/>
    </row>
    <row r="246" spans="1:37" ht="18.75" customHeight="1" x14ac:dyDescent="0.25">
      <c r="A246" s="11">
        <v>2025</v>
      </c>
      <c r="B246" s="12" t="s">
        <v>49</v>
      </c>
      <c r="C246" s="15" t="s">
        <v>238</v>
      </c>
      <c r="D246" s="39">
        <v>45656.606922488427</v>
      </c>
      <c r="E246" s="15" t="s">
        <v>239</v>
      </c>
      <c r="F246" s="15" t="s">
        <v>240</v>
      </c>
      <c r="G246" s="15" t="s">
        <v>241</v>
      </c>
      <c r="H246" s="15" t="s">
        <v>242</v>
      </c>
      <c r="I246" s="15" t="s">
        <v>63</v>
      </c>
      <c r="J246" s="15" t="s">
        <v>243</v>
      </c>
      <c r="K246" s="15" t="s">
        <v>45</v>
      </c>
      <c r="L246" s="17">
        <f>VLOOKUP(E246,[1]Diccionario!C$2:AC$150,22,0)</f>
        <v>3399664692</v>
      </c>
      <c r="M246" s="18">
        <f>VLOOKUP(E246,[1]Diccionario!C$2:AC$150,24,0)</f>
        <v>45652</v>
      </c>
      <c r="N246" s="19">
        <f>VLOOKUP(E246,[1]Diccionario!C$2:AC$150,25,0)</f>
        <v>45925</v>
      </c>
      <c r="O246" s="20">
        <f>VLOOKUP(E246,[1]Diccionario!C$2:AC$150,26,0)</f>
        <v>8.9700000000000006</v>
      </c>
      <c r="P246" s="20">
        <f t="shared" si="50"/>
        <v>-3.9700000000000006</v>
      </c>
      <c r="Q246" s="20">
        <v>5</v>
      </c>
      <c r="R246" s="15">
        <v>10</v>
      </c>
      <c r="S246" s="21">
        <v>0.5</v>
      </c>
      <c r="T246" s="21">
        <v>0.5</v>
      </c>
      <c r="U246" s="22"/>
      <c r="V246" s="24"/>
      <c r="W246" s="24">
        <f t="shared" si="40"/>
        <v>1699832346</v>
      </c>
      <c r="X246" s="24">
        <f t="shared" si="41"/>
        <v>1699832346</v>
      </c>
      <c r="Y246" s="24">
        <f t="shared" si="42"/>
        <v>1699832346</v>
      </c>
      <c r="Z246" s="24">
        <f t="shared" si="43"/>
        <v>0</v>
      </c>
      <c r="AA246" s="25" t="str">
        <f t="shared" si="44"/>
        <v>No se realizó gasto en este corte</v>
      </c>
      <c r="AB246" s="26" t="str">
        <f t="shared" si="45"/>
        <v>Costo eficiente: se está gastando menos de lo presupuestado</v>
      </c>
      <c r="AC246" s="26">
        <f t="shared" si="46"/>
        <v>1</v>
      </c>
      <c r="AD246" s="26" t="str">
        <f t="shared" si="47"/>
        <v>Proyecto a tiempo según lo planificado</v>
      </c>
      <c r="AE246" s="27">
        <f t="shared" si="48"/>
        <v>0</v>
      </c>
      <c r="AF246" s="27">
        <f t="shared" si="49"/>
        <v>-3399664692</v>
      </c>
      <c r="AG246" s="28" t="str">
        <f>VLOOKUP(Indicador!E262,[1]Diccionario!C$1:AC$150,27,0)</f>
        <v>https://growdatasas.sharepoint.com/:x:/r/sites/Gestiondocumental/Administrativa/GD/Financiera/_layouts/15/Doc.aspx?sourcedoc=%7B74DBEC6A-69C6-4C69-8B83-8B465ADA35AB%7D&amp;file=Modelo%20Cortolima%20%20V2.xlsm&amp;action=default&amp;mobileredirect=true</v>
      </c>
      <c r="AH246" s="28">
        <v>1</v>
      </c>
      <c r="AI246" s="28">
        <v>1</v>
      </c>
      <c r="AJ246" s="28"/>
      <c r="AK246" s="28"/>
    </row>
    <row r="247" spans="1:37" ht="18.75" customHeight="1" x14ac:dyDescent="0.25">
      <c r="A247" s="11">
        <v>2025</v>
      </c>
      <c r="B247" s="12" t="s">
        <v>50</v>
      </c>
      <c r="C247" s="15" t="s">
        <v>238</v>
      </c>
      <c r="D247" s="39">
        <v>45656.606922488427</v>
      </c>
      <c r="E247" s="15" t="s">
        <v>239</v>
      </c>
      <c r="F247" s="15" t="s">
        <v>240</v>
      </c>
      <c r="G247" s="15" t="s">
        <v>241</v>
      </c>
      <c r="H247" s="15" t="s">
        <v>242</v>
      </c>
      <c r="I247" s="15" t="s">
        <v>63</v>
      </c>
      <c r="J247" s="15" t="s">
        <v>243</v>
      </c>
      <c r="K247" s="15" t="s">
        <v>45</v>
      </c>
      <c r="L247" s="17">
        <f>VLOOKUP(E247,[1]Diccionario!C$2:AC$150,22,0)</f>
        <v>3399664692</v>
      </c>
      <c r="M247" s="18">
        <f>VLOOKUP(E247,[1]Diccionario!C$2:AC$150,24,0)</f>
        <v>45652</v>
      </c>
      <c r="N247" s="19">
        <f>VLOOKUP(E247,[1]Diccionario!C$2:AC$150,25,0)</f>
        <v>45925</v>
      </c>
      <c r="O247" s="20">
        <f>VLOOKUP(E247,[1]Diccionario!C$2:AC$150,26,0)</f>
        <v>8.9700000000000006</v>
      </c>
      <c r="P247" s="20">
        <f t="shared" si="50"/>
        <v>-2.9700000000000006</v>
      </c>
      <c r="Q247" s="20">
        <v>6</v>
      </c>
      <c r="R247" s="15">
        <v>10</v>
      </c>
      <c r="S247" s="21">
        <v>0.6</v>
      </c>
      <c r="T247" s="21">
        <v>0.6</v>
      </c>
      <c r="U247" s="22"/>
      <c r="V247" s="24"/>
      <c r="W247" s="24">
        <f t="shared" si="40"/>
        <v>2039798815.1999998</v>
      </c>
      <c r="X247" s="24">
        <f t="shared" si="41"/>
        <v>2039798815.1999998</v>
      </c>
      <c r="Y247" s="24">
        <f t="shared" si="42"/>
        <v>2039798815.1999998</v>
      </c>
      <c r="Z247" s="24">
        <f t="shared" si="43"/>
        <v>0</v>
      </c>
      <c r="AA247" s="25" t="str">
        <f t="shared" si="44"/>
        <v>No se realizó gasto en este corte</v>
      </c>
      <c r="AB247" s="26" t="str">
        <f t="shared" si="45"/>
        <v>Costo eficiente: se está gastando menos de lo presupuestado</v>
      </c>
      <c r="AC247" s="26">
        <f t="shared" si="46"/>
        <v>1</v>
      </c>
      <c r="AD247" s="26" t="str">
        <f t="shared" si="47"/>
        <v>Proyecto a tiempo según lo planificado</v>
      </c>
      <c r="AE247" s="27">
        <f t="shared" si="48"/>
        <v>0</v>
      </c>
      <c r="AF247" s="27">
        <f t="shared" si="49"/>
        <v>-3399664692</v>
      </c>
      <c r="AG247" s="28" t="str">
        <f>VLOOKUP(Indicador!E263,[1]Diccionario!C$1:AC$150,27,0)</f>
        <v>https://growdatasas.sharepoint.com/:x:/r/sites/Gestiondocumental/Administrativa/GD/Financiera/_layouts/15/Doc.aspx?sourcedoc=%7B74DBEC6A-69C6-4C69-8B83-8B465ADA35AB%7D&amp;file=Modelo%20Cortolima%20%20V2.xlsm&amp;action=default&amp;mobileredirect=true</v>
      </c>
      <c r="AH247" s="28">
        <v>1</v>
      </c>
      <c r="AI247" s="28">
        <v>1</v>
      </c>
      <c r="AJ247" s="28"/>
      <c r="AK247" s="28"/>
    </row>
    <row r="248" spans="1:37" ht="18.75" customHeight="1" x14ac:dyDescent="0.25">
      <c r="A248" s="11">
        <v>2025</v>
      </c>
      <c r="B248" s="12" t="s">
        <v>51</v>
      </c>
      <c r="C248" s="15" t="s">
        <v>238</v>
      </c>
      <c r="D248" s="39">
        <v>45656.606922488427</v>
      </c>
      <c r="E248" s="15" t="s">
        <v>239</v>
      </c>
      <c r="F248" s="15" t="s">
        <v>240</v>
      </c>
      <c r="G248" s="15" t="s">
        <v>241</v>
      </c>
      <c r="H248" s="15" t="s">
        <v>242</v>
      </c>
      <c r="I248" s="15" t="s">
        <v>63</v>
      </c>
      <c r="J248" s="15" t="s">
        <v>243</v>
      </c>
      <c r="K248" s="15" t="s">
        <v>45</v>
      </c>
      <c r="L248" s="17">
        <f>VLOOKUP(E248,[1]Diccionario!C$2:AC$150,22,0)</f>
        <v>3399664692</v>
      </c>
      <c r="M248" s="18">
        <f>VLOOKUP(E248,[1]Diccionario!C$2:AC$150,24,0)</f>
        <v>45652</v>
      </c>
      <c r="N248" s="19">
        <f>VLOOKUP(E248,[1]Diccionario!C$2:AC$150,25,0)</f>
        <v>45925</v>
      </c>
      <c r="O248" s="20">
        <f>VLOOKUP(E248,[1]Diccionario!C$2:AC$150,26,0)</f>
        <v>8.9700000000000006</v>
      </c>
      <c r="P248" s="20">
        <f t="shared" si="50"/>
        <v>-1.9700000000000006</v>
      </c>
      <c r="Q248" s="20">
        <v>7</v>
      </c>
      <c r="R248" s="15">
        <v>10</v>
      </c>
      <c r="S248" s="21">
        <v>0.7</v>
      </c>
      <c r="T248" s="21">
        <v>0.7</v>
      </c>
      <c r="U248" s="22"/>
      <c r="V248" s="24"/>
      <c r="W248" s="24">
        <f t="shared" si="40"/>
        <v>2379765284.3999996</v>
      </c>
      <c r="X248" s="24">
        <f t="shared" si="41"/>
        <v>2379765284.3999996</v>
      </c>
      <c r="Y248" s="24">
        <f t="shared" si="42"/>
        <v>2379765284.3999996</v>
      </c>
      <c r="Z248" s="24">
        <f t="shared" si="43"/>
        <v>0</v>
      </c>
      <c r="AA248" s="25" t="str">
        <f t="shared" si="44"/>
        <v>No se realizó gasto en este corte</v>
      </c>
      <c r="AB248" s="26" t="str">
        <f t="shared" si="45"/>
        <v>Costo eficiente: se está gastando menos de lo presupuestado</v>
      </c>
      <c r="AC248" s="26">
        <f t="shared" si="46"/>
        <v>1</v>
      </c>
      <c r="AD248" s="26" t="str">
        <f t="shared" si="47"/>
        <v>Proyecto a tiempo según lo planificado</v>
      </c>
      <c r="AE248" s="27">
        <f t="shared" si="48"/>
        <v>0</v>
      </c>
      <c r="AF248" s="27">
        <f t="shared" si="49"/>
        <v>-3399664692</v>
      </c>
      <c r="AG248" s="28" t="str">
        <f>VLOOKUP(Indicador!E264,[1]Diccionario!C$1:AC$150,27,0)</f>
        <v>https://growdatasas.sharepoint.com/:x:/r/sites/Gestiondocumental/Administrativa/GD/Financiera/_layouts/15/Doc.aspx?sourcedoc=%7B74DBEC6A-69C6-4C69-8B83-8B465ADA35AB%7D&amp;file=Modelo%20Cortolima%20%20V2.xlsm&amp;action=default&amp;mobileredirect=true</v>
      </c>
      <c r="AH248" s="28">
        <v>1</v>
      </c>
      <c r="AI248" s="28">
        <v>1</v>
      </c>
      <c r="AJ248" s="28"/>
      <c r="AK248" s="28"/>
    </row>
    <row r="249" spans="1:37" ht="18.75" customHeight="1" x14ac:dyDescent="0.25">
      <c r="A249" s="11">
        <v>2025</v>
      </c>
      <c r="B249" s="12" t="s">
        <v>52</v>
      </c>
      <c r="C249" s="15" t="s">
        <v>238</v>
      </c>
      <c r="D249" s="39">
        <v>45656.606922488427</v>
      </c>
      <c r="E249" s="15" t="s">
        <v>239</v>
      </c>
      <c r="F249" s="15" t="s">
        <v>240</v>
      </c>
      <c r="G249" s="15" t="s">
        <v>241</v>
      </c>
      <c r="H249" s="15" t="s">
        <v>242</v>
      </c>
      <c r="I249" s="15" t="s">
        <v>63</v>
      </c>
      <c r="J249" s="15" t="s">
        <v>243</v>
      </c>
      <c r="K249" s="15" t="s">
        <v>45</v>
      </c>
      <c r="L249" s="17">
        <f>VLOOKUP(E249,[1]Diccionario!C$2:AC$150,22,0)</f>
        <v>3399664692</v>
      </c>
      <c r="M249" s="18">
        <f>VLOOKUP(E249,[1]Diccionario!C$2:AC$150,24,0)</f>
        <v>45652</v>
      </c>
      <c r="N249" s="19">
        <f>VLOOKUP(E249,[1]Diccionario!C$2:AC$150,25,0)</f>
        <v>45925</v>
      </c>
      <c r="O249" s="20">
        <f>VLOOKUP(E249,[1]Diccionario!C$2:AC$150,26,0)</f>
        <v>8.9700000000000006</v>
      </c>
      <c r="P249" s="20">
        <f t="shared" si="50"/>
        <v>-0.97000000000000064</v>
      </c>
      <c r="Q249" s="20">
        <v>8</v>
      </c>
      <c r="R249" s="15">
        <v>10</v>
      </c>
      <c r="S249" s="21">
        <v>0.8</v>
      </c>
      <c r="T249" s="21">
        <v>0.8</v>
      </c>
      <c r="U249" s="22"/>
      <c r="V249" s="24"/>
      <c r="W249" s="24">
        <f t="shared" si="40"/>
        <v>2719731753.6000004</v>
      </c>
      <c r="X249" s="24">
        <f t="shared" si="41"/>
        <v>2719731753.6000004</v>
      </c>
      <c r="Y249" s="24">
        <f t="shared" si="42"/>
        <v>2719731753.6000004</v>
      </c>
      <c r="Z249" s="24">
        <f t="shared" si="43"/>
        <v>0</v>
      </c>
      <c r="AA249" s="25" t="str">
        <f t="shared" si="44"/>
        <v>No se realizó gasto en este corte</v>
      </c>
      <c r="AB249" s="26" t="str">
        <f t="shared" si="45"/>
        <v>Costo eficiente: se está gastando menos de lo presupuestado</v>
      </c>
      <c r="AC249" s="26">
        <f t="shared" si="46"/>
        <v>1</v>
      </c>
      <c r="AD249" s="26" t="str">
        <f t="shared" si="47"/>
        <v>Proyecto a tiempo según lo planificado</v>
      </c>
      <c r="AE249" s="27">
        <f t="shared" si="48"/>
        <v>0</v>
      </c>
      <c r="AF249" s="27">
        <f t="shared" si="49"/>
        <v>-3399664692</v>
      </c>
      <c r="AG249" s="28" t="str">
        <f>VLOOKUP(Indicador!E265,[1]Diccionario!C$1:AC$150,27,0)</f>
        <v>https://growdatasas.sharepoint.com/:x:/r/sites/Gestiondocumental/Administrativa/GD/Financiera/_layouts/15/Doc.aspx?sourcedoc=%7B74DBEC6A-69C6-4C69-8B83-8B465ADA35AB%7D&amp;file=Modelo%20Cortolima%20%20V2.xlsm&amp;action=default&amp;mobileredirect=true</v>
      </c>
      <c r="AH249" s="28">
        <v>1</v>
      </c>
      <c r="AI249" s="28">
        <v>1</v>
      </c>
      <c r="AJ249" s="28"/>
      <c r="AK249" s="28"/>
    </row>
    <row r="250" spans="1:37" ht="18.75" customHeight="1" x14ac:dyDescent="0.25">
      <c r="A250" s="11">
        <v>2025</v>
      </c>
      <c r="B250" s="12" t="s">
        <v>53</v>
      </c>
      <c r="C250" s="15" t="s">
        <v>238</v>
      </c>
      <c r="D250" s="39">
        <v>45656.606922488427</v>
      </c>
      <c r="E250" s="15" t="s">
        <v>239</v>
      </c>
      <c r="F250" s="15" t="s">
        <v>240</v>
      </c>
      <c r="G250" s="15" t="s">
        <v>241</v>
      </c>
      <c r="H250" s="15" t="s">
        <v>242</v>
      </c>
      <c r="I250" s="15" t="s">
        <v>63</v>
      </c>
      <c r="J250" s="15" t="s">
        <v>243</v>
      </c>
      <c r="K250" s="15" t="s">
        <v>45</v>
      </c>
      <c r="L250" s="17">
        <f>VLOOKUP(E250,[1]Diccionario!C$2:AC$150,22,0)</f>
        <v>3399664692</v>
      </c>
      <c r="M250" s="18">
        <f>VLOOKUP(E250,[1]Diccionario!C$2:AC$150,24,0)</f>
        <v>45652</v>
      </c>
      <c r="N250" s="19">
        <f>VLOOKUP(E250,[1]Diccionario!C$2:AC$150,25,0)</f>
        <v>45925</v>
      </c>
      <c r="O250" s="20">
        <f>VLOOKUP(E250,[1]Diccionario!C$2:AC$150,26,0)</f>
        <v>8.9700000000000006</v>
      </c>
      <c r="P250" s="20">
        <f t="shared" si="50"/>
        <v>2.9999999999999361E-2</v>
      </c>
      <c r="Q250" s="20">
        <v>9</v>
      </c>
      <c r="R250" s="15">
        <v>10</v>
      </c>
      <c r="S250" s="21">
        <v>0.9</v>
      </c>
      <c r="T250" s="21">
        <v>0.9</v>
      </c>
      <c r="U250" s="22"/>
      <c r="V250" s="24"/>
      <c r="W250" s="24">
        <f t="shared" si="40"/>
        <v>3059698222.8000002</v>
      </c>
      <c r="X250" s="24">
        <f t="shared" si="41"/>
        <v>3059698222.8000002</v>
      </c>
      <c r="Y250" s="24">
        <f t="shared" si="42"/>
        <v>3059698222.8000002</v>
      </c>
      <c r="Z250" s="24">
        <f t="shared" si="43"/>
        <v>0</v>
      </c>
      <c r="AA250" s="25" t="str">
        <f t="shared" si="44"/>
        <v>No se realizó gasto en este corte</v>
      </c>
      <c r="AB250" s="26" t="str">
        <f t="shared" si="45"/>
        <v>Costo eficiente: se está gastando menos de lo presupuestado</v>
      </c>
      <c r="AC250" s="26">
        <f t="shared" si="46"/>
        <v>1</v>
      </c>
      <c r="AD250" s="26" t="str">
        <f t="shared" si="47"/>
        <v>Proyecto a tiempo según lo planificado</v>
      </c>
      <c r="AE250" s="27">
        <f t="shared" si="48"/>
        <v>0</v>
      </c>
      <c r="AF250" s="27">
        <f t="shared" si="49"/>
        <v>-3399664692</v>
      </c>
      <c r="AG250" s="28" t="str">
        <f>VLOOKUP(Indicador!E266,[1]Diccionario!C$1:AC$150,27,0)</f>
        <v>https://growdatasas.sharepoint.com/:x:/r/sites/Gestiondocumental/Administrativa/GD/Financiera/_layouts/15/Doc.aspx?sourcedoc=%7B74DBEC6A-69C6-4C69-8B83-8B465ADA35AB%7D&amp;file=Modelo%20Cortolima%20%20V2.xlsm&amp;action=default&amp;mobileredirect=true</v>
      </c>
      <c r="AH250" s="28">
        <v>1</v>
      </c>
      <c r="AI250" s="28">
        <v>1</v>
      </c>
      <c r="AJ250" s="28"/>
      <c r="AK250" s="28"/>
    </row>
    <row r="251" spans="1:37" ht="18.75" customHeight="1" x14ac:dyDescent="0.25">
      <c r="A251" s="11">
        <v>2025</v>
      </c>
      <c r="B251" s="12" t="s">
        <v>54</v>
      </c>
      <c r="C251" s="15" t="s">
        <v>238</v>
      </c>
      <c r="D251" s="39">
        <v>45656.606922488427</v>
      </c>
      <c r="E251" s="15" t="s">
        <v>239</v>
      </c>
      <c r="F251" s="15" t="s">
        <v>240</v>
      </c>
      <c r="G251" s="15" t="s">
        <v>241</v>
      </c>
      <c r="H251" s="15" t="s">
        <v>242</v>
      </c>
      <c r="I251" s="15" t="s">
        <v>63</v>
      </c>
      <c r="J251" s="15" t="s">
        <v>243</v>
      </c>
      <c r="K251" s="15" t="s">
        <v>45</v>
      </c>
      <c r="L251" s="17">
        <f>VLOOKUP(E251,[1]Diccionario!C$2:AC$150,22,0)</f>
        <v>3399664692</v>
      </c>
      <c r="M251" s="18">
        <f>VLOOKUP(E251,[1]Diccionario!C$2:AC$150,24,0)</f>
        <v>45652</v>
      </c>
      <c r="N251" s="19">
        <f>VLOOKUP(E251,[1]Diccionario!C$2:AC$150,25,0)</f>
        <v>45925</v>
      </c>
      <c r="O251" s="20">
        <f>VLOOKUP(E251,[1]Diccionario!C$2:AC$150,26,0)</f>
        <v>8.9700000000000006</v>
      </c>
      <c r="P251" s="20">
        <f t="shared" si="50"/>
        <v>1.0299999999999994</v>
      </c>
      <c r="Q251" s="20">
        <v>10</v>
      </c>
      <c r="R251" s="15">
        <v>10</v>
      </c>
      <c r="S251" s="21">
        <v>1</v>
      </c>
      <c r="T251" s="21">
        <v>1</v>
      </c>
      <c r="U251" s="22"/>
      <c r="V251" s="24"/>
      <c r="W251" s="24">
        <f t="shared" si="40"/>
        <v>3399664692</v>
      </c>
      <c r="X251" s="24">
        <f t="shared" si="41"/>
        <v>3399664692</v>
      </c>
      <c r="Y251" s="24">
        <f t="shared" si="42"/>
        <v>3399664692</v>
      </c>
      <c r="Z251" s="24">
        <f t="shared" si="43"/>
        <v>0</v>
      </c>
      <c r="AA251" s="25" t="str">
        <f t="shared" si="44"/>
        <v>No se realizó gasto en este corte</v>
      </c>
      <c r="AB251" s="26" t="str">
        <f t="shared" si="45"/>
        <v>Costo eficiente: se está gastando menos de lo presupuestado</v>
      </c>
      <c r="AC251" s="26">
        <f t="shared" si="46"/>
        <v>1</v>
      </c>
      <c r="AD251" s="26" t="str">
        <f t="shared" si="47"/>
        <v>Proyecto a tiempo según lo planificado</v>
      </c>
      <c r="AE251" s="27">
        <f t="shared" si="48"/>
        <v>0</v>
      </c>
      <c r="AF251" s="27">
        <f t="shared" si="49"/>
        <v>-3399664692</v>
      </c>
      <c r="AG251" s="28" t="str">
        <f>VLOOKUP(Indicador!E267,[1]Diccionario!C$1:AC$150,27,0)</f>
        <v>https://growdatasas.sharepoint.com/:x:/r/sites/Gestiondocumental/Administrativa/GD/Financiera/_layouts/15/Doc.aspx?sourcedoc=%7B74DBEC6A-69C6-4C69-8B83-8B465ADA35AB%7D&amp;file=Modelo%20Cortolima%20%20V2.xlsm&amp;action=default&amp;mobileredirect=true</v>
      </c>
      <c r="AH251" s="28">
        <v>1</v>
      </c>
      <c r="AI251" s="28">
        <v>1</v>
      </c>
      <c r="AJ251" s="28"/>
      <c r="AK251" s="28"/>
    </row>
    <row r="252" spans="1:37" s="60" customFormat="1" ht="15.75" customHeight="1" x14ac:dyDescent="0.25">
      <c r="A252" s="11">
        <v>2024</v>
      </c>
      <c r="B252" s="12" t="s">
        <v>57</v>
      </c>
      <c r="C252" s="15" t="s">
        <v>244</v>
      </c>
      <c r="D252" s="39">
        <v>45659.864735416668</v>
      </c>
      <c r="E252" s="15" t="s">
        <v>245</v>
      </c>
      <c r="F252" s="15" t="s">
        <v>151</v>
      </c>
      <c r="G252" s="15" t="s">
        <v>246</v>
      </c>
      <c r="H252" s="15" t="s">
        <v>247</v>
      </c>
      <c r="I252" s="15" t="s">
        <v>63</v>
      </c>
      <c r="J252" s="15" t="s">
        <v>248</v>
      </c>
      <c r="K252" s="15" t="s">
        <v>45</v>
      </c>
      <c r="L252" s="17">
        <f>VLOOKUP(E252,[1]Diccionario!C$2:AC$150,22,0)</f>
        <v>4974784</v>
      </c>
      <c r="M252" s="18">
        <f>VLOOKUP(E252,[1]Diccionario!C$2:AC$150,24,0)</f>
        <v>45627</v>
      </c>
      <c r="N252" s="19">
        <f>VLOOKUP(E252,[1]Diccionario!C$2:AC$150,25,0)</f>
        <v>45657</v>
      </c>
      <c r="O252" s="20">
        <f>VLOOKUP(E252,[1]Diccionario!C$2:AC$150,26,0)</f>
        <v>1</v>
      </c>
      <c r="P252" s="20">
        <f t="shared" si="50"/>
        <v>0</v>
      </c>
      <c r="Q252" s="20">
        <v>1</v>
      </c>
      <c r="R252" s="15">
        <v>1</v>
      </c>
      <c r="S252" s="21">
        <v>1</v>
      </c>
      <c r="T252" s="21">
        <v>0.5</v>
      </c>
      <c r="U252" s="22"/>
      <c r="V252" s="24"/>
      <c r="W252" s="24">
        <f t="shared" si="40"/>
        <v>2487392</v>
      </c>
      <c r="X252" s="24">
        <f t="shared" si="41"/>
        <v>4974784</v>
      </c>
      <c r="Y252" s="24">
        <f t="shared" si="42"/>
        <v>2487392</v>
      </c>
      <c r="Z252" s="24">
        <f t="shared" si="43"/>
        <v>-2487392</v>
      </c>
      <c r="AA252" s="25" t="str">
        <f t="shared" si="44"/>
        <v>No se realizó gasto en este corte</v>
      </c>
      <c r="AB252" s="26" t="str">
        <f t="shared" si="45"/>
        <v>Costo eficiente: se está gastando menos de lo presupuestado</v>
      </c>
      <c r="AC252" s="26">
        <f t="shared" si="46"/>
        <v>0.5</v>
      </c>
      <c r="AD252" s="26" t="str">
        <f t="shared" si="47"/>
        <v>Proyecto atrasado con respecto al cronograma</v>
      </c>
      <c r="AE252" s="27">
        <f t="shared" si="48"/>
        <v>0</v>
      </c>
      <c r="AF252" s="27">
        <f t="shared" si="49"/>
        <v>-4974784</v>
      </c>
      <c r="AG252" s="28" t="str">
        <f>VLOOKUP(Indicador!E254,[1]Diccionario!C$1:AC$150,27,0)</f>
        <v>https://growdatasas.sharepoint.com/:x:/r/sites/Gestiondocumental/Administrativa/GD/Financiera/_layouts/15/Doc.aspx?sourcedoc=%7BB5DB12A1-D487-46F7-885A-EC149C252194%7D&amp;file=MODELO%20FINANCIERO%20-%20URT%20-%2020250124_v2.xlsm&amp;action=default&amp;mobileredirect=true</v>
      </c>
      <c r="AH252" s="28">
        <v>1</v>
      </c>
      <c r="AI252" s="28">
        <v>1</v>
      </c>
      <c r="AJ252" s="28"/>
      <c r="AK252" s="28"/>
    </row>
    <row r="253" spans="1:37" ht="18.75" customHeight="1" x14ac:dyDescent="0.25">
      <c r="A253" s="11">
        <v>2024</v>
      </c>
      <c r="B253" s="12" t="s">
        <v>37</v>
      </c>
      <c r="C253" s="15" t="s">
        <v>244</v>
      </c>
      <c r="D253" s="39">
        <v>45659.864735416668</v>
      </c>
      <c r="E253" s="15" t="s">
        <v>245</v>
      </c>
      <c r="F253" s="15" t="s">
        <v>151</v>
      </c>
      <c r="G253" s="15" t="s">
        <v>246</v>
      </c>
      <c r="H253" s="15" t="s">
        <v>247</v>
      </c>
      <c r="I253" s="15" t="s">
        <v>63</v>
      </c>
      <c r="J253" s="15" t="s">
        <v>248</v>
      </c>
      <c r="K253" s="15" t="s">
        <v>45</v>
      </c>
      <c r="L253" s="17">
        <f>VLOOKUP(E253,[1]Diccionario!C$2:AC$150,22,0)</f>
        <v>4974784</v>
      </c>
      <c r="M253" s="18">
        <f>VLOOKUP(E253,[1]Diccionario!C$2:AC$150,24,0)</f>
        <v>45627</v>
      </c>
      <c r="N253" s="19">
        <f>VLOOKUP(E253,[1]Diccionario!C$2:AC$150,25,0)</f>
        <v>45657</v>
      </c>
      <c r="O253" s="20">
        <f>VLOOKUP(E253,[1]Diccionario!C$2:AC$150,26,0)</f>
        <v>1</v>
      </c>
      <c r="P253" s="20">
        <f t="shared" si="50"/>
        <v>1</v>
      </c>
      <c r="Q253" s="20">
        <v>2</v>
      </c>
      <c r="R253" s="15">
        <v>1</v>
      </c>
      <c r="S253" s="21">
        <v>1</v>
      </c>
      <c r="T253" s="21">
        <v>1</v>
      </c>
      <c r="U253" s="22"/>
      <c r="V253" s="24"/>
      <c r="W253" s="24">
        <f t="shared" si="40"/>
        <v>4974784</v>
      </c>
      <c r="X253" s="24">
        <f t="shared" si="41"/>
        <v>4974784</v>
      </c>
      <c r="Y253" s="24">
        <f t="shared" si="42"/>
        <v>4974784</v>
      </c>
      <c r="Z253" s="24">
        <f t="shared" si="43"/>
        <v>0</v>
      </c>
      <c r="AA253" s="25" t="str">
        <f t="shared" si="44"/>
        <v>No se realizó gasto en este corte</v>
      </c>
      <c r="AB253" s="26" t="str">
        <f t="shared" si="45"/>
        <v>Costo eficiente: se está gastando menos de lo presupuestado</v>
      </c>
      <c r="AC253" s="26">
        <f t="shared" si="46"/>
        <v>1</v>
      </c>
      <c r="AD253" s="26" t="str">
        <f t="shared" si="47"/>
        <v>Proyecto a tiempo según lo planificado</v>
      </c>
      <c r="AE253" s="27">
        <f t="shared" si="48"/>
        <v>0</v>
      </c>
      <c r="AF253" s="27">
        <f t="shared" si="49"/>
        <v>-4974784</v>
      </c>
      <c r="AG253" s="28" t="str">
        <f>VLOOKUP(Indicador!E255,[1]Diccionario!C$1:AC$150,27,0)</f>
        <v>https://growdatasas.sharepoint.com/:x:/r/sites/Gestiondocumental/Administrativa/GD/Financiera/_layouts/15/Doc.aspx?sourcedoc=%7B74DBEC6A-69C6-4C69-8B83-8B465ADA35AB%7D&amp;file=Modelo%20Cortolima%20%20V2.xlsm&amp;action=default&amp;mobileredirect=true</v>
      </c>
      <c r="AH253" s="28">
        <v>1</v>
      </c>
      <c r="AI253" s="28">
        <v>1</v>
      </c>
      <c r="AJ253" s="28"/>
      <c r="AK253" s="28"/>
    </row>
    <row r="254" spans="1:37" ht="18.75" customHeight="1" x14ac:dyDescent="0.25">
      <c r="A254" s="11">
        <v>2025</v>
      </c>
      <c r="B254" s="12" t="s">
        <v>47</v>
      </c>
      <c r="C254" s="15" t="s">
        <v>249</v>
      </c>
      <c r="D254" s="39">
        <v>45691.638554201389</v>
      </c>
      <c r="E254" s="15" t="s">
        <v>250</v>
      </c>
      <c r="F254" s="15" t="s">
        <v>151</v>
      </c>
      <c r="G254" s="15" t="s">
        <v>251</v>
      </c>
      <c r="H254" s="15" t="s">
        <v>252</v>
      </c>
      <c r="I254" s="15" t="s">
        <v>63</v>
      </c>
      <c r="J254" s="15" t="s">
        <v>253</v>
      </c>
      <c r="K254" s="15" t="s">
        <v>45</v>
      </c>
      <c r="L254" s="17">
        <f>VLOOKUP(E254,[1]Diccionario!C$2:AC$150,22,0)</f>
        <v>503460622</v>
      </c>
      <c r="M254" s="18">
        <f>VLOOKUP(E254,[1]Diccionario!C$2:AC$150,24,0)</f>
        <v>45689</v>
      </c>
      <c r="N254" s="19">
        <f>VLOOKUP(E254,[1]Diccionario!C$2:AC$150,25,0)</f>
        <v>45716</v>
      </c>
      <c r="O254" s="20">
        <f>VLOOKUP(E254,[1]Diccionario!C$2:AC$150,26,0)</f>
        <v>0.9</v>
      </c>
      <c r="P254" s="20">
        <v>1</v>
      </c>
      <c r="Q254" s="20">
        <f ca="1">DATEDIF(M254,TODAY(),"m")</f>
        <v>14</v>
      </c>
      <c r="R254" s="15">
        <v>1</v>
      </c>
      <c r="S254" s="21">
        <v>1</v>
      </c>
      <c r="T254" s="21">
        <v>1</v>
      </c>
      <c r="U254" s="22"/>
      <c r="V254" s="24"/>
      <c r="W254" s="24">
        <f t="shared" si="40"/>
        <v>503460622</v>
      </c>
      <c r="X254" s="24">
        <f t="shared" si="41"/>
        <v>503460622</v>
      </c>
      <c r="Y254" s="24">
        <f t="shared" si="42"/>
        <v>503460622</v>
      </c>
      <c r="Z254" s="24">
        <f t="shared" si="43"/>
        <v>0</v>
      </c>
      <c r="AA254" s="25" t="str">
        <f t="shared" si="44"/>
        <v>No se realizó gasto en este corte</v>
      </c>
      <c r="AB254" s="26" t="str">
        <f t="shared" si="45"/>
        <v>Costo eficiente: se está gastando menos de lo presupuestado</v>
      </c>
      <c r="AC254" s="26">
        <f t="shared" si="46"/>
        <v>1</v>
      </c>
      <c r="AD254" s="26" t="str">
        <f t="shared" si="47"/>
        <v>Proyecto a tiempo según lo planificado</v>
      </c>
      <c r="AE254" s="27">
        <f t="shared" si="48"/>
        <v>0</v>
      </c>
      <c r="AF254" s="27">
        <f t="shared" si="49"/>
        <v>-503460622</v>
      </c>
      <c r="AG254" s="28" t="str">
        <f>VLOOKUP(Indicador!E269,[1]Diccionario!C$1:AC$150,27,0)</f>
        <v>https://growdatasas.sharepoint.com/:x:/r/sites/Gestiondocumental/Administrativa/GD/Financiera/_layouts/15/Doc.aspx?sourcedoc=%7B74DBEC6A-69C6-4C69-8B83-8B465ADA35AB%7D&amp;file=Modelo%20Cortolima%20%20V2.xlsm&amp;action=default&amp;mobileredirect=true</v>
      </c>
      <c r="AH254" s="28">
        <v>1</v>
      </c>
      <c r="AI254" s="28">
        <v>1</v>
      </c>
      <c r="AJ254" s="28"/>
      <c r="AK254" s="28"/>
    </row>
    <row r="255" spans="1:37" ht="18.75" customHeight="1" x14ac:dyDescent="0.25">
      <c r="A255" s="11">
        <v>2024</v>
      </c>
      <c r="B255" s="12" t="s">
        <v>55</v>
      </c>
      <c r="C255" s="15" t="s">
        <v>254</v>
      </c>
      <c r="D255" s="39">
        <v>45691.835365509258</v>
      </c>
      <c r="E255" s="15" t="s">
        <v>255</v>
      </c>
      <c r="F255" s="15" t="s">
        <v>101</v>
      </c>
      <c r="G255" s="15" t="s">
        <v>256</v>
      </c>
      <c r="H255" s="15" t="s">
        <v>257</v>
      </c>
      <c r="I255" s="15" t="s">
        <v>78</v>
      </c>
      <c r="J255" s="15" t="s">
        <v>258</v>
      </c>
      <c r="K255" s="15" t="s">
        <v>45</v>
      </c>
      <c r="L255" s="17">
        <f>VLOOKUP(E255,[1]Diccionario!C$2:AC$150,22,0)</f>
        <v>0</v>
      </c>
      <c r="M255" s="18">
        <f>VLOOKUP(E255,[1]Diccionario!C$2:AC$150,24,0)</f>
        <v>45568</v>
      </c>
      <c r="N255" s="19">
        <f>VLOOKUP(E255,[1]Diccionario!C$2:AC$150,25,0)</f>
        <v>46356</v>
      </c>
      <c r="O255" s="20">
        <f>VLOOKUP(E255,[1]Diccionario!C$2:AC$150,26,0)</f>
        <v>25.9</v>
      </c>
      <c r="P255" s="20">
        <f t="shared" ref="P255:P318" si="52">Q255-O255</f>
        <v>-24.9</v>
      </c>
      <c r="Q255" s="20">
        <v>1</v>
      </c>
      <c r="R255" s="15">
        <v>26</v>
      </c>
      <c r="S255" s="21">
        <v>0.05</v>
      </c>
      <c r="T255" s="21">
        <v>0.05</v>
      </c>
      <c r="U255" s="22"/>
      <c r="V255" s="24"/>
      <c r="W255" s="24">
        <f t="shared" si="40"/>
        <v>0</v>
      </c>
      <c r="X255" s="24">
        <f t="shared" si="41"/>
        <v>0</v>
      </c>
      <c r="Y255" s="24">
        <f t="shared" si="42"/>
        <v>0</v>
      </c>
      <c r="Z255" s="24">
        <f t="shared" si="43"/>
        <v>0</v>
      </c>
      <c r="AA255" s="25" t="str">
        <f t="shared" si="44"/>
        <v>No se realizó gasto en este corte</v>
      </c>
      <c r="AB255" s="26" t="str">
        <f t="shared" si="45"/>
        <v>Costo eficiente: se está gastando menos de lo presupuestado</v>
      </c>
      <c r="AC255" s="26">
        <f t="shared" si="46"/>
        <v>0</v>
      </c>
      <c r="AD255" s="26" t="str">
        <f t="shared" si="47"/>
        <v>Sin Línea Base</v>
      </c>
      <c r="AE255" s="27">
        <f t="shared" si="48"/>
        <v>0</v>
      </c>
      <c r="AF255" s="27">
        <f t="shared" si="49"/>
        <v>0</v>
      </c>
      <c r="AG255" s="28" t="str">
        <f>VLOOKUP(Indicador!E212,[1]Diccionario!C$1:AC$150,27,0)</f>
        <v>https://growdatasas.sharepoint.com/:x:/r/sites/Gestiondocumental/Administrativa/GD/Financiera/_layouts/15/Doc.aspx?sourcedoc=%7B2C873097-3FE4-4C6E-BF7F-92677DD9D26A%7D&amp;file=Copia%20de%2020251301%20MODELO%20FINANCIERO%20REFERENCIA%20V7.4_FNA%2020251114_NOV_18%20AD%201.xlsm&amp;action=default&amp;mobileredirect=true</v>
      </c>
      <c r="AH255" s="28">
        <v>1</v>
      </c>
      <c r="AI255" s="28">
        <v>1</v>
      </c>
      <c r="AJ255" s="28"/>
      <c r="AK255" s="28"/>
    </row>
    <row r="256" spans="1:37" ht="18.75" customHeight="1" x14ac:dyDescent="0.25">
      <c r="A256" s="11">
        <v>2024</v>
      </c>
      <c r="B256" s="12" t="s">
        <v>56</v>
      </c>
      <c r="C256" s="15" t="s">
        <v>254</v>
      </c>
      <c r="D256" s="39">
        <v>45691.835365509258</v>
      </c>
      <c r="E256" s="15" t="s">
        <v>255</v>
      </c>
      <c r="F256" s="15" t="s">
        <v>101</v>
      </c>
      <c r="G256" s="15" t="s">
        <v>256</v>
      </c>
      <c r="H256" s="15" t="s">
        <v>257</v>
      </c>
      <c r="I256" s="15" t="s">
        <v>78</v>
      </c>
      <c r="J256" s="15" t="s">
        <v>258</v>
      </c>
      <c r="K256" s="15" t="s">
        <v>45</v>
      </c>
      <c r="L256" s="17">
        <f>VLOOKUP(E256,[1]Diccionario!C$2:AC$150,22,0)</f>
        <v>0</v>
      </c>
      <c r="M256" s="18">
        <f>VLOOKUP(E256,[1]Diccionario!C$2:AC$150,24,0)</f>
        <v>45568</v>
      </c>
      <c r="N256" s="19">
        <f>VLOOKUP(E256,[1]Diccionario!C$2:AC$150,25,0)</f>
        <v>46356</v>
      </c>
      <c r="O256" s="20">
        <f>VLOOKUP(E256,[1]Diccionario!C$2:AC$150,26,0)</f>
        <v>25.9</v>
      </c>
      <c r="P256" s="20">
        <f t="shared" si="52"/>
        <v>-23.9</v>
      </c>
      <c r="Q256" s="20">
        <v>2</v>
      </c>
      <c r="R256" s="15">
        <v>26</v>
      </c>
      <c r="S256" s="21">
        <v>0.08</v>
      </c>
      <c r="T256" s="21">
        <v>0.08</v>
      </c>
      <c r="U256" s="22"/>
      <c r="V256" s="24"/>
      <c r="W256" s="24">
        <f t="shared" si="40"/>
        <v>0</v>
      </c>
      <c r="X256" s="24">
        <f t="shared" si="41"/>
        <v>0</v>
      </c>
      <c r="Y256" s="24">
        <f t="shared" si="42"/>
        <v>0</v>
      </c>
      <c r="Z256" s="24">
        <f t="shared" si="43"/>
        <v>0</v>
      </c>
      <c r="AA256" s="25" t="str">
        <f t="shared" si="44"/>
        <v>No se realizó gasto en este corte</v>
      </c>
      <c r="AB256" s="26" t="str">
        <f t="shared" si="45"/>
        <v>Costo eficiente: se está gastando menos de lo presupuestado</v>
      </c>
      <c r="AC256" s="26">
        <f t="shared" si="46"/>
        <v>0</v>
      </c>
      <c r="AD256" s="26" t="str">
        <f t="shared" si="47"/>
        <v>Sin Línea Base</v>
      </c>
      <c r="AE256" s="27">
        <f t="shared" si="48"/>
        <v>0</v>
      </c>
      <c r="AF256" s="27">
        <f t="shared" si="49"/>
        <v>0</v>
      </c>
      <c r="AG256" s="28" t="str">
        <f>VLOOKUP(Indicador!E213,[1]Diccionario!C$1:AC$150,27,0)</f>
        <v>https://growdatasas.sharepoint.com/:x:/r/sites/Gestiondocumental/Administrativa/GD/Financiera/_layouts/15/Doc.aspx?sourcedoc=%7B2C873097-3FE4-4C6E-BF7F-92677DD9D26A%7D&amp;file=Copia%20de%2020251301%20MODELO%20FINANCIERO%20REFERENCIA%20V7.4_FNA%2020251114_NOV_18%20AD%201.xlsm&amp;action=default&amp;mobileredirect=true</v>
      </c>
      <c r="AH256" s="28">
        <v>1</v>
      </c>
      <c r="AI256" s="28">
        <v>1</v>
      </c>
      <c r="AJ256" s="28"/>
      <c r="AK256" s="28"/>
    </row>
    <row r="257" spans="1:37" ht="18.75" customHeight="1" x14ac:dyDescent="0.25">
      <c r="A257" s="11">
        <v>2024</v>
      </c>
      <c r="B257" s="12" t="s">
        <v>57</v>
      </c>
      <c r="C257" s="15" t="s">
        <v>254</v>
      </c>
      <c r="D257" s="39">
        <v>45691.835365509258</v>
      </c>
      <c r="E257" s="15" t="s">
        <v>255</v>
      </c>
      <c r="F257" s="15" t="s">
        <v>101</v>
      </c>
      <c r="G257" s="15" t="s">
        <v>256</v>
      </c>
      <c r="H257" s="15" t="s">
        <v>257</v>
      </c>
      <c r="I257" s="15" t="s">
        <v>78</v>
      </c>
      <c r="J257" s="15" t="s">
        <v>258</v>
      </c>
      <c r="K257" s="15" t="s">
        <v>45</v>
      </c>
      <c r="L257" s="17">
        <f>VLOOKUP(E257,[1]Diccionario!C$2:AC$150,22,0)</f>
        <v>0</v>
      </c>
      <c r="M257" s="18">
        <f>VLOOKUP(E257,[1]Diccionario!C$2:AC$150,24,0)</f>
        <v>45568</v>
      </c>
      <c r="N257" s="19">
        <f>VLOOKUP(E257,[1]Diccionario!C$2:AC$150,25,0)</f>
        <v>46356</v>
      </c>
      <c r="O257" s="20">
        <f>VLOOKUP(E257,[1]Diccionario!C$2:AC$150,26,0)</f>
        <v>25.9</v>
      </c>
      <c r="P257" s="20">
        <f t="shared" si="52"/>
        <v>-22.9</v>
      </c>
      <c r="Q257" s="20">
        <v>3</v>
      </c>
      <c r="R257" s="15">
        <v>26</v>
      </c>
      <c r="S257" s="21">
        <v>0.12</v>
      </c>
      <c r="T257" s="21">
        <v>0.12</v>
      </c>
      <c r="U257" s="22"/>
      <c r="V257" s="24"/>
      <c r="W257" s="24">
        <f t="shared" si="40"/>
        <v>0</v>
      </c>
      <c r="X257" s="24">
        <f t="shared" si="41"/>
        <v>0</v>
      </c>
      <c r="Y257" s="24">
        <f t="shared" si="42"/>
        <v>0</v>
      </c>
      <c r="Z257" s="24">
        <f t="shared" si="43"/>
        <v>0</v>
      </c>
      <c r="AA257" s="25" t="str">
        <f t="shared" si="44"/>
        <v>No se realizó gasto en este corte</v>
      </c>
      <c r="AB257" s="26" t="str">
        <f t="shared" si="45"/>
        <v>Costo eficiente: se está gastando menos de lo presupuestado</v>
      </c>
      <c r="AC257" s="26">
        <f t="shared" si="46"/>
        <v>0</v>
      </c>
      <c r="AD257" s="26" t="str">
        <f t="shared" si="47"/>
        <v>Sin Línea Base</v>
      </c>
      <c r="AE257" s="27">
        <f t="shared" si="48"/>
        <v>0</v>
      </c>
      <c r="AF257" s="27">
        <f t="shared" si="49"/>
        <v>0</v>
      </c>
      <c r="AG257" s="28" t="str">
        <f>VLOOKUP(Indicador!E214,[1]Diccionario!C$1:AC$150,27,0)</f>
        <v>https://growdatasas.sharepoint.com/:x:/r/sites/Gestiondocumental/Administrativa/GD/Financiera/_layouts/15/Doc.aspx?sourcedoc=%7B2C873097-3FE4-4C6E-BF7F-92677DD9D26A%7D&amp;file=Copia%20de%2020251301%20MODELO%20FINANCIERO%20REFERENCIA%20V7.4_FNA%2020251114_NOV_18%20AD%201.xlsm&amp;action=default&amp;mobileredirect=true</v>
      </c>
      <c r="AH257" s="28">
        <v>1</v>
      </c>
      <c r="AI257" s="28">
        <v>1</v>
      </c>
      <c r="AJ257" s="28"/>
      <c r="AK257" s="28"/>
    </row>
    <row r="258" spans="1:37" ht="18.75" customHeight="1" x14ac:dyDescent="0.25">
      <c r="A258" s="11">
        <v>2025</v>
      </c>
      <c r="B258" s="12" t="s">
        <v>37</v>
      </c>
      <c r="C258" s="15" t="s">
        <v>254</v>
      </c>
      <c r="D258" s="39">
        <v>45691.835365509258</v>
      </c>
      <c r="E258" s="15" t="s">
        <v>255</v>
      </c>
      <c r="F258" s="15" t="s">
        <v>101</v>
      </c>
      <c r="G258" s="15" t="s">
        <v>256</v>
      </c>
      <c r="H258" s="15" t="s">
        <v>257</v>
      </c>
      <c r="I258" s="15" t="s">
        <v>78</v>
      </c>
      <c r="J258" s="15" t="s">
        <v>258</v>
      </c>
      <c r="K258" s="15" t="s">
        <v>45</v>
      </c>
      <c r="L258" s="17">
        <f>VLOOKUP(E258,[1]Diccionario!C$2:AC$150,22,0)</f>
        <v>0</v>
      </c>
      <c r="M258" s="18">
        <f>VLOOKUP(E258,[1]Diccionario!C$2:AC$150,24,0)</f>
        <v>45568</v>
      </c>
      <c r="N258" s="19">
        <f>VLOOKUP(E258,[1]Diccionario!C$2:AC$150,25,0)</f>
        <v>46356</v>
      </c>
      <c r="O258" s="20">
        <f>VLOOKUP(E258,[1]Diccionario!C$2:AC$150,26,0)</f>
        <v>25.9</v>
      </c>
      <c r="P258" s="20">
        <f t="shared" si="52"/>
        <v>-21.9</v>
      </c>
      <c r="Q258" s="20">
        <v>4</v>
      </c>
      <c r="R258" s="15">
        <v>26</v>
      </c>
      <c r="S258" s="21">
        <v>0.15333333333333299</v>
      </c>
      <c r="T258" s="21">
        <v>0.15333333333333299</v>
      </c>
      <c r="U258" s="22"/>
      <c r="V258" s="24"/>
      <c r="W258" s="24">
        <f t="shared" ref="W258:W321" si="53">IFERROR(T258*L258,0)</f>
        <v>0</v>
      </c>
      <c r="X258" s="24">
        <f t="shared" ref="X258:X321" si="54">S258*L258</f>
        <v>0</v>
      </c>
      <c r="Y258" s="24">
        <f t="shared" ref="Y258:Y321" si="55">IFERROR(W258-U258,0)</f>
        <v>0</v>
      </c>
      <c r="Z258" s="24">
        <f t="shared" ref="Z258:Z321" si="56">W258-X258</f>
        <v>0</v>
      </c>
      <c r="AA258" s="25" t="str">
        <f t="shared" ref="AA258:AA321" si="57">IFERROR(W258/U258,"No se realizó gasto en este corte")</f>
        <v>No se realizó gasto en este corte</v>
      </c>
      <c r="AB258" s="26" t="str">
        <f t="shared" ref="AB258:AB321" si="58">IFERROR(
  IF(OR(AA258="",AA258=0),
    "No calculado",
    IF(AA258&gt;1,"Costo eficiente: se está gastando menos de lo presupuestado",
      IF(AA258=1,"Costo según lo presupuestado",
        "Costo ineficiente: se está gastando más de lo presupuestado"))),
"No calculado")</f>
        <v>Costo eficiente: se está gastando menos de lo presupuestado</v>
      </c>
      <c r="AC258" s="26">
        <f t="shared" ref="AC258:AC321" si="59">IFERROR(W258/X258,0)</f>
        <v>0</v>
      </c>
      <c r="AD258" s="26" t="str">
        <f t="shared" ref="AD258:AD321" si="60">IF(OR(AC258="",AC258=0),"Sin Línea Base",
IF(AC258&gt;1,"Proyecto adelantado respecto al cronograma",
IF(AC258=1,"Proyecto a tiempo según lo planificado",
IF(AC258&lt;1,"Proyecto atrasado con respecto al cronograma",
"No calculado"))))</f>
        <v>Sin Línea Base</v>
      </c>
      <c r="AE258" s="27">
        <f t="shared" ref="AE258:AE321" si="61">IFERROR(L258/AA258,0)</f>
        <v>0</v>
      </c>
      <c r="AF258" s="27">
        <f t="shared" ref="AF258:AF321" si="62">IFERROR(AE258-L258,0)</f>
        <v>0</v>
      </c>
      <c r="AG258" s="28" t="str">
        <f>VLOOKUP(Indicador!E215,[1]Diccionario!C$1:AC$150,27,0)</f>
        <v>https://growdatasas.sharepoint.com/:x:/r/sites/Gestiondocumental/Administrativa/GD/Financiera/_layouts/15/Doc.aspx?sourcedoc=%7B2C873097-3FE4-4C6E-BF7F-92677DD9D26A%7D&amp;file=Copia%20de%2020251301%20MODELO%20FINANCIERO%20REFERENCIA%20V7.4_FNA%2020251114_NOV_18%20AD%201.xlsm&amp;action=default&amp;mobileredirect=true</v>
      </c>
      <c r="AH258" s="28">
        <v>1</v>
      </c>
      <c r="AI258" s="28">
        <v>1</v>
      </c>
      <c r="AJ258" s="28"/>
      <c r="AK258" s="28"/>
    </row>
    <row r="259" spans="1:37" ht="18.75" customHeight="1" x14ac:dyDescent="0.25">
      <c r="A259" s="11">
        <v>2025</v>
      </c>
      <c r="B259" s="12" t="s">
        <v>47</v>
      </c>
      <c r="C259" s="15" t="s">
        <v>254</v>
      </c>
      <c r="D259" s="39">
        <v>45691.835365509258</v>
      </c>
      <c r="E259" s="15" t="s">
        <v>255</v>
      </c>
      <c r="F259" s="15" t="s">
        <v>101</v>
      </c>
      <c r="G259" s="15" t="s">
        <v>256</v>
      </c>
      <c r="H259" s="15" t="s">
        <v>257</v>
      </c>
      <c r="I259" s="15" t="s">
        <v>78</v>
      </c>
      <c r="J259" s="15" t="s">
        <v>258</v>
      </c>
      <c r="K259" s="15" t="s">
        <v>45</v>
      </c>
      <c r="L259" s="17">
        <f>VLOOKUP(E259,[1]Diccionario!C$2:AC$150,22,0)</f>
        <v>0</v>
      </c>
      <c r="M259" s="18">
        <f>VLOOKUP(E259,[1]Diccionario!C$2:AC$150,24,0)</f>
        <v>45568</v>
      </c>
      <c r="N259" s="19">
        <f>VLOOKUP(E259,[1]Diccionario!C$2:AC$150,25,0)</f>
        <v>46356</v>
      </c>
      <c r="O259" s="20">
        <f>VLOOKUP(E259,[1]Diccionario!C$2:AC$150,26,0)</f>
        <v>25.9</v>
      </c>
      <c r="P259" s="20">
        <f t="shared" si="52"/>
        <v>-20.9</v>
      </c>
      <c r="Q259" s="20">
        <v>5</v>
      </c>
      <c r="R259" s="15">
        <v>26</v>
      </c>
      <c r="S259" s="21">
        <v>0.18833333333333299</v>
      </c>
      <c r="T259" s="21">
        <v>0.18833333333333299</v>
      </c>
      <c r="U259" s="22"/>
      <c r="V259" s="24"/>
      <c r="W259" s="24">
        <f t="shared" si="53"/>
        <v>0</v>
      </c>
      <c r="X259" s="24">
        <f t="shared" si="54"/>
        <v>0</v>
      </c>
      <c r="Y259" s="24">
        <f t="shared" si="55"/>
        <v>0</v>
      </c>
      <c r="Z259" s="24">
        <f t="shared" si="56"/>
        <v>0</v>
      </c>
      <c r="AA259" s="25" t="str">
        <f t="shared" si="57"/>
        <v>No se realizó gasto en este corte</v>
      </c>
      <c r="AB259" s="26" t="str">
        <f t="shared" si="58"/>
        <v>Costo eficiente: se está gastando menos de lo presupuestado</v>
      </c>
      <c r="AC259" s="26">
        <f t="shared" si="59"/>
        <v>0</v>
      </c>
      <c r="AD259" s="26" t="str">
        <f t="shared" si="60"/>
        <v>Sin Línea Base</v>
      </c>
      <c r="AE259" s="27">
        <f t="shared" si="61"/>
        <v>0</v>
      </c>
      <c r="AF259" s="27">
        <f t="shared" si="62"/>
        <v>0</v>
      </c>
      <c r="AG259" s="28" t="str">
        <f>VLOOKUP(Indicador!E216,[1]Diccionario!C$1:AC$150,27,0)</f>
        <v>https://growdatasas.sharepoint.com/:x:/r/sites/Gestiondocumental/Administrativa/GD/Financiera/_layouts/15/Doc.aspx?sourcedoc=%7B2C873097-3FE4-4C6E-BF7F-92677DD9D26A%7D&amp;file=Copia%20de%2020251301%20MODELO%20FINANCIERO%20REFERENCIA%20V7.4_FNA%2020251114_NOV_18%20AD%201.xlsm&amp;action=default&amp;mobileredirect=true</v>
      </c>
      <c r="AH259" s="28">
        <v>1</v>
      </c>
      <c r="AI259" s="28">
        <v>1</v>
      </c>
      <c r="AJ259" s="28"/>
      <c r="AK259" s="28"/>
    </row>
    <row r="260" spans="1:37" ht="18.75" customHeight="1" x14ac:dyDescent="0.25">
      <c r="A260" s="11">
        <v>2025</v>
      </c>
      <c r="B260" s="12" t="s">
        <v>48</v>
      </c>
      <c r="C260" s="15" t="s">
        <v>254</v>
      </c>
      <c r="D260" s="39">
        <v>45691.835365509258</v>
      </c>
      <c r="E260" s="15" t="s">
        <v>255</v>
      </c>
      <c r="F260" s="15" t="s">
        <v>101</v>
      </c>
      <c r="G260" s="15" t="s">
        <v>256</v>
      </c>
      <c r="H260" s="15" t="s">
        <v>257</v>
      </c>
      <c r="I260" s="15" t="s">
        <v>78</v>
      </c>
      <c r="J260" s="15" t="s">
        <v>258</v>
      </c>
      <c r="K260" s="15" t="s">
        <v>45</v>
      </c>
      <c r="L260" s="17">
        <f>VLOOKUP(E260,[1]Diccionario!C$2:AC$150,22,0)</f>
        <v>0</v>
      </c>
      <c r="M260" s="18">
        <f>VLOOKUP(E260,[1]Diccionario!C$2:AC$150,24,0)</f>
        <v>45568</v>
      </c>
      <c r="N260" s="19">
        <f>VLOOKUP(E260,[1]Diccionario!C$2:AC$150,25,0)</f>
        <v>46356</v>
      </c>
      <c r="O260" s="20">
        <f>VLOOKUP(E260,[1]Diccionario!C$2:AC$150,26,0)</f>
        <v>25.9</v>
      </c>
      <c r="P260" s="20">
        <f t="shared" si="52"/>
        <v>-19.899999999999999</v>
      </c>
      <c r="Q260" s="20">
        <v>6</v>
      </c>
      <c r="R260" s="15">
        <v>26</v>
      </c>
      <c r="S260" s="21">
        <v>0.223333333333333</v>
      </c>
      <c r="T260" s="21">
        <v>0.223333333333333</v>
      </c>
      <c r="U260" s="22"/>
      <c r="V260" s="24"/>
      <c r="W260" s="24">
        <f t="shared" si="53"/>
        <v>0</v>
      </c>
      <c r="X260" s="24">
        <f t="shared" si="54"/>
        <v>0</v>
      </c>
      <c r="Y260" s="24">
        <f t="shared" si="55"/>
        <v>0</v>
      </c>
      <c r="Z260" s="24">
        <f t="shared" si="56"/>
        <v>0</v>
      </c>
      <c r="AA260" s="25" t="str">
        <f t="shared" si="57"/>
        <v>No se realizó gasto en este corte</v>
      </c>
      <c r="AB260" s="26" t="str">
        <f t="shared" si="58"/>
        <v>Costo eficiente: se está gastando menos de lo presupuestado</v>
      </c>
      <c r="AC260" s="26">
        <f t="shared" si="59"/>
        <v>0</v>
      </c>
      <c r="AD260" s="26" t="str">
        <f t="shared" si="60"/>
        <v>Sin Línea Base</v>
      </c>
      <c r="AE260" s="27">
        <f t="shared" si="61"/>
        <v>0</v>
      </c>
      <c r="AF260" s="27">
        <f t="shared" si="62"/>
        <v>0</v>
      </c>
      <c r="AG260" s="28" t="str">
        <f>VLOOKUP(Indicador!E217,[1]Diccionario!C$1:AC$150,27,0)</f>
        <v>https://growdatasas.sharepoint.com/:x:/r/sites/Gestiondocumental/Administrativa/GD/Financiera/_layouts/15/Doc.aspx?sourcedoc=%7B2C873097-3FE4-4C6E-BF7F-92677DD9D26A%7D&amp;file=Copia%20de%2020251301%20MODELO%20FINANCIERO%20REFERENCIA%20V7.4_FNA%2020251114_NOV_18%20AD%201.xlsm&amp;action=default&amp;mobileredirect=true</v>
      </c>
      <c r="AH260" s="28">
        <v>1</v>
      </c>
      <c r="AI260" s="28">
        <v>1</v>
      </c>
      <c r="AJ260" s="28"/>
      <c r="AK260" s="28"/>
    </row>
    <row r="261" spans="1:37" ht="18.75" customHeight="1" x14ac:dyDescent="0.25">
      <c r="A261" s="11">
        <v>2025</v>
      </c>
      <c r="B261" s="12" t="s">
        <v>49</v>
      </c>
      <c r="C261" s="15" t="s">
        <v>254</v>
      </c>
      <c r="D261" s="39">
        <v>45691.835365509258</v>
      </c>
      <c r="E261" s="15" t="s">
        <v>255</v>
      </c>
      <c r="F261" s="15" t="s">
        <v>101</v>
      </c>
      <c r="G261" s="15" t="s">
        <v>256</v>
      </c>
      <c r="H261" s="15" t="s">
        <v>257</v>
      </c>
      <c r="I261" s="15" t="s">
        <v>78</v>
      </c>
      <c r="J261" s="15" t="s">
        <v>258</v>
      </c>
      <c r="K261" s="15" t="s">
        <v>45</v>
      </c>
      <c r="L261" s="17">
        <f>VLOOKUP(E261,[1]Diccionario!C$2:AC$150,22,0)</f>
        <v>0</v>
      </c>
      <c r="M261" s="18">
        <f>VLOOKUP(E261,[1]Diccionario!C$2:AC$150,24,0)</f>
        <v>45568</v>
      </c>
      <c r="N261" s="19">
        <f>VLOOKUP(E261,[1]Diccionario!C$2:AC$150,25,0)</f>
        <v>46356</v>
      </c>
      <c r="O261" s="20">
        <f>VLOOKUP(E261,[1]Diccionario!C$2:AC$150,26,0)</f>
        <v>25.9</v>
      </c>
      <c r="P261" s="20">
        <f t="shared" si="52"/>
        <v>-18.899999999999999</v>
      </c>
      <c r="Q261" s="20">
        <v>7</v>
      </c>
      <c r="R261" s="15">
        <v>26</v>
      </c>
      <c r="S261" s="21">
        <v>0.25833333333333303</v>
      </c>
      <c r="T261" s="21">
        <v>0.25833333333333303</v>
      </c>
      <c r="U261" s="22"/>
      <c r="V261" s="24"/>
      <c r="W261" s="24">
        <f t="shared" si="53"/>
        <v>0</v>
      </c>
      <c r="X261" s="24">
        <f t="shared" si="54"/>
        <v>0</v>
      </c>
      <c r="Y261" s="24">
        <f t="shared" si="55"/>
        <v>0</v>
      </c>
      <c r="Z261" s="24">
        <f t="shared" si="56"/>
        <v>0</v>
      </c>
      <c r="AA261" s="25" t="str">
        <f t="shared" si="57"/>
        <v>No se realizó gasto en este corte</v>
      </c>
      <c r="AB261" s="26" t="str">
        <f t="shared" si="58"/>
        <v>Costo eficiente: se está gastando menos de lo presupuestado</v>
      </c>
      <c r="AC261" s="26">
        <f t="shared" si="59"/>
        <v>0</v>
      </c>
      <c r="AD261" s="26" t="str">
        <f t="shared" si="60"/>
        <v>Sin Línea Base</v>
      </c>
      <c r="AE261" s="27">
        <f t="shared" si="61"/>
        <v>0</v>
      </c>
      <c r="AF261" s="27">
        <f t="shared" si="62"/>
        <v>0</v>
      </c>
      <c r="AG261" s="28" t="str">
        <f>VLOOKUP(Indicador!E218,[1]Diccionario!C$1:AC$150,27,0)</f>
        <v>https://growdatasas.sharepoint.com/:x:/r/sites/Gestiondocumental/Administrativa/GD/Financiera/_layouts/15/Doc.aspx?sourcedoc=%7B2C873097-3FE4-4C6E-BF7F-92677DD9D26A%7D&amp;file=Copia%20de%2020251301%20MODELO%20FINANCIERO%20REFERENCIA%20V7.4_FNA%2020251114_NOV_18%20AD%201.xlsm&amp;action=default&amp;mobileredirect=true</v>
      </c>
      <c r="AH261" s="28">
        <v>1</v>
      </c>
      <c r="AI261" s="28">
        <v>1</v>
      </c>
      <c r="AJ261" s="28"/>
      <c r="AK261" s="28"/>
    </row>
    <row r="262" spans="1:37" ht="18.75" customHeight="1" x14ac:dyDescent="0.25">
      <c r="A262" s="11">
        <v>2025</v>
      </c>
      <c r="B262" s="12" t="s">
        <v>50</v>
      </c>
      <c r="C262" s="15" t="s">
        <v>254</v>
      </c>
      <c r="D262" s="39">
        <v>45691.835365509258</v>
      </c>
      <c r="E262" s="15" t="s">
        <v>255</v>
      </c>
      <c r="F262" s="15" t="s">
        <v>101</v>
      </c>
      <c r="G262" s="15" t="s">
        <v>256</v>
      </c>
      <c r="H262" s="15" t="s">
        <v>257</v>
      </c>
      <c r="I262" s="15" t="s">
        <v>78</v>
      </c>
      <c r="J262" s="15" t="s">
        <v>258</v>
      </c>
      <c r="K262" s="15" t="s">
        <v>45</v>
      </c>
      <c r="L262" s="17">
        <f>VLOOKUP(E262,[1]Diccionario!C$2:AC$150,22,0)</f>
        <v>0</v>
      </c>
      <c r="M262" s="18">
        <f>VLOOKUP(E262,[1]Diccionario!C$2:AC$150,24,0)</f>
        <v>45568</v>
      </c>
      <c r="N262" s="19">
        <f>VLOOKUP(E262,[1]Diccionario!C$2:AC$150,25,0)</f>
        <v>46356</v>
      </c>
      <c r="O262" s="20">
        <f>VLOOKUP(E262,[1]Diccionario!C$2:AC$150,26,0)</f>
        <v>25.9</v>
      </c>
      <c r="P262" s="20">
        <f t="shared" si="52"/>
        <v>-17.899999999999999</v>
      </c>
      <c r="Q262" s="20">
        <v>8</v>
      </c>
      <c r="R262" s="15">
        <v>26</v>
      </c>
      <c r="S262" s="21">
        <v>0.293333333333333</v>
      </c>
      <c r="T262" s="21">
        <v>0.293333333333333</v>
      </c>
      <c r="U262" s="22"/>
      <c r="V262" s="24"/>
      <c r="W262" s="24">
        <f t="shared" si="53"/>
        <v>0</v>
      </c>
      <c r="X262" s="24">
        <f t="shared" si="54"/>
        <v>0</v>
      </c>
      <c r="Y262" s="24">
        <f t="shared" si="55"/>
        <v>0</v>
      </c>
      <c r="Z262" s="24">
        <f t="shared" si="56"/>
        <v>0</v>
      </c>
      <c r="AA262" s="25" t="str">
        <f t="shared" si="57"/>
        <v>No se realizó gasto en este corte</v>
      </c>
      <c r="AB262" s="26" t="str">
        <f t="shared" si="58"/>
        <v>Costo eficiente: se está gastando menos de lo presupuestado</v>
      </c>
      <c r="AC262" s="26">
        <f t="shared" si="59"/>
        <v>0</v>
      </c>
      <c r="AD262" s="26" t="str">
        <f t="shared" si="60"/>
        <v>Sin Línea Base</v>
      </c>
      <c r="AE262" s="27">
        <f t="shared" si="61"/>
        <v>0</v>
      </c>
      <c r="AF262" s="27">
        <f t="shared" si="62"/>
        <v>0</v>
      </c>
      <c r="AG262" s="28" t="str">
        <f>VLOOKUP(Indicador!E219,[1]Diccionario!C$1:AC$150,27,0)</f>
        <v>https://growdatasas.sharepoint.com/:x:/r/sites/Gestiondocumental/Administrativa/GD/Financiera/_layouts/15/Doc.aspx?sourcedoc=%7B2C873097-3FE4-4C6E-BF7F-92677DD9D26A%7D&amp;file=Copia%20de%2020251301%20MODELO%20FINANCIERO%20REFERENCIA%20V7.4_FNA%2020251114_NOV_18%20AD%201.xlsm&amp;action=default&amp;mobileredirect=true</v>
      </c>
      <c r="AH262" s="28">
        <v>1</v>
      </c>
      <c r="AI262" s="28">
        <v>1</v>
      </c>
      <c r="AJ262" s="28"/>
      <c r="AK262" s="28"/>
    </row>
    <row r="263" spans="1:37" ht="18.75" customHeight="1" x14ac:dyDescent="0.25">
      <c r="A263" s="11">
        <v>2025</v>
      </c>
      <c r="B263" s="12" t="s">
        <v>51</v>
      </c>
      <c r="C263" s="15" t="s">
        <v>254</v>
      </c>
      <c r="D263" s="39">
        <v>45691.835365509258</v>
      </c>
      <c r="E263" s="15" t="s">
        <v>255</v>
      </c>
      <c r="F263" s="15" t="s">
        <v>101</v>
      </c>
      <c r="G263" s="15" t="s">
        <v>256</v>
      </c>
      <c r="H263" s="15" t="s">
        <v>257</v>
      </c>
      <c r="I263" s="15" t="s">
        <v>78</v>
      </c>
      <c r="J263" s="15" t="s">
        <v>258</v>
      </c>
      <c r="K263" s="15" t="s">
        <v>45</v>
      </c>
      <c r="L263" s="17">
        <f>VLOOKUP(E263,[1]Diccionario!C$2:AC$150,22,0)</f>
        <v>0</v>
      </c>
      <c r="M263" s="18">
        <f>VLOOKUP(E263,[1]Diccionario!C$2:AC$150,24,0)</f>
        <v>45568</v>
      </c>
      <c r="N263" s="19">
        <f>VLOOKUP(E263,[1]Diccionario!C$2:AC$150,25,0)</f>
        <v>46356</v>
      </c>
      <c r="O263" s="20">
        <f>VLOOKUP(E263,[1]Diccionario!C$2:AC$150,26,0)</f>
        <v>25.9</v>
      </c>
      <c r="P263" s="20">
        <f t="shared" si="52"/>
        <v>-16.899999999999999</v>
      </c>
      <c r="Q263" s="20">
        <v>9</v>
      </c>
      <c r="R263" s="15">
        <v>26</v>
      </c>
      <c r="S263" s="21">
        <v>0.32833333333333298</v>
      </c>
      <c r="T263" s="21">
        <v>0.32833333333333298</v>
      </c>
      <c r="U263" s="22"/>
      <c r="V263" s="24"/>
      <c r="W263" s="24">
        <f t="shared" si="53"/>
        <v>0</v>
      </c>
      <c r="X263" s="24">
        <f t="shared" si="54"/>
        <v>0</v>
      </c>
      <c r="Y263" s="24">
        <f t="shared" si="55"/>
        <v>0</v>
      </c>
      <c r="Z263" s="24">
        <f t="shared" si="56"/>
        <v>0</v>
      </c>
      <c r="AA263" s="25" t="str">
        <f t="shared" si="57"/>
        <v>No se realizó gasto en este corte</v>
      </c>
      <c r="AB263" s="26" t="str">
        <f t="shared" si="58"/>
        <v>Costo eficiente: se está gastando menos de lo presupuestado</v>
      </c>
      <c r="AC263" s="26">
        <f t="shared" si="59"/>
        <v>0</v>
      </c>
      <c r="AD263" s="26" t="str">
        <f t="shared" si="60"/>
        <v>Sin Línea Base</v>
      </c>
      <c r="AE263" s="27">
        <f t="shared" si="61"/>
        <v>0</v>
      </c>
      <c r="AF263" s="27">
        <f t="shared" si="62"/>
        <v>0</v>
      </c>
      <c r="AG263" s="28" t="str">
        <f>VLOOKUP(Indicador!E220,[1]Diccionario!C$1:AC$150,27,0)</f>
        <v>https://growdatasas.sharepoint.com/:x:/r/sites/Gestiondocumental/Administrativa/GD/Financiera/_layouts/15/Doc.aspx?sourcedoc=%7B2C873097-3FE4-4C6E-BF7F-92677DD9D26A%7D&amp;file=Copia%20de%2020251301%20MODELO%20FINANCIERO%20REFERENCIA%20V7.4_FNA%2020251114_NOV_18%20AD%201.xlsm&amp;action=default&amp;mobileredirect=true</v>
      </c>
      <c r="AH263" s="28">
        <v>1</v>
      </c>
      <c r="AI263" s="28">
        <v>1</v>
      </c>
      <c r="AJ263" s="28"/>
      <c r="AK263" s="28"/>
    </row>
    <row r="264" spans="1:37" ht="18.75" customHeight="1" x14ac:dyDescent="0.25">
      <c r="A264" s="11">
        <v>2025</v>
      </c>
      <c r="B264" s="12" t="s">
        <v>52</v>
      </c>
      <c r="C264" s="15" t="s">
        <v>254</v>
      </c>
      <c r="D264" s="39">
        <v>45691.835365509258</v>
      </c>
      <c r="E264" s="15" t="s">
        <v>255</v>
      </c>
      <c r="F264" s="15" t="s">
        <v>101</v>
      </c>
      <c r="G264" s="15" t="s">
        <v>256</v>
      </c>
      <c r="H264" s="15" t="s">
        <v>257</v>
      </c>
      <c r="I264" s="15" t="s">
        <v>78</v>
      </c>
      <c r="J264" s="15" t="s">
        <v>258</v>
      </c>
      <c r="K264" s="15" t="s">
        <v>45</v>
      </c>
      <c r="L264" s="17">
        <f>VLOOKUP(E264,[1]Diccionario!C$2:AC$150,22,0)</f>
        <v>0</v>
      </c>
      <c r="M264" s="18">
        <f>VLOOKUP(E264,[1]Diccionario!C$2:AC$150,24,0)</f>
        <v>45568</v>
      </c>
      <c r="N264" s="19">
        <f>VLOOKUP(E264,[1]Diccionario!C$2:AC$150,25,0)</f>
        <v>46356</v>
      </c>
      <c r="O264" s="20">
        <f>VLOOKUP(E264,[1]Diccionario!C$2:AC$150,26,0)</f>
        <v>25.9</v>
      </c>
      <c r="P264" s="20">
        <f t="shared" si="52"/>
        <v>-15.899999999999999</v>
      </c>
      <c r="Q264" s="20">
        <v>10</v>
      </c>
      <c r="R264" s="15">
        <v>26</v>
      </c>
      <c r="S264" s="21">
        <v>0.36333333333333301</v>
      </c>
      <c r="T264" s="21">
        <v>0.36333333333333301</v>
      </c>
      <c r="U264" s="22"/>
      <c r="V264" s="24"/>
      <c r="W264" s="24">
        <f t="shared" si="53"/>
        <v>0</v>
      </c>
      <c r="X264" s="24">
        <f t="shared" si="54"/>
        <v>0</v>
      </c>
      <c r="Y264" s="24">
        <f t="shared" si="55"/>
        <v>0</v>
      </c>
      <c r="Z264" s="24">
        <f t="shared" si="56"/>
        <v>0</v>
      </c>
      <c r="AA264" s="25" t="str">
        <f t="shared" si="57"/>
        <v>No se realizó gasto en este corte</v>
      </c>
      <c r="AB264" s="26" t="str">
        <f t="shared" si="58"/>
        <v>Costo eficiente: se está gastando menos de lo presupuestado</v>
      </c>
      <c r="AC264" s="26">
        <f t="shared" si="59"/>
        <v>0</v>
      </c>
      <c r="AD264" s="26" t="str">
        <f t="shared" si="60"/>
        <v>Sin Línea Base</v>
      </c>
      <c r="AE264" s="27">
        <f t="shared" si="61"/>
        <v>0</v>
      </c>
      <c r="AF264" s="27">
        <f t="shared" si="62"/>
        <v>0</v>
      </c>
      <c r="AG264" s="28" t="str">
        <f>VLOOKUP(Indicador!E221,[1]Diccionario!C$1:AC$150,27,0)</f>
        <v>https://growdatasas.sharepoint.com/:x:/r/sites/Gestiondocumental/Administrativa/GD/Financiera/_layouts/15/Doc.aspx?sourcedoc=%7B2C873097-3FE4-4C6E-BF7F-92677DD9D26A%7D&amp;file=Copia%20de%2020251301%20MODELO%20FINANCIERO%20REFERENCIA%20V7.4_FNA%2020251114_NOV_18%20AD%201.xlsm&amp;action=default&amp;mobileredirect=true</v>
      </c>
      <c r="AH264" s="28">
        <v>1</v>
      </c>
      <c r="AI264" s="28">
        <v>1</v>
      </c>
      <c r="AJ264" s="28"/>
      <c r="AK264" s="28"/>
    </row>
    <row r="265" spans="1:37" ht="18.75" customHeight="1" x14ac:dyDescent="0.25">
      <c r="A265" s="11">
        <v>2025</v>
      </c>
      <c r="B265" s="12" t="s">
        <v>53</v>
      </c>
      <c r="C265" s="15" t="s">
        <v>254</v>
      </c>
      <c r="D265" s="39">
        <v>45691.835365509258</v>
      </c>
      <c r="E265" s="15" t="s">
        <v>255</v>
      </c>
      <c r="F265" s="15" t="s">
        <v>101</v>
      </c>
      <c r="G265" s="15" t="s">
        <v>256</v>
      </c>
      <c r="H265" s="15" t="s">
        <v>257</v>
      </c>
      <c r="I265" s="15" t="s">
        <v>78</v>
      </c>
      <c r="J265" s="15" t="s">
        <v>258</v>
      </c>
      <c r="K265" s="15" t="s">
        <v>45</v>
      </c>
      <c r="L265" s="17">
        <f>VLOOKUP(E265,[1]Diccionario!C$2:AC$150,22,0)</f>
        <v>0</v>
      </c>
      <c r="M265" s="18">
        <f>VLOOKUP(E265,[1]Diccionario!C$2:AC$150,24,0)</f>
        <v>45568</v>
      </c>
      <c r="N265" s="19">
        <f>VLOOKUP(E265,[1]Diccionario!C$2:AC$150,25,0)</f>
        <v>46356</v>
      </c>
      <c r="O265" s="20">
        <f>VLOOKUP(E265,[1]Diccionario!C$2:AC$150,26,0)</f>
        <v>25.9</v>
      </c>
      <c r="P265" s="20">
        <f t="shared" si="52"/>
        <v>-14.899999999999999</v>
      </c>
      <c r="Q265" s="20">
        <v>11</v>
      </c>
      <c r="R265" s="15">
        <v>26</v>
      </c>
      <c r="S265" s="21">
        <v>0.39833333333333298</v>
      </c>
      <c r="T265" s="21">
        <v>0.39833333333333298</v>
      </c>
      <c r="U265" s="22"/>
      <c r="V265" s="24"/>
      <c r="W265" s="24">
        <f t="shared" si="53"/>
        <v>0</v>
      </c>
      <c r="X265" s="24">
        <f t="shared" si="54"/>
        <v>0</v>
      </c>
      <c r="Y265" s="24">
        <f t="shared" si="55"/>
        <v>0</v>
      </c>
      <c r="Z265" s="24">
        <f t="shared" si="56"/>
        <v>0</v>
      </c>
      <c r="AA265" s="25" t="str">
        <f t="shared" si="57"/>
        <v>No se realizó gasto en este corte</v>
      </c>
      <c r="AB265" s="26" t="str">
        <f t="shared" si="58"/>
        <v>Costo eficiente: se está gastando menos de lo presupuestado</v>
      </c>
      <c r="AC265" s="26">
        <f t="shared" si="59"/>
        <v>0</v>
      </c>
      <c r="AD265" s="26" t="str">
        <f t="shared" si="60"/>
        <v>Sin Línea Base</v>
      </c>
      <c r="AE265" s="27">
        <f t="shared" si="61"/>
        <v>0</v>
      </c>
      <c r="AF265" s="27">
        <f t="shared" si="62"/>
        <v>0</v>
      </c>
      <c r="AG265" s="28" t="str">
        <f>VLOOKUP(Indicador!E222,[1]Diccionario!C$1:AC$150,27,0)</f>
        <v>https://growdatasas.sharepoint.com/:x:/r/sites/Gestiondocumental/Administrativa/GD/Financiera/_layouts/15/Doc.aspx?sourcedoc=%7BFBEECA15-7AD7-44CB-BB15-659366F92F74%7D&amp;file=20241115%20MODELO%20FINANCIERO%20REFERENCIA%20V7.1_RUNT_MIGRACION.xlsm&amp;action=default&amp;mobileredirect=true</v>
      </c>
      <c r="AH265" s="28">
        <v>1</v>
      </c>
      <c r="AI265" s="28">
        <v>1</v>
      </c>
      <c r="AJ265" s="28"/>
      <c r="AK265" s="28"/>
    </row>
    <row r="266" spans="1:37" ht="18.75" customHeight="1" x14ac:dyDescent="0.25">
      <c r="A266" s="11">
        <v>2025</v>
      </c>
      <c r="B266" s="12" t="s">
        <v>54</v>
      </c>
      <c r="C266" s="15" t="s">
        <v>254</v>
      </c>
      <c r="D266" s="39">
        <v>45691.835365509258</v>
      </c>
      <c r="E266" s="15" t="s">
        <v>255</v>
      </c>
      <c r="F266" s="15" t="s">
        <v>101</v>
      </c>
      <c r="G266" s="15" t="s">
        <v>256</v>
      </c>
      <c r="H266" s="15" t="s">
        <v>257</v>
      </c>
      <c r="I266" s="15" t="s">
        <v>78</v>
      </c>
      <c r="J266" s="15" t="s">
        <v>258</v>
      </c>
      <c r="K266" s="15" t="s">
        <v>45</v>
      </c>
      <c r="L266" s="17">
        <f>VLOOKUP(E266,[1]Diccionario!C$2:AC$150,22,0)</f>
        <v>0</v>
      </c>
      <c r="M266" s="18">
        <f>VLOOKUP(E266,[1]Diccionario!C$2:AC$150,24,0)</f>
        <v>45568</v>
      </c>
      <c r="N266" s="19">
        <f>VLOOKUP(E266,[1]Diccionario!C$2:AC$150,25,0)</f>
        <v>46356</v>
      </c>
      <c r="O266" s="20">
        <f>VLOOKUP(E266,[1]Diccionario!C$2:AC$150,26,0)</f>
        <v>25.9</v>
      </c>
      <c r="P266" s="20">
        <f t="shared" si="52"/>
        <v>-13.899999999999999</v>
      </c>
      <c r="Q266" s="20">
        <v>12</v>
      </c>
      <c r="R266" s="15">
        <v>26</v>
      </c>
      <c r="S266" s="21">
        <v>0.43333333333333302</v>
      </c>
      <c r="T266" s="21">
        <v>0.43333333333333302</v>
      </c>
      <c r="U266" s="22"/>
      <c r="V266" s="24"/>
      <c r="W266" s="24">
        <f t="shared" si="53"/>
        <v>0</v>
      </c>
      <c r="X266" s="24">
        <f t="shared" si="54"/>
        <v>0</v>
      </c>
      <c r="Y266" s="24">
        <f t="shared" si="55"/>
        <v>0</v>
      </c>
      <c r="Z266" s="24">
        <f t="shared" si="56"/>
        <v>0</v>
      </c>
      <c r="AA266" s="25" t="str">
        <f t="shared" si="57"/>
        <v>No se realizó gasto en este corte</v>
      </c>
      <c r="AB266" s="26" t="str">
        <f t="shared" si="58"/>
        <v>Costo eficiente: se está gastando menos de lo presupuestado</v>
      </c>
      <c r="AC266" s="26">
        <f t="shared" si="59"/>
        <v>0</v>
      </c>
      <c r="AD266" s="26" t="str">
        <f t="shared" si="60"/>
        <v>Sin Línea Base</v>
      </c>
      <c r="AE266" s="27">
        <f t="shared" si="61"/>
        <v>0</v>
      </c>
      <c r="AF266" s="27">
        <f t="shared" si="62"/>
        <v>0</v>
      </c>
      <c r="AG266" s="28" t="str">
        <f>VLOOKUP(Indicador!E223,[1]Diccionario!C$1:AC$150,27,0)</f>
        <v>https://growdatasas.sharepoint.com/:x:/r/sites/Gestiondocumental/Administrativa/GD/Financiera/_layouts/15/Doc.aspx?sourcedoc=%7BFBEECA15-7AD7-44CB-BB15-659366F92F74%7D&amp;file=20241115%20MODELO%20FINANCIERO%20REFERENCIA%20V7.1_RUNT_MIGRACION.xlsm&amp;action=default&amp;mobileredirect=true</v>
      </c>
      <c r="AH266" s="28">
        <v>1</v>
      </c>
      <c r="AI266" s="28">
        <v>1</v>
      </c>
      <c r="AJ266" s="28"/>
      <c r="AK266" s="28"/>
    </row>
    <row r="267" spans="1:37" ht="18.75" customHeight="1" x14ac:dyDescent="0.25">
      <c r="A267" s="11">
        <v>2025</v>
      </c>
      <c r="B267" s="12" t="s">
        <v>55</v>
      </c>
      <c r="C267" s="15" t="s">
        <v>254</v>
      </c>
      <c r="D267" s="39">
        <v>45691.835365509258</v>
      </c>
      <c r="E267" s="15" t="s">
        <v>255</v>
      </c>
      <c r="F267" s="15" t="s">
        <v>101</v>
      </c>
      <c r="G267" s="15" t="s">
        <v>256</v>
      </c>
      <c r="H267" s="15" t="s">
        <v>257</v>
      </c>
      <c r="I267" s="15" t="s">
        <v>78</v>
      </c>
      <c r="J267" s="15" t="s">
        <v>258</v>
      </c>
      <c r="K267" s="15" t="s">
        <v>45</v>
      </c>
      <c r="L267" s="17">
        <f>VLOOKUP(E267,[1]Diccionario!C$2:AC$150,22,0)</f>
        <v>0</v>
      </c>
      <c r="M267" s="18">
        <f>VLOOKUP(E267,[1]Diccionario!C$2:AC$150,24,0)</f>
        <v>45568</v>
      </c>
      <c r="N267" s="19">
        <f>VLOOKUP(E267,[1]Diccionario!C$2:AC$150,25,0)</f>
        <v>46356</v>
      </c>
      <c r="O267" s="20">
        <f>VLOOKUP(E267,[1]Diccionario!C$2:AC$150,26,0)</f>
        <v>25.9</v>
      </c>
      <c r="P267" s="20">
        <f t="shared" si="52"/>
        <v>-12.899999999999999</v>
      </c>
      <c r="Q267" s="20">
        <v>13</v>
      </c>
      <c r="R267" s="15">
        <v>26</v>
      </c>
      <c r="S267" s="21">
        <v>0.46833333333333299</v>
      </c>
      <c r="T267" s="21">
        <v>0.46833333333333299</v>
      </c>
      <c r="U267" s="22"/>
      <c r="V267" s="24"/>
      <c r="W267" s="24">
        <f t="shared" si="53"/>
        <v>0</v>
      </c>
      <c r="X267" s="24">
        <f t="shared" si="54"/>
        <v>0</v>
      </c>
      <c r="Y267" s="24">
        <f t="shared" si="55"/>
        <v>0</v>
      </c>
      <c r="Z267" s="24">
        <f t="shared" si="56"/>
        <v>0</v>
      </c>
      <c r="AA267" s="25" t="str">
        <f t="shared" si="57"/>
        <v>No se realizó gasto en este corte</v>
      </c>
      <c r="AB267" s="26" t="str">
        <f t="shared" si="58"/>
        <v>Costo eficiente: se está gastando menos de lo presupuestado</v>
      </c>
      <c r="AC267" s="26">
        <f t="shared" si="59"/>
        <v>0</v>
      </c>
      <c r="AD267" s="26" t="str">
        <f t="shared" si="60"/>
        <v>Sin Línea Base</v>
      </c>
      <c r="AE267" s="27">
        <f t="shared" si="61"/>
        <v>0</v>
      </c>
      <c r="AF267" s="27">
        <f t="shared" si="62"/>
        <v>0</v>
      </c>
      <c r="AG267" s="28" t="str">
        <f>VLOOKUP(Indicador!E224,[1]Diccionario!C$1:AC$150,27,0)</f>
        <v>https://growdatasas.sharepoint.com/:x:/r/sites/Gestiondocumental/Administrativa/GD/Financiera/_layouts/15/Doc.aspx?sourcedoc=%7BFBEECA15-7AD7-44CB-BB15-659366F92F74%7D&amp;file=20241115%20MODELO%20FINANCIERO%20REFERENCIA%20V7.1_RUNT_MIGRACION.xlsm&amp;action=default&amp;mobileredirect=true</v>
      </c>
      <c r="AH267" s="28">
        <v>1</v>
      </c>
      <c r="AI267" s="28">
        <v>1</v>
      </c>
      <c r="AJ267" s="28"/>
      <c r="AK267" s="28"/>
    </row>
    <row r="268" spans="1:37" ht="18.75" customHeight="1" x14ac:dyDescent="0.25">
      <c r="A268" s="11">
        <v>2025</v>
      </c>
      <c r="B268" s="12" t="s">
        <v>56</v>
      </c>
      <c r="C268" s="15" t="s">
        <v>254</v>
      </c>
      <c r="D268" s="39">
        <v>45691.835365509258</v>
      </c>
      <c r="E268" s="15" t="s">
        <v>255</v>
      </c>
      <c r="F268" s="15" t="s">
        <v>101</v>
      </c>
      <c r="G268" s="15" t="s">
        <v>256</v>
      </c>
      <c r="H268" s="15" t="s">
        <v>257</v>
      </c>
      <c r="I268" s="15" t="s">
        <v>78</v>
      </c>
      <c r="J268" s="15" t="s">
        <v>258</v>
      </c>
      <c r="K268" s="15" t="s">
        <v>45</v>
      </c>
      <c r="L268" s="17">
        <f>VLOOKUP(E268,[1]Diccionario!C$2:AC$150,22,0)</f>
        <v>0</v>
      </c>
      <c r="M268" s="18">
        <f>VLOOKUP(E268,[1]Diccionario!C$2:AC$150,24,0)</f>
        <v>45568</v>
      </c>
      <c r="N268" s="19">
        <f>VLOOKUP(E268,[1]Diccionario!C$2:AC$150,25,0)</f>
        <v>46356</v>
      </c>
      <c r="O268" s="20">
        <f>VLOOKUP(E268,[1]Diccionario!C$2:AC$150,26,0)</f>
        <v>25.9</v>
      </c>
      <c r="P268" s="20">
        <f t="shared" si="52"/>
        <v>-11.899999999999999</v>
      </c>
      <c r="Q268" s="20">
        <v>14</v>
      </c>
      <c r="R268" s="15">
        <v>26</v>
      </c>
      <c r="S268" s="21">
        <v>0.50333333333333297</v>
      </c>
      <c r="T268" s="21">
        <v>0.50333333333333297</v>
      </c>
      <c r="U268" s="22"/>
      <c r="V268" s="24"/>
      <c r="W268" s="24">
        <f t="shared" si="53"/>
        <v>0</v>
      </c>
      <c r="X268" s="24">
        <f t="shared" si="54"/>
        <v>0</v>
      </c>
      <c r="Y268" s="24">
        <f t="shared" si="55"/>
        <v>0</v>
      </c>
      <c r="Z268" s="24">
        <f t="shared" si="56"/>
        <v>0</v>
      </c>
      <c r="AA268" s="25" t="str">
        <f t="shared" si="57"/>
        <v>No se realizó gasto en este corte</v>
      </c>
      <c r="AB268" s="26" t="str">
        <f t="shared" si="58"/>
        <v>Costo eficiente: se está gastando menos de lo presupuestado</v>
      </c>
      <c r="AC268" s="26">
        <f t="shared" si="59"/>
        <v>0</v>
      </c>
      <c r="AD268" s="26" t="str">
        <f t="shared" si="60"/>
        <v>Sin Línea Base</v>
      </c>
      <c r="AE268" s="27">
        <f t="shared" si="61"/>
        <v>0</v>
      </c>
      <c r="AF268" s="27">
        <f t="shared" si="62"/>
        <v>0</v>
      </c>
      <c r="AG268" s="28" t="str">
        <f>VLOOKUP(Indicador!E225,[1]Diccionario!C$1:AC$150,27,0)</f>
        <v>https://growdatasas.sharepoint.com/:x:/r/sites/Gestiondocumental/Administrativa/GD/Financiera/_layouts/15/Doc.aspx?sourcedoc=%7B825EA9F7-C4AC-4367-8925-5CE1786AE91A%7D&amp;file=20241118%20MODELO%20FINANCIERO%20REFERENCIA%20V7.1_%20PERPETUIDAD_TOTAL.xlsm&amp;action=default&amp;mobileredirect=true</v>
      </c>
      <c r="AH268" s="28">
        <v>1</v>
      </c>
      <c r="AI268" s="28">
        <v>1</v>
      </c>
      <c r="AJ268" s="28"/>
      <c r="AK268" s="28"/>
    </row>
    <row r="269" spans="1:37" ht="18.75" customHeight="1" x14ac:dyDescent="0.25">
      <c r="A269" s="11">
        <v>2025</v>
      </c>
      <c r="B269" s="12" t="s">
        <v>57</v>
      </c>
      <c r="C269" s="15" t="s">
        <v>254</v>
      </c>
      <c r="D269" s="39">
        <v>45691.835365509258</v>
      </c>
      <c r="E269" s="15" t="s">
        <v>255</v>
      </c>
      <c r="F269" s="15" t="s">
        <v>101</v>
      </c>
      <c r="G269" s="15" t="s">
        <v>256</v>
      </c>
      <c r="H269" s="15" t="s">
        <v>257</v>
      </c>
      <c r="I269" s="15" t="s">
        <v>78</v>
      </c>
      <c r="J269" s="15" t="s">
        <v>258</v>
      </c>
      <c r="K269" s="15" t="s">
        <v>45</v>
      </c>
      <c r="L269" s="17">
        <f>VLOOKUP(E269,[1]Diccionario!C$2:AC$150,22,0)</f>
        <v>0</v>
      </c>
      <c r="M269" s="18">
        <f>VLOOKUP(E269,[1]Diccionario!C$2:AC$150,24,0)</f>
        <v>45568</v>
      </c>
      <c r="N269" s="19">
        <f>VLOOKUP(E269,[1]Diccionario!C$2:AC$150,25,0)</f>
        <v>46356</v>
      </c>
      <c r="O269" s="20">
        <f>VLOOKUP(E269,[1]Diccionario!C$2:AC$150,26,0)</f>
        <v>25.9</v>
      </c>
      <c r="P269" s="20">
        <f t="shared" si="52"/>
        <v>-10.899999999999999</v>
      </c>
      <c r="Q269" s="20">
        <v>15</v>
      </c>
      <c r="R269" s="15">
        <v>26</v>
      </c>
      <c r="S269" s="21">
        <v>0.538333333333333</v>
      </c>
      <c r="T269" s="21">
        <v>0.538333333333333</v>
      </c>
      <c r="U269" s="22"/>
      <c r="V269" s="24"/>
      <c r="W269" s="24">
        <f t="shared" si="53"/>
        <v>0</v>
      </c>
      <c r="X269" s="24">
        <f t="shared" si="54"/>
        <v>0</v>
      </c>
      <c r="Y269" s="24">
        <f t="shared" si="55"/>
        <v>0</v>
      </c>
      <c r="Z269" s="24">
        <f t="shared" si="56"/>
        <v>0</v>
      </c>
      <c r="AA269" s="25" t="str">
        <f t="shared" si="57"/>
        <v>No se realizó gasto en este corte</v>
      </c>
      <c r="AB269" s="26" t="str">
        <f t="shared" si="58"/>
        <v>Costo eficiente: se está gastando menos de lo presupuestado</v>
      </c>
      <c r="AC269" s="26">
        <f t="shared" si="59"/>
        <v>0</v>
      </c>
      <c r="AD269" s="26" t="str">
        <f t="shared" si="60"/>
        <v>Sin Línea Base</v>
      </c>
      <c r="AE269" s="27">
        <f t="shared" si="61"/>
        <v>0</v>
      </c>
      <c r="AF269" s="27">
        <f t="shared" si="62"/>
        <v>0</v>
      </c>
      <c r="AG269" s="28" t="str">
        <f>VLOOKUP(Indicador!E226,[1]Diccionario!C$1:AC$150,27,0)</f>
        <v>https://growdatasas.sharepoint.com/:x:/r/sites/Gestiondocumental/Administrativa/GD/Financiera/_layouts/15/Doc.aspx?sourcedoc=%7B825EA9F7-C4AC-4367-8925-5CE1786AE91A%7D&amp;file=20241118%20MODELO%20FINANCIERO%20REFERENCIA%20V7.1_%20PERPETUIDAD_TOTAL.xlsm&amp;action=default&amp;mobileredirect=true</v>
      </c>
      <c r="AH269" s="28">
        <v>1</v>
      </c>
      <c r="AI269" s="28">
        <v>1</v>
      </c>
      <c r="AJ269" s="28"/>
      <c r="AK269" s="28"/>
    </row>
    <row r="270" spans="1:37" ht="18.75" customHeight="1" x14ac:dyDescent="0.25">
      <c r="A270" s="11">
        <v>2026</v>
      </c>
      <c r="B270" s="12" t="s">
        <v>37</v>
      </c>
      <c r="C270" s="15" t="s">
        <v>254</v>
      </c>
      <c r="D270" s="39">
        <v>45691.835365509258</v>
      </c>
      <c r="E270" s="15" t="s">
        <v>255</v>
      </c>
      <c r="F270" s="15" t="s">
        <v>101</v>
      </c>
      <c r="G270" s="15" t="s">
        <v>256</v>
      </c>
      <c r="H270" s="15" t="s">
        <v>257</v>
      </c>
      <c r="I270" s="15" t="s">
        <v>78</v>
      </c>
      <c r="J270" s="15" t="s">
        <v>258</v>
      </c>
      <c r="K270" s="15" t="s">
        <v>45</v>
      </c>
      <c r="L270" s="17">
        <f>VLOOKUP(E270,[1]Diccionario!C$2:AC$150,22,0)</f>
        <v>0</v>
      </c>
      <c r="M270" s="18">
        <f>VLOOKUP(E270,[1]Diccionario!C$2:AC$150,24,0)</f>
        <v>45568</v>
      </c>
      <c r="N270" s="19">
        <f>VLOOKUP(E270,[1]Diccionario!C$2:AC$150,25,0)</f>
        <v>46356</v>
      </c>
      <c r="O270" s="20">
        <f>VLOOKUP(E270,[1]Diccionario!C$2:AC$150,26,0)</f>
        <v>25.9</v>
      </c>
      <c r="P270" s="20">
        <f t="shared" si="52"/>
        <v>-9.8999999999999986</v>
      </c>
      <c r="Q270" s="20">
        <v>16</v>
      </c>
      <c r="R270" s="15">
        <v>26</v>
      </c>
      <c r="S270" s="21">
        <v>0.6</v>
      </c>
      <c r="T270" s="21">
        <v>0.6</v>
      </c>
      <c r="U270" s="22"/>
      <c r="V270" s="24"/>
      <c r="W270" s="24">
        <f t="shared" si="53"/>
        <v>0</v>
      </c>
      <c r="X270" s="24">
        <f t="shared" si="54"/>
        <v>0</v>
      </c>
      <c r="Y270" s="24">
        <f t="shared" si="55"/>
        <v>0</v>
      </c>
      <c r="Z270" s="24">
        <f t="shared" si="56"/>
        <v>0</v>
      </c>
      <c r="AA270" s="25" t="str">
        <f t="shared" si="57"/>
        <v>No se realizó gasto en este corte</v>
      </c>
      <c r="AB270" s="26" t="str">
        <f t="shared" si="58"/>
        <v>Costo eficiente: se está gastando menos de lo presupuestado</v>
      </c>
      <c r="AC270" s="26">
        <f t="shared" si="59"/>
        <v>0</v>
      </c>
      <c r="AD270" s="26" t="str">
        <f t="shared" si="60"/>
        <v>Sin Línea Base</v>
      </c>
      <c r="AE270" s="27">
        <f t="shared" si="61"/>
        <v>0</v>
      </c>
      <c r="AF270" s="27">
        <f t="shared" si="62"/>
        <v>0</v>
      </c>
      <c r="AG270" s="28" t="str">
        <f>VLOOKUP(Indicador!E227,[1]Diccionario!C$1:AC$150,27,0)</f>
        <v>https://growdatasas.sharepoint.com/:x:/r/sites/Gestiondocumental/Administrativa/GD/Financiera/_layouts/15/Doc.aspx?sourcedoc=%7B825EA9F7-C4AC-4367-8925-5CE1786AE91A%7D&amp;file=20241118%20MODELO%20FINANCIERO%20REFERENCIA%20V7.1_%20PERPETUIDAD_TOTAL.xlsm&amp;action=default&amp;mobileredirect=true</v>
      </c>
      <c r="AH270" s="28">
        <v>1</v>
      </c>
      <c r="AI270" s="28">
        <v>1</v>
      </c>
      <c r="AJ270" s="28"/>
      <c r="AK270" s="28"/>
    </row>
    <row r="271" spans="1:37" ht="18.75" customHeight="1" x14ac:dyDescent="0.25">
      <c r="A271" s="11">
        <v>2026</v>
      </c>
      <c r="B271" s="12" t="s">
        <v>47</v>
      </c>
      <c r="C271" s="15" t="s">
        <v>254</v>
      </c>
      <c r="D271" s="39">
        <v>45691.835365509258</v>
      </c>
      <c r="E271" s="15" t="s">
        <v>255</v>
      </c>
      <c r="F271" s="15" t="s">
        <v>101</v>
      </c>
      <c r="G271" s="15" t="s">
        <v>256</v>
      </c>
      <c r="H271" s="15" t="s">
        <v>257</v>
      </c>
      <c r="I271" s="15" t="s">
        <v>78</v>
      </c>
      <c r="J271" s="15" t="s">
        <v>258</v>
      </c>
      <c r="K271" s="15" t="s">
        <v>45</v>
      </c>
      <c r="L271" s="17">
        <f>VLOOKUP(E271,[1]Diccionario!C$2:AC$150,22,0)</f>
        <v>0</v>
      </c>
      <c r="M271" s="18">
        <f>VLOOKUP(E271,[1]Diccionario!C$2:AC$150,24,0)</f>
        <v>45568</v>
      </c>
      <c r="N271" s="19">
        <f>VLOOKUP(E271,[1]Diccionario!C$2:AC$150,25,0)</f>
        <v>46356</v>
      </c>
      <c r="O271" s="20">
        <f>VLOOKUP(E271,[1]Diccionario!C$2:AC$150,26,0)</f>
        <v>25.9</v>
      </c>
      <c r="P271" s="20">
        <f t="shared" si="52"/>
        <v>-8.8999999999999986</v>
      </c>
      <c r="Q271" s="20">
        <v>17</v>
      </c>
      <c r="R271" s="15">
        <v>26</v>
      </c>
      <c r="S271" s="61"/>
      <c r="T271" s="21">
        <v>0</v>
      </c>
      <c r="U271" s="22"/>
      <c r="V271" s="24"/>
      <c r="W271" s="24">
        <f t="shared" si="53"/>
        <v>0</v>
      </c>
      <c r="X271" s="24">
        <f t="shared" si="54"/>
        <v>0</v>
      </c>
      <c r="Y271" s="24">
        <f t="shared" si="55"/>
        <v>0</v>
      </c>
      <c r="Z271" s="24">
        <f t="shared" si="56"/>
        <v>0</v>
      </c>
      <c r="AA271" s="25" t="str">
        <f t="shared" si="57"/>
        <v>No se realizó gasto en este corte</v>
      </c>
      <c r="AB271" s="26" t="str">
        <f t="shared" si="58"/>
        <v>Costo eficiente: se está gastando menos de lo presupuestado</v>
      </c>
      <c r="AC271" s="26">
        <f t="shared" si="59"/>
        <v>0</v>
      </c>
      <c r="AD271" s="26" t="str">
        <f t="shared" si="60"/>
        <v>Sin Línea Base</v>
      </c>
      <c r="AE271" s="27">
        <f t="shared" si="61"/>
        <v>0</v>
      </c>
      <c r="AF271" s="27">
        <f t="shared" si="62"/>
        <v>0</v>
      </c>
      <c r="AG271" s="28" t="str">
        <f>VLOOKUP(Indicador!E228,[1]Diccionario!C$1:AC$150,27,0)</f>
        <v>https://growdatasas.sharepoint.com/:x:/r/sites/Gestiondocumental/Administrativa/GD/Financiera/_layouts/15/Doc.aspx?sourcedoc=%7B1DBFC819-A96C-4AF2-9C53-2D70E3ED9365%7D&amp;file=Modelo%20de%20negocio%20-%20Uniempresarial%20-%2020241127.xlsm&amp;action=default&amp;mobileredirect=true</v>
      </c>
      <c r="AH271" s="28">
        <v>1</v>
      </c>
      <c r="AI271" s="28">
        <v>1</v>
      </c>
      <c r="AJ271" s="28"/>
      <c r="AK271" s="28"/>
    </row>
    <row r="272" spans="1:37" ht="18.75" customHeight="1" x14ac:dyDescent="0.25">
      <c r="A272" s="11">
        <v>2026</v>
      </c>
      <c r="B272" s="12" t="s">
        <v>48</v>
      </c>
      <c r="C272" s="15" t="s">
        <v>254</v>
      </c>
      <c r="D272" s="39">
        <v>45691.835365509258</v>
      </c>
      <c r="E272" s="15" t="s">
        <v>255</v>
      </c>
      <c r="F272" s="15" t="s">
        <v>101</v>
      </c>
      <c r="G272" s="15" t="s">
        <v>256</v>
      </c>
      <c r="H272" s="15" t="s">
        <v>257</v>
      </c>
      <c r="I272" s="15" t="s">
        <v>78</v>
      </c>
      <c r="J272" s="15" t="s">
        <v>258</v>
      </c>
      <c r="K272" s="15" t="s">
        <v>45</v>
      </c>
      <c r="L272" s="17">
        <f>VLOOKUP(E272,[1]Diccionario!C$2:AC$150,22,0)</f>
        <v>0</v>
      </c>
      <c r="M272" s="18">
        <f>VLOOKUP(E272,[1]Diccionario!C$2:AC$150,24,0)</f>
        <v>45568</v>
      </c>
      <c r="N272" s="19">
        <f>VLOOKUP(E272,[1]Diccionario!C$2:AC$150,25,0)</f>
        <v>46356</v>
      </c>
      <c r="O272" s="20">
        <f>VLOOKUP(E272,[1]Diccionario!C$2:AC$150,26,0)</f>
        <v>25.9</v>
      </c>
      <c r="P272" s="20">
        <f t="shared" si="52"/>
        <v>-7.8999999999999986</v>
      </c>
      <c r="Q272" s="20">
        <v>18</v>
      </c>
      <c r="R272" s="15">
        <v>26</v>
      </c>
      <c r="S272" s="61"/>
      <c r="T272" s="21">
        <v>0</v>
      </c>
      <c r="U272" s="22"/>
      <c r="V272" s="24"/>
      <c r="W272" s="24">
        <f t="shared" si="53"/>
        <v>0</v>
      </c>
      <c r="X272" s="24">
        <f t="shared" si="54"/>
        <v>0</v>
      </c>
      <c r="Y272" s="24">
        <f t="shared" si="55"/>
        <v>0</v>
      </c>
      <c r="Z272" s="24">
        <f t="shared" si="56"/>
        <v>0</v>
      </c>
      <c r="AA272" s="25" t="str">
        <f t="shared" si="57"/>
        <v>No se realizó gasto en este corte</v>
      </c>
      <c r="AB272" s="26" t="str">
        <f t="shared" si="58"/>
        <v>Costo eficiente: se está gastando menos de lo presupuestado</v>
      </c>
      <c r="AC272" s="26">
        <f t="shared" si="59"/>
        <v>0</v>
      </c>
      <c r="AD272" s="26" t="str">
        <f t="shared" si="60"/>
        <v>Sin Línea Base</v>
      </c>
      <c r="AE272" s="27">
        <f t="shared" si="61"/>
        <v>0</v>
      </c>
      <c r="AF272" s="27">
        <f t="shared" si="62"/>
        <v>0</v>
      </c>
      <c r="AG272" s="28" t="str">
        <f>VLOOKUP(Indicador!E229,[1]Diccionario!C$1:AC$150,27,0)</f>
        <v>https://growdatasas.sharepoint.com/:x:/r/sites/Gestiondocumental/Administrativa/GD/Financiera/_layouts/15/Doc.aspx?sourcedoc=%7B1DBFC819-A96C-4AF2-9C53-2D70E3ED9365%7D&amp;file=Modelo%20de%20negocio%20-%20Uniempresarial%20-%2020241127.xlsm&amp;action=default&amp;mobileredirect=true</v>
      </c>
      <c r="AH272" s="28">
        <v>1</v>
      </c>
      <c r="AI272" s="28">
        <v>1</v>
      </c>
      <c r="AJ272" s="28"/>
      <c r="AK272" s="28"/>
    </row>
    <row r="273" spans="1:37" ht="18.75" customHeight="1" x14ac:dyDescent="0.25">
      <c r="A273" s="11">
        <v>2026</v>
      </c>
      <c r="B273" s="12" t="s">
        <v>49</v>
      </c>
      <c r="C273" s="15" t="s">
        <v>254</v>
      </c>
      <c r="D273" s="39">
        <v>45691.835365509258</v>
      </c>
      <c r="E273" s="15" t="s">
        <v>255</v>
      </c>
      <c r="F273" s="15" t="s">
        <v>101</v>
      </c>
      <c r="G273" s="15" t="s">
        <v>256</v>
      </c>
      <c r="H273" s="15" t="s">
        <v>257</v>
      </c>
      <c r="I273" s="15" t="s">
        <v>78</v>
      </c>
      <c r="J273" s="15" t="s">
        <v>258</v>
      </c>
      <c r="K273" s="15" t="s">
        <v>45</v>
      </c>
      <c r="L273" s="17">
        <f>VLOOKUP(E273,[1]Diccionario!C$2:AC$150,22,0)</f>
        <v>0</v>
      </c>
      <c r="M273" s="18">
        <f>VLOOKUP(E273,[1]Diccionario!C$2:AC$150,24,0)</f>
        <v>45568</v>
      </c>
      <c r="N273" s="19">
        <f>VLOOKUP(E273,[1]Diccionario!C$2:AC$150,25,0)</f>
        <v>46356</v>
      </c>
      <c r="O273" s="20">
        <f>VLOOKUP(E273,[1]Diccionario!C$2:AC$150,26,0)</f>
        <v>25.9</v>
      </c>
      <c r="P273" s="20">
        <f t="shared" si="52"/>
        <v>-6.8999999999999986</v>
      </c>
      <c r="Q273" s="20">
        <v>19</v>
      </c>
      <c r="R273" s="15">
        <v>26</v>
      </c>
      <c r="S273" s="61"/>
      <c r="T273" s="21">
        <v>0</v>
      </c>
      <c r="U273" s="22"/>
      <c r="V273" s="24"/>
      <c r="W273" s="24">
        <f t="shared" si="53"/>
        <v>0</v>
      </c>
      <c r="X273" s="24">
        <f t="shared" si="54"/>
        <v>0</v>
      </c>
      <c r="Y273" s="24">
        <f t="shared" si="55"/>
        <v>0</v>
      </c>
      <c r="Z273" s="24">
        <f t="shared" si="56"/>
        <v>0</v>
      </c>
      <c r="AA273" s="25" t="str">
        <f t="shared" si="57"/>
        <v>No se realizó gasto en este corte</v>
      </c>
      <c r="AB273" s="26" t="str">
        <f t="shared" si="58"/>
        <v>Costo eficiente: se está gastando menos de lo presupuestado</v>
      </c>
      <c r="AC273" s="26">
        <f t="shared" si="59"/>
        <v>0</v>
      </c>
      <c r="AD273" s="26" t="str">
        <f t="shared" si="60"/>
        <v>Sin Línea Base</v>
      </c>
      <c r="AE273" s="27">
        <f t="shared" si="61"/>
        <v>0</v>
      </c>
      <c r="AF273" s="27">
        <f t="shared" si="62"/>
        <v>0</v>
      </c>
      <c r="AG273" s="28" t="str">
        <f>VLOOKUP(Indicador!E230,[1]Diccionario!C$1:AC$150,27,0)</f>
        <v>https://growdatasas.sharepoint.com/:x:/r/sites/Gestiondocumental/Administrativa/GD/Financiera/_layouts/15/Doc.aspx?sourcedoc=%7B1DBFC819-A96C-4AF2-9C53-2D70E3ED9365%7D&amp;file=Modelo%20de%20negocio%20-%20Uniempresarial%20-%2020241127.xlsm&amp;action=default&amp;mobileredirect=true</v>
      </c>
      <c r="AH273" s="28">
        <v>1</v>
      </c>
      <c r="AI273" s="28">
        <v>1</v>
      </c>
      <c r="AJ273" s="28"/>
      <c r="AK273" s="28"/>
    </row>
    <row r="274" spans="1:37" ht="18.75" customHeight="1" x14ac:dyDescent="0.25">
      <c r="A274" s="11">
        <v>2026</v>
      </c>
      <c r="B274" s="12" t="s">
        <v>50</v>
      </c>
      <c r="C274" s="15" t="s">
        <v>254</v>
      </c>
      <c r="D274" s="39">
        <v>45691.835365509258</v>
      </c>
      <c r="E274" s="15" t="s">
        <v>255</v>
      </c>
      <c r="F274" s="15" t="s">
        <v>101</v>
      </c>
      <c r="G274" s="15" t="s">
        <v>256</v>
      </c>
      <c r="H274" s="15" t="s">
        <v>257</v>
      </c>
      <c r="I274" s="15" t="s">
        <v>78</v>
      </c>
      <c r="J274" s="15" t="s">
        <v>258</v>
      </c>
      <c r="K274" s="15" t="s">
        <v>45</v>
      </c>
      <c r="L274" s="17">
        <f>VLOOKUP(E274,[1]Diccionario!C$2:AC$150,22,0)</f>
        <v>0</v>
      </c>
      <c r="M274" s="18">
        <f>VLOOKUP(E274,[1]Diccionario!C$2:AC$150,24,0)</f>
        <v>45568</v>
      </c>
      <c r="N274" s="19">
        <f>VLOOKUP(E274,[1]Diccionario!C$2:AC$150,25,0)</f>
        <v>46356</v>
      </c>
      <c r="O274" s="20">
        <f>VLOOKUP(E274,[1]Diccionario!C$2:AC$150,26,0)</f>
        <v>25.9</v>
      </c>
      <c r="P274" s="20">
        <f t="shared" si="52"/>
        <v>-5.8999999999999986</v>
      </c>
      <c r="Q274" s="20">
        <v>20</v>
      </c>
      <c r="R274" s="15">
        <v>26</v>
      </c>
      <c r="S274" s="61"/>
      <c r="T274" s="21">
        <v>0</v>
      </c>
      <c r="U274" s="22"/>
      <c r="V274" s="24"/>
      <c r="W274" s="24">
        <f t="shared" si="53"/>
        <v>0</v>
      </c>
      <c r="X274" s="24">
        <f t="shared" si="54"/>
        <v>0</v>
      </c>
      <c r="Y274" s="24">
        <f t="shared" si="55"/>
        <v>0</v>
      </c>
      <c r="Z274" s="24">
        <f t="shared" si="56"/>
        <v>0</v>
      </c>
      <c r="AA274" s="25" t="str">
        <f t="shared" si="57"/>
        <v>No se realizó gasto en este corte</v>
      </c>
      <c r="AB274" s="26" t="str">
        <f t="shared" si="58"/>
        <v>Costo eficiente: se está gastando menos de lo presupuestado</v>
      </c>
      <c r="AC274" s="26">
        <f t="shared" si="59"/>
        <v>0</v>
      </c>
      <c r="AD274" s="26" t="str">
        <f t="shared" si="60"/>
        <v>Sin Línea Base</v>
      </c>
      <c r="AE274" s="27">
        <f t="shared" si="61"/>
        <v>0</v>
      </c>
      <c r="AF274" s="27">
        <f t="shared" si="62"/>
        <v>0</v>
      </c>
      <c r="AG274" s="28" t="str">
        <f>VLOOKUP(Indicador!E231,[1]Diccionario!C$1:AC$150,27,0)</f>
        <v>https://growdatasas.sharepoint.com/:x:/r/sites/Gestiondocumental/Administrativa/GD/Financiera/_layouts/15/Doc.aspx?sourcedoc=%7B1DBFC819-A96C-4AF2-9C53-2D70E3ED9365%7D&amp;file=Modelo%20de%20negocio%20-%20Uniempresarial%20-%2020241127.xlsm&amp;action=default&amp;mobileredirect=true</v>
      </c>
      <c r="AH274" s="28">
        <v>1</v>
      </c>
      <c r="AI274" s="28">
        <v>1</v>
      </c>
      <c r="AJ274" s="28"/>
      <c r="AK274" s="28"/>
    </row>
    <row r="275" spans="1:37" ht="18.75" customHeight="1" x14ac:dyDescent="0.25">
      <c r="A275" s="11">
        <v>2026</v>
      </c>
      <c r="B275" s="12" t="s">
        <v>51</v>
      </c>
      <c r="C275" s="15" t="s">
        <v>254</v>
      </c>
      <c r="D275" s="39">
        <v>45691.835365509258</v>
      </c>
      <c r="E275" s="15" t="s">
        <v>255</v>
      </c>
      <c r="F275" s="15" t="s">
        <v>101</v>
      </c>
      <c r="G275" s="15" t="s">
        <v>256</v>
      </c>
      <c r="H275" s="15" t="s">
        <v>257</v>
      </c>
      <c r="I275" s="15" t="s">
        <v>78</v>
      </c>
      <c r="J275" s="15" t="s">
        <v>258</v>
      </c>
      <c r="K275" s="15" t="s">
        <v>45</v>
      </c>
      <c r="L275" s="17">
        <f>VLOOKUP(E275,[1]Diccionario!C$2:AC$150,22,0)</f>
        <v>0</v>
      </c>
      <c r="M275" s="18">
        <f>VLOOKUP(E275,[1]Diccionario!C$2:AC$150,24,0)</f>
        <v>45568</v>
      </c>
      <c r="N275" s="19">
        <f>VLOOKUP(E275,[1]Diccionario!C$2:AC$150,25,0)</f>
        <v>46356</v>
      </c>
      <c r="O275" s="20">
        <f>VLOOKUP(E275,[1]Diccionario!C$2:AC$150,26,0)</f>
        <v>25.9</v>
      </c>
      <c r="P275" s="20">
        <f t="shared" si="52"/>
        <v>-4.8999999999999986</v>
      </c>
      <c r="Q275" s="20">
        <v>21</v>
      </c>
      <c r="R275" s="15">
        <v>26</v>
      </c>
      <c r="S275" s="61"/>
      <c r="T275" s="21">
        <v>0</v>
      </c>
      <c r="U275" s="22"/>
      <c r="V275" s="24"/>
      <c r="W275" s="24">
        <f t="shared" si="53"/>
        <v>0</v>
      </c>
      <c r="X275" s="24">
        <f t="shared" si="54"/>
        <v>0</v>
      </c>
      <c r="Y275" s="24">
        <f t="shared" si="55"/>
        <v>0</v>
      </c>
      <c r="Z275" s="24">
        <f t="shared" si="56"/>
        <v>0</v>
      </c>
      <c r="AA275" s="25" t="str">
        <f t="shared" si="57"/>
        <v>No se realizó gasto en este corte</v>
      </c>
      <c r="AB275" s="26" t="str">
        <f t="shared" si="58"/>
        <v>Costo eficiente: se está gastando menos de lo presupuestado</v>
      </c>
      <c r="AC275" s="26">
        <f t="shared" si="59"/>
        <v>0</v>
      </c>
      <c r="AD275" s="26" t="str">
        <f t="shared" si="60"/>
        <v>Sin Línea Base</v>
      </c>
      <c r="AE275" s="27">
        <f t="shared" si="61"/>
        <v>0</v>
      </c>
      <c r="AF275" s="27">
        <f t="shared" si="62"/>
        <v>0</v>
      </c>
      <c r="AG275" s="28" t="str">
        <f>VLOOKUP(Indicador!E232,[1]Diccionario!C$1:AC$150,27,0)</f>
        <v>https://growdatasas.sharepoint.com/:x:/r/sites/Gestiondocumental/Administrativa/GD/Financiera/_layouts/15/Doc.aspx?sourcedoc=%7B1DBFC819-A96C-4AF2-9C53-2D70E3ED9365%7D&amp;file=Modelo%20de%20negocio%20-%20Uniempresarial%20-%2020241127.xlsm&amp;action=default&amp;mobileredirect=true</v>
      </c>
      <c r="AH275" s="28">
        <v>1</v>
      </c>
      <c r="AI275" s="28">
        <v>1</v>
      </c>
      <c r="AJ275" s="28"/>
      <c r="AK275" s="28"/>
    </row>
    <row r="276" spans="1:37" ht="18.75" customHeight="1" x14ac:dyDescent="0.25">
      <c r="A276" s="11">
        <v>2026</v>
      </c>
      <c r="B276" s="12" t="s">
        <v>52</v>
      </c>
      <c r="C276" s="15" t="s">
        <v>254</v>
      </c>
      <c r="D276" s="39">
        <v>45691.835365509258</v>
      </c>
      <c r="E276" s="15" t="s">
        <v>255</v>
      </c>
      <c r="F276" s="15" t="s">
        <v>101</v>
      </c>
      <c r="G276" s="15" t="s">
        <v>256</v>
      </c>
      <c r="H276" s="15" t="s">
        <v>257</v>
      </c>
      <c r="I276" s="15" t="s">
        <v>78</v>
      </c>
      <c r="J276" s="15" t="s">
        <v>258</v>
      </c>
      <c r="K276" s="15" t="s">
        <v>45</v>
      </c>
      <c r="L276" s="17">
        <f>VLOOKUP(E276,[1]Diccionario!C$2:AC$150,22,0)</f>
        <v>0</v>
      </c>
      <c r="M276" s="18">
        <f>VLOOKUP(E276,[1]Diccionario!C$2:AC$150,24,0)</f>
        <v>45568</v>
      </c>
      <c r="N276" s="19">
        <f>VLOOKUP(E276,[1]Diccionario!C$2:AC$150,25,0)</f>
        <v>46356</v>
      </c>
      <c r="O276" s="20">
        <f>VLOOKUP(E276,[1]Diccionario!C$2:AC$150,26,0)</f>
        <v>25.9</v>
      </c>
      <c r="P276" s="20">
        <f t="shared" si="52"/>
        <v>-3.8999999999999986</v>
      </c>
      <c r="Q276" s="20">
        <v>22</v>
      </c>
      <c r="R276" s="15">
        <v>26</v>
      </c>
      <c r="S276" s="61"/>
      <c r="T276" s="21">
        <v>0</v>
      </c>
      <c r="U276" s="22"/>
      <c r="V276" s="24"/>
      <c r="W276" s="24">
        <f t="shared" si="53"/>
        <v>0</v>
      </c>
      <c r="X276" s="24">
        <f t="shared" si="54"/>
        <v>0</v>
      </c>
      <c r="Y276" s="24">
        <f t="shared" si="55"/>
        <v>0</v>
      </c>
      <c r="Z276" s="24">
        <f t="shared" si="56"/>
        <v>0</v>
      </c>
      <c r="AA276" s="25" t="str">
        <f t="shared" si="57"/>
        <v>No se realizó gasto en este corte</v>
      </c>
      <c r="AB276" s="26" t="str">
        <f t="shared" si="58"/>
        <v>Costo eficiente: se está gastando menos de lo presupuestado</v>
      </c>
      <c r="AC276" s="26">
        <f t="shared" si="59"/>
        <v>0</v>
      </c>
      <c r="AD276" s="26" t="str">
        <f t="shared" si="60"/>
        <v>Sin Línea Base</v>
      </c>
      <c r="AE276" s="27">
        <f t="shared" si="61"/>
        <v>0</v>
      </c>
      <c r="AF276" s="27">
        <f t="shared" si="62"/>
        <v>0</v>
      </c>
      <c r="AG276" s="28" t="str">
        <f>VLOOKUP(Indicador!E233,[1]Diccionario!C$1:AC$150,27,0)</f>
        <v>https://growdatasas.sharepoint.com/:x:/r/sites/Gestiondocumental/Administrativa/GD/Financiera/_layouts/15/Doc.aspx?sourcedoc=%7B1DBFC819-A96C-4AF2-9C53-2D70E3ED9365%7D&amp;file=Modelo%20de%20negocio%20-%20Uniempresarial%20-%2020241127.xlsm&amp;action=default&amp;mobileredirect=true</v>
      </c>
      <c r="AH276" s="28">
        <v>1</v>
      </c>
      <c r="AI276" s="28">
        <v>1</v>
      </c>
      <c r="AJ276" s="28"/>
      <c r="AK276" s="28"/>
    </row>
    <row r="277" spans="1:37" ht="18.75" customHeight="1" x14ac:dyDescent="0.25">
      <c r="A277" s="11">
        <v>2026</v>
      </c>
      <c r="B277" s="12" t="s">
        <v>53</v>
      </c>
      <c r="C277" s="15" t="s">
        <v>254</v>
      </c>
      <c r="D277" s="39">
        <v>45691.835365509258</v>
      </c>
      <c r="E277" s="15" t="s">
        <v>255</v>
      </c>
      <c r="F277" s="15" t="s">
        <v>101</v>
      </c>
      <c r="G277" s="15" t="s">
        <v>256</v>
      </c>
      <c r="H277" s="15" t="s">
        <v>257</v>
      </c>
      <c r="I277" s="15" t="s">
        <v>78</v>
      </c>
      <c r="J277" s="15" t="s">
        <v>258</v>
      </c>
      <c r="K277" s="15" t="s">
        <v>45</v>
      </c>
      <c r="L277" s="17">
        <f>VLOOKUP(E277,[1]Diccionario!C$2:AC$150,22,0)</f>
        <v>0</v>
      </c>
      <c r="M277" s="18">
        <f>VLOOKUP(E277,[1]Diccionario!C$2:AC$150,24,0)</f>
        <v>45568</v>
      </c>
      <c r="N277" s="19">
        <f>VLOOKUP(E277,[1]Diccionario!C$2:AC$150,25,0)</f>
        <v>46356</v>
      </c>
      <c r="O277" s="20">
        <f>VLOOKUP(E277,[1]Diccionario!C$2:AC$150,26,0)</f>
        <v>25.9</v>
      </c>
      <c r="P277" s="20">
        <f t="shared" si="52"/>
        <v>-2.8999999999999986</v>
      </c>
      <c r="Q277" s="20">
        <v>23</v>
      </c>
      <c r="R277" s="15">
        <v>26</v>
      </c>
      <c r="S277" s="61"/>
      <c r="T277" s="21">
        <v>0</v>
      </c>
      <c r="U277" s="22"/>
      <c r="V277" s="24"/>
      <c r="W277" s="24">
        <f t="shared" si="53"/>
        <v>0</v>
      </c>
      <c r="X277" s="24">
        <f t="shared" si="54"/>
        <v>0</v>
      </c>
      <c r="Y277" s="24">
        <f t="shared" si="55"/>
        <v>0</v>
      </c>
      <c r="Z277" s="24">
        <f t="shared" si="56"/>
        <v>0</v>
      </c>
      <c r="AA277" s="25" t="str">
        <f t="shared" si="57"/>
        <v>No se realizó gasto en este corte</v>
      </c>
      <c r="AB277" s="26" t="str">
        <f t="shared" si="58"/>
        <v>Costo eficiente: se está gastando menos de lo presupuestado</v>
      </c>
      <c r="AC277" s="26">
        <f t="shared" si="59"/>
        <v>0</v>
      </c>
      <c r="AD277" s="26" t="str">
        <f t="shared" si="60"/>
        <v>Sin Línea Base</v>
      </c>
      <c r="AE277" s="27">
        <f t="shared" si="61"/>
        <v>0</v>
      </c>
      <c r="AF277" s="27">
        <f t="shared" si="62"/>
        <v>0</v>
      </c>
      <c r="AG277" s="28" t="str">
        <f>VLOOKUP(Indicador!E234,[1]Diccionario!C$1:AC$150,27,0)</f>
        <v>https://growdatasas.sharepoint.com/:x:/r/sites/Gestiondocumental/Administrativa/GD/Financiera/_layouts/15/Doc.aspx?sourcedoc=%7B1DBFC819-A96C-4AF2-9C53-2D70E3ED9365%7D&amp;file=Modelo%20de%20negocio%20-%20Uniempresarial%20-%2020241127.xlsm&amp;action=default&amp;mobileredirect=true</v>
      </c>
      <c r="AH277" s="28">
        <v>1</v>
      </c>
      <c r="AI277" s="28">
        <v>1</v>
      </c>
      <c r="AJ277" s="28"/>
      <c r="AK277" s="28"/>
    </row>
    <row r="278" spans="1:37" ht="18.75" customHeight="1" x14ac:dyDescent="0.25">
      <c r="A278" s="11">
        <v>2026</v>
      </c>
      <c r="B278" s="12" t="s">
        <v>54</v>
      </c>
      <c r="C278" s="15" t="s">
        <v>254</v>
      </c>
      <c r="D278" s="39">
        <v>45691.835365509258</v>
      </c>
      <c r="E278" s="15" t="s">
        <v>255</v>
      </c>
      <c r="F278" s="15" t="s">
        <v>101</v>
      </c>
      <c r="G278" s="15" t="s">
        <v>256</v>
      </c>
      <c r="H278" s="15" t="s">
        <v>257</v>
      </c>
      <c r="I278" s="15" t="s">
        <v>78</v>
      </c>
      <c r="J278" s="15" t="s">
        <v>258</v>
      </c>
      <c r="K278" s="15" t="s">
        <v>45</v>
      </c>
      <c r="L278" s="17">
        <f>VLOOKUP(E278,[1]Diccionario!C$2:AC$150,22,0)</f>
        <v>0</v>
      </c>
      <c r="M278" s="18">
        <f>VLOOKUP(E278,[1]Diccionario!C$2:AC$150,24,0)</f>
        <v>45568</v>
      </c>
      <c r="N278" s="19">
        <f>VLOOKUP(E278,[1]Diccionario!C$2:AC$150,25,0)</f>
        <v>46356</v>
      </c>
      <c r="O278" s="20">
        <f>VLOOKUP(E278,[1]Diccionario!C$2:AC$150,26,0)</f>
        <v>25.9</v>
      </c>
      <c r="P278" s="20">
        <f t="shared" si="52"/>
        <v>-1.8999999999999986</v>
      </c>
      <c r="Q278" s="20">
        <v>24</v>
      </c>
      <c r="R278" s="15">
        <v>26</v>
      </c>
      <c r="S278" s="61"/>
      <c r="T278" s="21">
        <v>0</v>
      </c>
      <c r="U278" s="22"/>
      <c r="V278" s="24"/>
      <c r="W278" s="24">
        <f t="shared" si="53"/>
        <v>0</v>
      </c>
      <c r="X278" s="24">
        <f t="shared" si="54"/>
        <v>0</v>
      </c>
      <c r="Y278" s="24">
        <f t="shared" si="55"/>
        <v>0</v>
      </c>
      <c r="Z278" s="24">
        <f t="shared" si="56"/>
        <v>0</v>
      </c>
      <c r="AA278" s="25" t="str">
        <f t="shared" si="57"/>
        <v>No se realizó gasto en este corte</v>
      </c>
      <c r="AB278" s="26" t="str">
        <f t="shared" si="58"/>
        <v>Costo eficiente: se está gastando menos de lo presupuestado</v>
      </c>
      <c r="AC278" s="26">
        <f t="shared" si="59"/>
        <v>0</v>
      </c>
      <c r="AD278" s="26" t="str">
        <f t="shared" si="60"/>
        <v>Sin Línea Base</v>
      </c>
      <c r="AE278" s="27">
        <f t="shared" si="61"/>
        <v>0</v>
      </c>
      <c r="AF278" s="27">
        <f t="shared" si="62"/>
        <v>0</v>
      </c>
      <c r="AG278" s="28" t="str">
        <f>VLOOKUP(Indicador!E235,[1]Diccionario!C$1:AC$150,27,0)</f>
        <v>https://growdatasas.sharepoint.com/:x:/r/sites/Gestiondocumental/Administrativa/GD/Financiera/_layouts/15/Doc.aspx?sourcedoc=%7B1DBFC819-A96C-4AF2-9C53-2D70E3ED9365%7D&amp;file=Modelo%20de%20negocio%20-%20Uniempresarial%20-%2020241127.xlsm&amp;action=default&amp;mobileredirect=true</v>
      </c>
      <c r="AH278" s="28">
        <v>1</v>
      </c>
      <c r="AI278" s="28">
        <v>1</v>
      </c>
      <c r="AJ278" s="28"/>
      <c r="AK278" s="28"/>
    </row>
    <row r="279" spans="1:37" ht="18.75" customHeight="1" x14ac:dyDescent="0.25">
      <c r="A279" s="11">
        <v>2026</v>
      </c>
      <c r="B279" s="12" t="s">
        <v>55</v>
      </c>
      <c r="C279" s="15" t="s">
        <v>254</v>
      </c>
      <c r="D279" s="39">
        <v>45691.835365509258</v>
      </c>
      <c r="E279" s="15" t="s">
        <v>255</v>
      </c>
      <c r="F279" s="15" t="s">
        <v>101</v>
      </c>
      <c r="G279" s="15" t="s">
        <v>256</v>
      </c>
      <c r="H279" s="15" t="s">
        <v>257</v>
      </c>
      <c r="I279" s="15" t="s">
        <v>78</v>
      </c>
      <c r="J279" s="15" t="s">
        <v>258</v>
      </c>
      <c r="K279" s="15" t="s">
        <v>45</v>
      </c>
      <c r="L279" s="17">
        <f>VLOOKUP(E279,[1]Diccionario!C$2:AC$150,22,0)</f>
        <v>0</v>
      </c>
      <c r="M279" s="18">
        <f>VLOOKUP(E279,[1]Diccionario!C$2:AC$150,24,0)</f>
        <v>45568</v>
      </c>
      <c r="N279" s="19">
        <f>VLOOKUP(E279,[1]Diccionario!C$2:AC$150,25,0)</f>
        <v>46356</v>
      </c>
      <c r="O279" s="20">
        <f>VLOOKUP(E279,[1]Diccionario!C$2:AC$150,26,0)</f>
        <v>25.9</v>
      </c>
      <c r="P279" s="20">
        <f t="shared" si="52"/>
        <v>-0.89999999999999858</v>
      </c>
      <c r="Q279" s="20">
        <v>25</v>
      </c>
      <c r="R279" s="15">
        <v>26</v>
      </c>
      <c r="S279" s="61"/>
      <c r="T279" s="21">
        <v>0</v>
      </c>
      <c r="U279" s="22"/>
      <c r="V279" s="24"/>
      <c r="W279" s="24">
        <f t="shared" si="53"/>
        <v>0</v>
      </c>
      <c r="X279" s="24">
        <f t="shared" si="54"/>
        <v>0</v>
      </c>
      <c r="Y279" s="24">
        <f t="shared" si="55"/>
        <v>0</v>
      </c>
      <c r="Z279" s="24">
        <f t="shared" si="56"/>
        <v>0</v>
      </c>
      <c r="AA279" s="25" t="str">
        <f t="shared" si="57"/>
        <v>No se realizó gasto en este corte</v>
      </c>
      <c r="AB279" s="26" t="str">
        <f t="shared" si="58"/>
        <v>Costo eficiente: se está gastando menos de lo presupuestado</v>
      </c>
      <c r="AC279" s="26">
        <f t="shared" si="59"/>
        <v>0</v>
      </c>
      <c r="AD279" s="26" t="str">
        <f t="shared" si="60"/>
        <v>Sin Línea Base</v>
      </c>
      <c r="AE279" s="27">
        <f t="shared" si="61"/>
        <v>0</v>
      </c>
      <c r="AF279" s="27">
        <f t="shared" si="62"/>
        <v>0</v>
      </c>
      <c r="AG279" s="28" t="str">
        <f>VLOOKUP(Indicador!E236,[1]Diccionario!C$1:AC$150,27,0)</f>
        <v>https://growdatasas.sharepoint.com/:x:/r/sites/Gestiondocumental/Administrativa/GD/Financiera/_layouts/15/Doc.aspx?sourcedoc=%7B1DBFC819-A96C-4AF2-9C53-2D70E3ED9365%7D&amp;file=Modelo%20de%20negocio%20-%20Uniempresarial%20-%2020241127.xlsm&amp;action=default&amp;mobileredirect=true</v>
      </c>
      <c r="AH279" s="28">
        <v>1</v>
      </c>
      <c r="AI279" s="28">
        <v>1</v>
      </c>
      <c r="AJ279" s="28"/>
      <c r="AK279" s="28"/>
    </row>
    <row r="280" spans="1:37" ht="18.75" customHeight="1" x14ac:dyDescent="0.25">
      <c r="A280" s="11">
        <v>2026</v>
      </c>
      <c r="B280" s="12" t="s">
        <v>56</v>
      </c>
      <c r="C280" s="15" t="s">
        <v>254</v>
      </c>
      <c r="D280" s="39">
        <v>45691.835365509258</v>
      </c>
      <c r="E280" s="15" t="s">
        <v>255</v>
      </c>
      <c r="F280" s="15" t="s">
        <v>101</v>
      </c>
      <c r="G280" s="15" t="s">
        <v>256</v>
      </c>
      <c r="H280" s="15" t="s">
        <v>257</v>
      </c>
      <c r="I280" s="15" t="s">
        <v>78</v>
      </c>
      <c r="J280" s="15" t="s">
        <v>258</v>
      </c>
      <c r="K280" s="15" t="s">
        <v>45</v>
      </c>
      <c r="L280" s="17">
        <f>VLOOKUP(E280,[1]Diccionario!C$2:AC$150,22,0)</f>
        <v>0</v>
      </c>
      <c r="M280" s="18">
        <f>VLOOKUP(E280,[1]Diccionario!C$2:AC$150,24,0)</f>
        <v>45568</v>
      </c>
      <c r="N280" s="19">
        <f>VLOOKUP(E280,[1]Diccionario!C$2:AC$150,25,0)</f>
        <v>46356</v>
      </c>
      <c r="O280" s="20">
        <f>VLOOKUP(E280,[1]Diccionario!C$2:AC$150,26,0)</f>
        <v>25.9</v>
      </c>
      <c r="P280" s="20">
        <f t="shared" si="52"/>
        <v>0.10000000000000142</v>
      </c>
      <c r="Q280" s="20">
        <v>26</v>
      </c>
      <c r="R280" s="15">
        <v>26</v>
      </c>
      <c r="S280" s="61"/>
      <c r="T280" s="21">
        <v>0</v>
      </c>
      <c r="U280" s="22"/>
      <c r="V280" s="24"/>
      <c r="W280" s="24">
        <f t="shared" si="53"/>
        <v>0</v>
      </c>
      <c r="X280" s="24">
        <f t="shared" si="54"/>
        <v>0</v>
      </c>
      <c r="Y280" s="24">
        <f t="shared" si="55"/>
        <v>0</v>
      </c>
      <c r="Z280" s="24">
        <f t="shared" si="56"/>
        <v>0</v>
      </c>
      <c r="AA280" s="25" t="str">
        <f t="shared" si="57"/>
        <v>No se realizó gasto en este corte</v>
      </c>
      <c r="AB280" s="26" t="str">
        <f t="shared" si="58"/>
        <v>Costo eficiente: se está gastando menos de lo presupuestado</v>
      </c>
      <c r="AC280" s="26">
        <f t="shared" si="59"/>
        <v>0</v>
      </c>
      <c r="AD280" s="26" t="str">
        <f t="shared" si="60"/>
        <v>Sin Línea Base</v>
      </c>
      <c r="AE280" s="27">
        <f t="shared" si="61"/>
        <v>0</v>
      </c>
      <c r="AF280" s="27">
        <f t="shared" si="62"/>
        <v>0</v>
      </c>
      <c r="AG280" s="28" t="str">
        <f>VLOOKUP(Indicador!E237,[1]Diccionario!C$1:AC$150,27,0)</f>
        <v>https://growdatasas.sharepoint.com/:x:/r/sites/Gestiondocumental/Administrativa/GD/Financiera/_layouts/15/Doc.aspx?sourcedoc=%7B1DBFC819-A96C-4AF2-9C53-2D70E3ED9365%7D&amp;file=Modelo%20de%20negocio%20-%20Uniempresarial%20-%2020241127.xlsm&amp;action=default&amp;mobileredirect=true</v>
      </c>
      <c r="AH280" s="28">
        <v>1</v>
      </c>
      <c r="AI280" s="28">
        <v>1</v>
      </c>
      <c r="AJ280" s="28"/>
      <c r="AK280" s="28"/>
    </row>
    <row r="281" spans="1:37" ht="18.75" customHeight="1" x14ac:dyDescent="0.25">
      <c r="A281" s="11">
        <v>2025</v>
      </c>
      <c r="B281" s="12" t="s">
        <v>47</v>
      </c>
      <c r="C281" s="15" t="s">
        <v>259</v>
      </c>
      <c r="D281" s="39">
        <v>45700.878398923611</v>
      </c>
      <c r="E281" s="15" t="s">
        <v>260</v>
      </c>
      <c r="F281" s="15" t="s">
        <v>151</v>
      </c>
      <c r="G281" s="15" t="s">
        <v>261</v>
      </c>
      <c r="H281" s="15" t="s">
        <v>262</v>
      </c>
      <c r="I281" s="15" t="s">
        <v>63</v>
      </c>
      <c r="J281" s="15" t="s">
        <v>263</v>
      </c>
      <c r="K281" s="15" t="s">
        <v>45</v>
      </c>
      <c r="L281" s="17">
        <f>VLOOKUP(E281,[1]Diccionario!C$2:AC$150,22,0)</f>
        <v>40504918</v>
      </c>
      <c r="M281" s="18">
        <f>VLOOKUP(E281,[1]Diccionario!C$2:AC$150,24,0)</f>
        <v>45689</v>
      </c>
      <c r="N281" s="19">
        <f>VLOOKUP(E281,[1]Diccionario!C$2:AC$150,25,0)</f>
        <v>45716</v>
      </c>
      <c r="O281" s="20">
        <f>VLOOKUP(E281,[1]Diccionario!C$2:AC$150,26,0)</f>
        <v>0.9</v>
      </c>
      <c r="P281" s="20">
        <f t="shared" si="52"/>
        <v>9.9999999999999978E-2</v>
      </c>
      <c r="Q281" s="20">
        <v>1</v>
      </c>
      <c r="R281" s="15">
        <v>1</v>
      </c>
      <c r="S281" s="21">
        <v>1</v>
      </c>
      <c r="T281" s="21">
        <v>1</v>
      </c>
      <c r="U281" s="22"/>
      <c r="V281" s="24"/>
      <c r="W281" s="24">
        <f t="shared" si="53"/>
        <v>40504918</v>
      </c>
      <c r="X281" s="24">
        <f t="shared" si="54"/>
        <v>40504918</v>
      </c>
      <c r="Y281" s="24">
        <f t="shared" si="55"/>
        <v>40504918</v>
      </c>
      <c r="Z281" s="24">
        <f t="shared" si="56"/>
        <v>0</v>
      </c>
      <c r="AA281" s="25" t="str">
        <f t="shared" si="57"/>
        <v>No se realizó gasto en este corte</v>
      </c>
      <c r="AB281" s="26" t="str">
        <f t="shared" si="58"/>
        <v>Costo eficiente: se está gastando menos de lo presupuestado</v>
      </c>
      <c r="AC281" s="26">
        <f t="shared" si="59"/>
        <v>1</v>
      </c>
      <c r="AD281" s="26" t="str">
        <f t="shared" si="60"/>
        <v>Proyecto a tiempo según lo planificado</v>
      </c>
      <c r="AE281" s="27">
        <f t="shared" si="61"/>
        <v>0</v>
      </c>
      <c r="AF281" s="27">
        <f t="shared" si="62"/>
        <v>-40504918</v>
      </c>
      <c r="AG281" s="28" t="str">
        <f>VLOOKUP(Indicador!E268,[1]Diccionario!C$1:AC$150,27,0)</f>
        <v>https://growdatasas.sharepoint.com/:x:/r/sites/Gestiondocumental/Administrativa/GD/Financiera/_layouts/15/Doc.aspx?sourcedoc=%7B74DBEC6A-69C6-4C69-8B83-8B465ADA35AB%7D&amp;file=Modelo%20Cortolima%20%20V2.xlsm&amp;action=default&amp;mobileredirect=true</v>
      </c>
      <c r="AH281" s="28">
        <v>1</v>
      </c>
      <c r="AI281" s="28">
        <v>1</v>
      </c>
      <c r="AJ281" s="28"/>
      <c r="AK281" s="28"/>
    </row>
    <row r="282" spans="1:37" ht="18.75" customHeight="1" x14ac:dyDescent="0.25">
      <c r="A282" s="11">
        <v>2025</v>
      </c>
      <c r="B282" s="12" t="s">
        <v>47</v>
      </c>
      <c r="C282" s="15" t="s">
        <v>264</v>
      </c>
      <c r="D282" s="39">
        <v>45705.736462615743</v>
      </c>
      <c r="E282" s="15" t="s">
        <v>265</v>
      </c>
      <c r="F282" s="15" t="s">
        <v>178</v>
      </c>
      <c r="G282" s="15" t="s">
        <v>266</v>
      </c>
      <c r="H282" s="15" t="s">
        <v>267</v>
      </c>
      <c r="I282" s="15" t="s">
        <v>43</v>
      </c>
      <c r="J282" s="15" t="s">
        <v>268</v>
      </c>
      <c r="K282" s="15" t="s">
        <v>45</v>
      </c>
      <c r="L282" s="17">
        <f>VLOOKUP(E282,[1]Diccionario!C$2:AC$150,22,0)</f>
        <v>2873641115</v>
      </c>
      <c r="M282" s="18">
        <f>VLOOKUP(E282,[1]Diccionario!C$2:AC$150,24,0)</f>
        <v>45705</v>
      </c>
      <c r="N282" s="19">
        <f>VLOOKUP(E282,[1]Diccionario!C$2:AC$150,25,0)</f>
        <v>46129</v>
      </c>
      <c r="O282" s="20">
        <f>VLOOKUP(E282,[1]Diccionario!C$2:AC$150,26,0)</f>
        <v>14</v>
      </c>
      <c r="P282" s="20">
        <f t="shared" si="52"/>
        <v>-13</v>
      </c>
      <c r="Q282" s="20">
        <v>1</v>
      </c>
      <c r="R282" s="15">
        <v>15</v>
      </c>
      <c r="S282" s="21">
        <v>0.05</v>
      </c>
      <c r="T282" s="21">
        <v>0.05</v>
      </c>
      <c r="U282" s="22"/>
      <c r="V282" s="24"/>
      <c r="W282" s="24">
        <f t="shared" si="53"/>
        <v>143682055.75</v>
      </c>
      <c r="X282" s="24">
        <f t="shared" si="54"/>
        <v>143682055.75</v>
      </c>
      <c r="Y282" s="24">
        <f t="shared" si="55"/>
        <v>143682055.75</v>
      </c>
      <c r="Z282" s="24">
        <f t="shared" si="56"/>
        <v>0</v>
      </c>
      <c r="AA282" s="25" t="str">
        <f t="shared" si="57"/>
        <v>No se realizó gasto en este corte</v>
      </c>
      <c r="AB282" s="26" t="str">
        <f t="shared" si="58"/>
        <v>Costo eficiente: se está gastando menos de lo presupuestado</v>
      </c>
      <c r="AC282" s="26">
        <f t="shared" si="59"/>
        <v>1</v>
      </c>
      <c r="AD282" s="26" t="str">
        <f t="shared" si="60"/>
        <v>Proyecto a tiempo según lo planificado</v>
      </c>
      <c r="AE282" s="27">
        <f t="shared" si="61"/>
        <v>0</v>
      </c>
      <c r="AF282" s="27">
        <f t="shared" si="62"/>
        <v>-2873641115</v>
      </c>
      <c r="AG282" s="28" t="str">
        <f>VLOOKUP(Indicador!E270,[1]Diccionario!C$1:AC$150,27,0)</f>
        <v>https://growdatasas.sharepoint.com/:x:/r/sites/Gestiondocumental/Administrativa/GD/Financiera/_layouts/15/Doc.aspx?sourcedoc=%7B74DBEC6A-69C6-4C69-8B83-8B465ADA35AB%7D&amp;file=Modelo%20Cortolima%20%20V2.xlsm&amp;action=default&amp;mobileredirect=true</v>
      </c>
      <c r="AH282" s="28">
        <v>1</v>
      </c>
      <c r="AI282" s="28">
        <v>1</v>
      </c>
      <c r="AJ282" s="28"/>
      <c r="AK282" s="28"/>
    </row>
    <row r="283" spans="1:37" ht="18.75" customHeight="1" x14ac:dyDescent="0.25">
      <c r="A283" s="11">
        <v>2025</v>
      </c>
      <c r="B283" s="12" t="s">
        <v>48</v>
      </c>
      <c r="C283" s="15" t="s">
        <v>264</v>
      </c>
      <c r="D283" s="39">
        <v>45705.736462615743</v>
      </c>
      <c r="E283" s="15" t="s">
        <v>265</v>
      </c>
      <c r="F283" s="15" t="s">
        <v>178</v>
      </c>
      <c r="G283" s="15" t="s">
        <v>266</v>
      </c>
      <c r="H283" s="15" t="s">
        <v>267</v>
      </c>
      <c r="I283" s="15" t="s">
        <v>43</v>
      </c>
      <c r="J283" s="15" t="s">
        <v>268</v>
      </c>
      <c r="K283" s="15" t="s">
        <v>45</v>
      </c>
      <c r="L283" s="17">
        <f>VLOOKUP(E283,[1]Diccionario!C$2:AC$150,22,0)</f>
        <v>2873641115</v>
      </c>
      <c r="M283" s="18">
        <f>VLOOKUP(E283,[1]Diccionario!C$2:AC$150,24,0)</f>
        <v>45705</v>
      </c>
      <c r="N283" s="19">
        <f>VLOOKUP(E283,[1]Diccionario!C$2:AC$150,25,0)</f>
        <v>46129</v>
      </c>
      <c r="O283" s="20">
        <f>VLOOKUP(E283,[1]Diccionario!C$2:AC$150,26,0)</f>
        <v>14</v>
      </c>
      <c r="P283" s="20">
        <f t="shared" si="52"/>
        <v>-12</v>
      </c>
      <c r="Q283" s="20">
        <v>2</v>
      </c>
      <c r="R283" s="15">
        <v>15</v>
      </c>
      <c r="S283" s="21">
        <v>0.1</v>
      </c>
      <c r="T283" s="21">
        <v>0.1</v>
      </c>
      <c r="U283" s="22"/>
      <c r="V283" s="24"/>
      <c r="W283" s="24">
        <f t="shared" si="53"/>
        <v>287364111.5</v>
      </c>
      <c r="X283" s="24">
        <f t="shared" si="54"/>
        <v>287364111.5</v>
      </c>
      <c r="Y283" s="24">
        <f t="shared" si="55"/>
        <v>287364111.5</v>
      </c>
      <c r="Z283" s="24">
        <f t="shared" si="56"/>
        <v>0</v>
      </c>
      <c r="AA283" s="25" t="str">
        <f t="shared" si="57"/>
        <v>No se realizó gasto en este corte</v>
      </c>
      <c r="AB283" s="26" t="str">
        <f t="shared" si="58"/>
        <v>Costo eficiente: se está gastando menos de lo presupuestado</v>
      </c>
      <c r="AC283" s="26">
        <f t="shared" si="59"/>
        <v>1</v>
      </c>
      <c r="AD283" s="26" t="str">
        <f t="shared" si="60"/>
        <v>Proyecto a tiempo según lo planificado</v>
      </c>
      <c r="AE283" s="27">
        <f t="shared" si="61"/>
        <v>0</v>
      </c>
      <c r="AF283" s="27">
        <f t="shared" si="62"/>
        <v>-2873641115</v>
      </c>
      <c r="AG283" s="28" t="str">
        <f>VLOOKUP(Indicador!E271,[1]Diccionario!C$1:AC$150,27,0)</f>
        <v>https://growdatasas.sharepoint.com/:x:/r/sites/Gestiondocumental/Administrativa/GD/Financiera/_layouts/15/Doc.aspx?sourcedoc=%7B74DBEC6A-69C6-4C69-8B83-8B465ADA35AB%7D&amp;file=Modelo%20Cortolima%20%20V2.xlsm&amp;action=default&amp;mobileredirect=true</v>
      </c>
      <c r="AH283" s="28">
        <v>1</v>
      </c>
      <c r="AI283" s="28">
        <v>1</v>
      </c>
      <c r="AJ283" s="28"/>
      <c r="AK283" s="28"/>
    </row>
    <row r="284" spans="1:37" ht="18.75" customHeight="1" x14ac:dyDescent="0.25">
      <c r="A284" s="11">
        <v>2025</v>
      </c>
      <c r="B284" s="12" t="s">
        <v>49</v>
      </c>
      <c r="C284" s="15" t="s">
        <v>264</v>
      </c>
      <c r="D284" s="39">
        <v>45705.736462615743</v>
      </c>
      <c r="E284" s="15" t="s">
        <v>265</v>
      </c>
      <c r="F284" s="15" t="s">
        <v>178</v>
      </c>
      <c r="G284" s="15" t="s">
        <v>266</v>
      </c>
      <c r="H284" s="15" t="s">
        <v>267</v>
      </c>
      <c r="I284" s="15" t="s">
        <v>43</v>
      </c>
      <c r="J284" s="15" t="s">
        <v>268</v>
      </c>
      <c r="K284" s="15" t="s">
        <v>45</v>
      </c>
      <c r="L284" s="17">
        <f>VLOOKUP(E284,[1]Diccionario!C$2:AC$150,22,0)</f>
        <v>2873641115</v>
      </c>
      <c r="M284" s="18">
        <f>VLOOKUP(E284,[1]Diccionario!C$2:AC$150,24,0)</f>
        <v>45705</v>
      </c>
      <c r="N284" s="19">
        <f>VLOOKUP(E284,[1]Diccionario!C$2:AC$150,25,0)</f>
        <v>46129</v>
      </c>
      <c r="O284" s="20">
        <f>VLOOKUP(E284,[1]Diccionario!C$2:AC$150,26,0)</f>
        <v>14</v>
      </c>
      <c r="P284" s="20">
        <f t="shared" si="52"/>
        <v>-11</v>
      </c>
      <c r="Q284" s="20">
        <v>3</v>
      </c>
      <c r="R284" s="15">
        <v>15</v>
      </c>
      <c r="S284" s="21">
        <v>0.15</v>
      </c>
      <c r="T284" s="21">
        <v>0.15</v>
      </c>
      <c r="U284" s="22"/>
      <c r="V284" s="24"/>
      <c r="W284" s="24">
        <f t="shared" si="53"/>
        <v>431046167.25</v>
      </c>
      <c r="X284" s="24">
        <f t="shared" si="54"/>
        <v>431046167.25</v>
      </c>
      <c r="Y284" s="24">
        <f t="shared" si="55"/>
        <v>431046167.25</v>
      </c>
      <c r="Z284" s="24">
        <f t="shared" si="56"/>
        <v>0</v>
      </c>
      <c r="AA284" s="25" t="str">
        <f t="shared" si="57"/>
        <v>No se realizó gasto en este corte</v>
      </c>
      <c r="AB284" s="26" t="str">
        <f t="shared" si="58"/>
        <v>Costo eficiente: se está gastando menos de lo presupuestado</v>
      </c>
      <c r="AC284" s="26">
        <f t="shared" si="59"/>
        <v>1</v>
      </c>
      <c r="AD284" s="26" t="str">
        <f t="shared" si="60"/>
        <v>Proyecto a tiempo según lo planificado</v>
      </c>
      <c r="AE284" s="27">
        <f t="shared" si="61"/>
        <v>0</v>
      </c>
      <c r="AF284" s="27">
        <f t="shared" si="62"/>
        <v>-2873641115</v>
      </c>
      <c r="AG284" s="28" t="str">
        <f>VLOOKUP(Indicador!E272,[1]Diccionario!C$1:AC$150,27,0)</f>
        <v>https://growdatasas.sharepoint.com/:x:/r/sites/Gestiondocumental/Administrativa/GD/Financiera/_layouts/15/Doc.aspx?sourcedoc=%7B74DBEC6A-69C6-4C69-8B83-8B465ADA35AB%7D&amp;file=Modelo%20Cortolima%20%20V2.xlsm&amp;action=default&amp;mobileredirect=true</v>
      </c>
      <c r="AH284" s="28">
        <v>1</v>
      </c>
      <c r="AI284" s="28">
        <v>1</v>
      </c>
      <c r="AJ284" s="28"/>
      <c r="AK284" s="28"/>
    </row>
    <row r="285" spans="1:37" ht="18.75" customHeight="1" x14ac:dyDescent="0.25">
      <c r="A285" s="11">
        <v>2025</v>
      </c>
      <c r="B285" s="12" t="s">
        <v>50</v>
      </c>
      <c r="C285" s="15" t="s">
        <v>264</v>
      </c>
      <c r="D285" s="39">
        <v>45705.736462615743</v>
      </c>
      <c r="E285" s="15" t="s">
        <v>265</v>
      </c>
      <c r="F285" s="15" t="s">
        <v>178</v>
      </c>
      <c r="G285" s="15" t="s">
        <v>266</v>
      </c>
      <c r="H285" s="15" t="s">
        <v>267</v>
      </c>
      <c r="I285" s="15" t="s">
        <v>43</v>
      </c>
      <c r="J285" s="15" t="s">
        <v>268</v>
      </c>
      <c r="K285" s="15" t="s">
        <v>45</v>
      </c>
      <c r="L285" s="17">
        <f>VLOOKUP(E285,[1]Diccionario!C$2:AC$150,22,0)</f>
        <v>2873641115</v>
      </c>
      <c r="M285" s="18">
        <f>VLOOKUP(E285,[1]Diccionario!C$2:AC$150,24,0)</f>
        <v>45705</v>
      </c>
      <c r="N285" s="19">
        <f>VLOOKUP(E285,[1]Diccionario!C$2:AC$150,25,0)</f>
        <v>46129</v>
      </c>
      <c r="O285" s="20">
        <f>VLOOKUP(E285,[1]Diccionario!C$2:AC$150,26,0)</f>
        <v>14</v>
      </c>
      <c r="P285" s="20">
        <f t="shared" ca="1" si="52"/>
        <v>-1</v>
      </c>
      <c r="Q285" s="20">
        <f ca="1">DATEDIF(M285,TODAY(),"m")</f>
        <v>13</v>
      </c>
      <c r="R285" s="15">
        <v>15</v>
      </c>
      <c r="S285" s="21">
        <v>0.2</v>
      </c>
      <c r="T285" s="21">
        <v>0.2</v>
      </c>
      <c r="U285" s="22"/>
      <c r="V285" s="24"/>
      <c r="W285" s="24">
        <f t="shared" si="53"/>
        <v>574728223</v>
      </c>
      <c r="X285" s="24">
        <f t="shared" si="54"/>
        <v>574728223</v>
      </c>
      <c r="Y285" s="24">
        <f t="shared" si="55"/>
        <v>574728223</v>
      </c>
      <c r="Z285" s="24">
        <f t="shared" si="56"/>
        <v>0</v>
      </c>
      <c r="AA285" s="25" t="str">
        <f t="shared" si="57"/>
        <v>No se realizó gasto en este corte</v>
      </c>
      <c r="AB285" s="26" t="str">
        <f t="shared" si="58"/>
        <v>Costo eficiente: se está gastando menos de lo presupuestado</v>
      </c>
      <c r="AC285" s="26">
        <f t="shared" si="59"/>
        <v>1</v>
      </c>
      <c r="AD285" s="26" t="str">
        <f t="shared" si="60"/>
        <v>Proyecto a tiempo según lo planificado</v>
      </c>
      <c r="AE285" s="27">
        <f t="shared" si="61"/>
        <v>0</v>
      </c>
      <c r="AF285" s="27">
        <f t="shared" si="62"/>
        <v>-2873641115</v>
      </c>
      <c r="AG285" s="28" t="str">
        <f>VLOOKUP(Indicador!E273,[1]Diccionario!C$1:AC$150,27,0)</f>
        <v>https://growdatasas.sharepoint.com/:x:/r/sites/Gestiondocumental/Administrativa/GD/Financiera/_layouts/15/Doc.aspx?sourcedoc=%7B74DBEC6A-69C6-4C69-8B83-8B465ADA35AB%7D&amp;file=Modelo%20Cortolima%20%20V2.xlsm&amp;action=default&amp;mobileredirect=true</v>
      </c>
      <c r="AH285" s="28">
        <v>1</v>
      </c>
      <c r="AI285" s="28">
        <v>1</v>
      </c>
      <c r="AJ285" s="28"/>
      <c r="AK285" s="28"/>
    </row>
    <row r="286" spans="1:37" ht="18.75" customHeight="1" x14ac:dyDescent="0.25">
      <c r="A286" s="11">
        <v>2025</v>
      </c>
      <c r="B286" s="12" t="s">
        <v>51</v>
      </c>
      <c r="C286" s="15" t="s">
        <v>264</v>
      </c>
      <c r="D286" s="39">
        <v>45705.736462615743</v>
      </c>
      <c r="E286" s="15" t="s">
        <v>265</v>
      </c>
      <c r="F286" s="15" t="s">
        <v>178</v>
      </c>
      <c r="G286" s="15" t="s">
        <v>266</v>
      </c>
      <c r="H286" s="15" t="s">
        <v>267</v>
      </c>
      <c r="I286" s="15" t="s">
        <v>43</v>
      </c>
      <c r="J286" s="15" t="s">
        <v>268</v>
      </c>
      <c r="K286" s="15" t="s">
        <v>45</v>
      </c>
      <c r="L286" s="17">
        <f>VLOOKUP(E286,[1]Diccionario!C$2:AC$150,22,0)</f>
        <v>2873641115</v>
      </c>
      <c r="M286" s="18">
        <f>VLOOKUP(E286,[1]Diccionario!C$2:AC$150,24,0)</f>
        <v>45705</v>
      </c>
      <c r="N286" s="19">
        <f>VLOOKUP(E286,[1]Diccionario!C$2:AC$150,25,0)</f>
        <v>46129</v>
      </c>
      <c r="O286" s="20">
        <f>VLOOKUP(E286,[1]Diccionario!C$2:AC$150,26,0)</f>
        <v>14</v>
      </c>
      <c r="P286" s="20">
        <f t="shared" si="52"/>
        <v>-10</v>
      </c>
      <c r="Q286" s="20">
        <v>4</v>
      </c>
      <c r="R286" s="15">
        <v>15</v>
      </c>
      <c r="S286" s="21">
        <v>0.3</v>
      </c>
      <c r="T286" s="21">
        <v>0.3</v>
      </c>
      <c r="U286" s="22"/>
      <c r="V286" s="24"/>
      <c r="W286" s="24">
        <f t="shared" si="53"/>
        <v>862092334.5</v>
      </c>
      <c r="X286" s="24">
        <f t="shared" si="54"/>
        <v>862092334.5</v>
      </c>
      <c r="Y286" s="24">
        <f t="shared" si="55"/>
        <v>862092334.5</v>
      </c>
      <c r="Z286" s="24">
        <f t="shared" si="56"/>
        <v>0</v>
      </c>
      <c r="AA286" s="25" t="str">
        <f t="shared" si="57"/>
        <v>No se realizó gasto en este corte</v>
      </c>
      <c r="AB286" s="26" t="str">
        <f t="shared" si="58"/>
        <v>Costo eficiente: se está gastando menos de lo presupuestado</v>
      </c>
      <c r="AC286" s="26">
        <f t="shared" si="59"/>
        <v>1</v>
      </c>
      <c r="AD286" s="26" t="str">
        <f t="shared" si="60"/>
        <v>Proyecto a tiempo según lo planificado</v>
      </c>
      <c r="AE286" s="27">
        <f t="shared" si="61"/>
        <v>0</v>
      </c>
      <c r="AF286" s="27">
        <f t="shared" si="62"/>
        <v>-2873641115</v>
      </c>
      <c r="AG286" s="28" t="str">
        <f>VLOOKUP(Indicador!E274,[1]Diccionario!C$1:AC$150,27,0)</f>
        <v>https://growdatasas.sharepoint.com/:x:/r/sites/Gestiondocumental/Administrativa/GD/Financiera/_layouts/15/Doc.aspx?sourcedoc=%7B74DBEC6A-69C6-4C69-8B83-8B465ADA35AB%7D&amp;file=Modelo%20Cortolima%20%20V2.xlsm&amp;action=default&amp;mobileredirect=true</v>
      </c>
      <c r="AH286" s="28">
        <v>1</v>
      </c>
      <c r="AI286" s="28">
        <v>1</v>
      </c>
      <c r="AJ286" s="28"/>
      <c r="AK286" s="28"/>
    </row>
    <row r="287" spans="1:37" ht="18.75" customHeight="1" x14ac:dyDescent="0.25">
      <c r="A287" s="11">
        <v>2025</v>
      </c>
      <c r="B287" s="12" t="s">
        <v>52</v>
      </c>
      <c r="C287" s="15" t="s">
        <v>264</v>
      </c>
      <c r="D287" s="39">
        <v>45705.736462615743</v>
      </c>
      <c r="E287" s="15" t="s">
        <v>265</v>
      </c>
      <c r="F287" s="15" t="s">
        <v>178</v>
      </c>
      <c r="G287" s="15" t="s">
        <v>266</v>
      </c>
      <c r="H287" s="15" t="s">
        <v>267</v>
      </c>
      <c r="I287" s="15" t="s">
        <v>43</v>
      </c>
      <c r="J287" s="15" t="s">
        <v>268</v>
      </c>
      <c r="K287" s="15" t="s">
        <v>45</v>
      </c>
      <c r="L287" s="17">
        <f>VLOOKUP(E287,[1]Diccionario!C$2:AC$150,22,0)</f>
        <v>2873641115</v>
      </c>
      <c r="M287" s="18">
        <f>VLOOKUP(E287,[1]Diccionario!C$2:AC$150,24,0)</f>
        <v>45705</v>
      </c>
      <c r="N287" s="19">
        <f>VLOOKUP(E287,[1]Diccionario!C$2:AC$150,25,0)</f>
        <v>46129</v>
      </c>
      <c r="O287" s="20">
        <f>VLOOKUP(E287,[1]Diccionario!C$2:AC$150,26,0)</f>
        <v>14</v>
      </c>
      <c r="P287" s="20">
        <f t="shared" si="52"/>
        <v>-9</v>
      </c>
      <c r="Q287" s="20">
        <v>5</v>
      </c>
      <c r="R287" s="15">
        <v>15</v>
      </c>
      <c r="S287" s="21">
        <v>0.36666666666666697</v>
      </c>
      <c r="T287" s="21">
        <v>0.36666666666666697</v>
      </c>
      <c r="U287" s="22"/>
      <c r="V287" s="24"/>
      <c r="W287" s="24">
        <f t="shared" si="53"/>
        <v>1053668408.8333342</v>
      </c>
      <c r="X287" s="24">
        <f t="shared" si="54"/>
        <v>1053668408.8333342</v>
      </c>
      <c r="Y287" s="24">
        <f t="shared" si="55"/>
        <v>1053668408.8333342</v>
      </c>
      <c r="Z287" s="24">
        <f t="shared" si="56"/>
        <v>0</v>
      </c>
      <c r="AA287" s="25" t="str">
        <f t="shared" si="57"/>
        <v>No se realizó gasto en este corte</v>
      </c>
      <c r="AB287" s="26" t="str">
        <f t="shared" si="58"/>
        <v>Costo eficiente: se está gastando menos de lo presupuestado</v>
      </c>
      <c r="AC287" s="26">
        <f t="shared" si="59"/>
        <v>1</v>
      </c>
      <c r="AD287" s="26" t="str">
        <f t="shared" si="60"/>
        <v>Proyecto a tiempo según lo planificado</v>
      </c>
      <c r="AE287" s="27">
        <f t="shared" si="61"/>
        <v>0</v>
      </c>
      <c r="AF287" s="27">
        <f t="shared" si="62"/>
        <v>-2873641115</v>
      </c>
      <c r="AG287" s="28" t="str">
        <f>VLOOKUP(Indicador!E275,[1]Diccionario!C$1:AC$150,27,0)</f>
        <v>https://growdatasas.sharepoint.com/:x:/r/sites/Gestiondocumental/Administrativa/GD/Financiera/_layouts/15/Doc.aspx?sourcedoc=%7B74DBEC6A-69C6-4C69-8B83-8B465ADA35AB%7D&amp;file=Modelo%20Cortolima%20%20V2.xlsm&amp;action=default&amp;mobileredirect=true</v>
      </c>
      <c r="AH287" s="28">
        <v>1</v>
      </c>
      <c r="AI287" s="28">
        <v>1</v>
      </c>
      <c r="AJ287" s="28"/>
      <c r="AK287" s="28"/>
    </row>
    <row r="288" spans="1:37" ht="18.75" customHeight="1" x14ac:dyDescent="0.25">
      <c r="A288" s="11">
        <v>2025</v>
      </c>
      <c r="B288" s="12" t="s">
        <v>53</v>
      </c>
      <c r="C288" s="15" t="s">
        <v>264</v>
      </c>
      <c r="D288" s="39">
        <v>45705.736462615743</v>
      </c>
      <c r="E288" s="15" t="s">
        <v>265</v>
      </c>
      <c r="F288" s="15" t="s">
        <v>178</v>
      </c>
      <c r="G288" s="15" t="s">
        <v>266</v>
      </c>
      <c r="H288" s="15" t="s">
        <v>267</v>
      </c>
      <c r="I288" s="15" t="s">
        <v>43</v>
      </c>
      <c r="J288" s="15" t="s">
        <v>268</v>
      </c>
      <c r="K288" s="15" t="s">
        <v>45</v>
      </c>
      <c r="L288" s="17">
        <f>VLOOKUP(E288,[1]Diccionario!C$2:AC$150,22,0)</f>
        <v>2873641115</v>
      </c>
      <c r="M288" s="18">
        <f>VLOOKUP(E288,[1]Diccionario!C$2:AC$150,24,0)</f>
        <v>45705</v>
      </c>
      <c r="N288" s="19">
        <f>VLOOKUP(E288,[1]Diccionario!C$2:AC$150,25,0)</f>
        <v>46129</v>
      </c>
      <c r="O288" s="20">
        <f>VLOOKUP(E288,[1]Diccionario!C$2:AC$150,26,0)</f>
        <v>14</v>
      </c>
      <c r="P288" s="20">
        <f t="shared" si="52"/>
        <v>-8</v>
      </c>
      <c r="Q288" s="20">
        <v>6</v>
      </c>
      <c r="R288" s="15">
        <v>15</v>
      </c>
      <c r="S288" s="21">
        <v>0.44166666666666698</v>
      </c>
      <c r="T288" s="21">
        <v>0.44166666666666698</v>
      </c>
      <c r="U288" s="22"/>
      <c r="V288" s="24"/>
      <c r="W288" s="24">
        <f t="shared" si="53"/>
        <v>1269191492.4583342</v>
      </c>
      <c r="X288" s="24">
        <f t="shared" si="54"/>
        <v>1269191492.4583342</v>
      </c>
      <c r="Y288" s="24">
        <f t="shared" si="55"/>
        <v>1269191492.4583342</v>
      </c>
      <c r="Z288" s="24">
        <f t="shared" si="56"/>
        <v>0</v>
      </c>
      <c r="AA288" s="25" t="str">
        <f t="shared" si="57"/>
        <v>No se realizó gasto en este corte</v>
      </c>
      <c r="AB288" s="26" t="str">
        <f t="shared" si="58"/>
        <v>Costo eficiente: se está gastando menos de lo presupuestado</v>
      </c>
      <c r="AC288" s="26">
        <f t="shared" si="59"/>
        <v>1</v>
      </c>
      <c r="AD288" s="26" t="str">
        <f t="shared" si="60"/>
        <v>Proyecto a tiempo según lo planificado</v>
      </c>
      <c r="AE288" s="27">
        <f t="shared" si="61"/>
        <v>0</v>
      </c>
      <c r="AF288" s="27">
        <f t="shared" si="62"/>
        <v>-2873641115</v>
      </c>
      <c r="AG288" s="28" t="str">
        <f>VLOOKUP(Indicador!E276,[1]Diccionario!C$1:AC$150,27,0)</f>
        <v>https://growdatasas.sharepoint.com/:x:/r/sites/Gestiondocumental/Administrativa/GD/Financiera/_layouts/15/Doc.aspx?sourcedoc=%7B74DBEC6A-69C6-4C69-8B83-8B465ADA35AB%7D&amp;file=Modelo%20Cortolima%20%20V2.xlsm&amp;action=default&amp;mobileredirect=true</v>
      </c>
      <c r="AH288" s="28">
        <v>1</v>
      </c>
      <c r="AI288" s="28">
        <v>1</v>
      </c>
      <c r="AJ288" s="28"/>
      <c r="AK288" s="28"/>
    </row>
    <row r="289" spans="1:37" ht="18.75" customHeight="1" x14ac:dyDescent="0.25">
      <c r="A289" s="11">
        <v>2025</v>
      </c>
      <c r="B289" s="12" t="s">
        <v>54</v>
      </c>
      <c r="C289" s="15" t="s">
        <v>264</v>
      </c>
      <c r="D289" s="39">
        <v>45705.736462615743</v>
      </c>
      <c r="E289" s="15" t="s">
        <v>265</v>
      </c>
      <c r="F289" s="15" t="s">
        <v>178</v>
      </c>
      <c r="G289" s="15" t="s">
        <v>266</v>
      </c>
      <c r="H289" s="15" t="s">
        <v>267</v>
      </c>
      <c r="I289" s="15" t="s">
        <v>43</v>
      </c>
      <c r="J289" s="15" t="s">
        <v>268</v>
      </c>
      <c r="K289" s="15" t="s">
        <v>45</v>
      </c>
      <c r="L289" s="17">
        <f>VLOOKUP(E289,[1]Diccionario!C$2:AC$150,22,0)</f>
        <v>2873641115</v>
      </c>
      <c r="M289" s="18">
        <f>VLOOKUP(E289,[1]Diccionario!C$2:AC$150,24,0)</f>
        <v>45705</v>
      </c>
      <c r="N289" s="19">
        <f>VLOOKUP(E289,[1]Diccionario!C$2:AC$150,25,0)</f>
        <v>46129</v>
      </c>
      <c r="O289" s="20">
        <f>VLOOKUP(E289,[1]Diccionario!C$2:AC$150,26,0)</f>
        <v>14</v>
      </c>
      <c r="P289" s="20">
        <f t="shared" ca="1" si="52"/>
        <v>-1</v>
      </c>
      <c r="Q289" s="20">
        <f ca="1">DATEDIF(M289,TODAY(),"m")</f>
        <v>13</v>
      </c>
      <c r="R289" s="15">
        <v>15</v>
      </c>
      <c r="S289" s="21">
        <v>0.51666666666666705</v>
      </c>
      <c r="T289" s="21">
        <v>0.51666666666666705</v>
      </c>
      <c r="U289" s="22"/>
      <c r="V289" s="24"/>
      <c r="W289" s="24">
        <f t="shared" si="53"/>
        <v>1484714576.0833344</v>
      </c>
      <c r="X289" s="24">
        <f t="shared" si="54"/>
        <v>1484714576.0833344</v>
      </c>
      <c r="Y289" s="24">
        <f t="shared" si="55"/>
        <v>1484714576.0833344</v>
      </c>
      <c r="Z289" s="24">
        <f t="shared" si="56"/>
        <v>0</v>
      </c>
      <c r="AA289" s="25" t="str">
        <f t="shared" si="57"/>
        <v>No se realizó gasto en este corte</v>
      </c>
      <c r="AB289" s="26" t="str">
        <f t="shared" si="58"/>
        <v>Costo eficiente: se está gastando menos de lo presupuestado</v>
      </c>
      <c r="AC289" s="26">
        <f t="shared" si="59"/>
        <v>1</v>
      </c>
      <c r="AD289" s="26" t="str">
        <f t="shared" si="60"/>
        <v>Proyecto a tiempo según lo planificado</v>
      </c>
      <c r="AE289" s="27">
        <f t="shared" si="61"/>
        <v>0</v>
      </c>
      <c r="AF289" s="27">
        <f t="shared" si="62"/>
        <v>-2873641115</v>
      </c>
      <c r="AG289" s="28" t="str">
        <f>VLOOKUP(Indicador!E277,[1]Diccionario!C$1:AC$150,27,0)</f>
        <v>https://growdatasas.sharepoint.com/:x:/r/sites/Gestiondocumental/Administrativa/GD/Financiera/_layouts/15/Doc.aspx?sourcedoc=%7B74DBEC6A-69C6-4C69-8B83-8B465ADA35AB%7D&amp;file=Modelo%20Cortolima%20%20V2.xlsm&amp;action=default&amp;mobileredirect=true</v>
      </c>
      <c r="AH289" s="28">
        <v>1</v>
      </c>
      <c r="AI289" s="28">
        <v>1</v>
      </c>
      <c r="AJ289" s="28"/>
      <c r="AK289" s="28"/>
    </row>
    <row r="290" spans="1:37" ht="18.75" customHeight="1" x14ac:dyDescent="0.25">
      <c r="A290" s="11">
        <v>2025</v>
      </c>
      <c r="B290" s="12" t="s">
        <v>55</v>
      </c>
      <c r="C290" s="15" t="s">
        <v>264</v>
      </c>
      <c r="D290" s="39">
        <v>45705.736462615743</v>
      </c>
      <c r="E290" s="15" t="s">
        <v>265</v>
      </c>
      <c r="F290" s="15" t="s">
        <v>178</v>
      </c>
      <c r="G290" s="15" t="s">
        <v>266</v>
      </c>
      <c r="H290" s="15" t="s">
        <v>267</v>
      </c>
      <c r="I290" s="15" t="s">
        <v>43</v>
      </c>
      <c r="J290" s="15" t="s">
        <v>268</v>
      </c>
      <c r="K290" s="15" t="s">
        <v>45</v>
      </c>
      <c r="L290" s="17">
        <f>VLOOKUP(E290,[1]Diccionario!C$2:AC$150,22,0)</f>
        <v>2873641115</v>
      </c>
      <c r="M290" s="18">
        <f>VLOOKUP(E290,[1]Diccionario!C$2:AC$150,24,0)</f>
        <v>45705</v>
      </c>
      <c r="N290" s="19">
        <f>VLOOKUP(E290,[1]Diccionario!C$2:AC$150,25,0)</f>
        <v>46129</v>
      </c>
      <c r="O290" s="20">
        <f>VLOOKUP(E290,[1]Diccionario!C$2:AC$150,26,0)</f>
        <v>14</v>
      </c>
      <c r="P290" s="20">
        <f t="shared" si="52"/>
        <v>-7</v>
      </c>
      <c r="Q290" s="20">
        <v>7</v>
      </c>
      <c r="R290" s="15">
        <v>15</v>
      </c>
      <c r="S290" s="21">
        <v>0.59166666666666701</v>
      </c>
      <c r="T290" s="21">
        <v>0.59166666666666701</v>
      </c>
      <c r="U290" s="22"/>
      <c r="V290" s="24"/>
      <c r="W290" s="24">
        <f t="shared" si="53"/>
        <v>1700237659.7083342</v>
      </c>
      <c r="X290" s="24">
        <f t="shared" si="54"/>
        <v>1700237659.7083342</v>
      </c>
      <c r="Y290" s="24">
        <f t="shared" si="55"/>
        <v>1700237659.7083342</v>
      </c>
      <c r="Z290" s="24">
        <f t="shared" si="56"/>
        <v>0</v>
      </c>
      <c r="AA290" s="25" t="str">
        <f t="shared" si="57"/>
        <v>No se realizó gasto en este corte</v>
      </c>
      <c r="AB290" s="26" t="str">
        <f t="shared" si="58"/>
        <v>Costo eficiente: se está gastando menos de lo presupuestado</v>
      </c>
      <c r="AC290" s="26">
        <f t="shared" si="59"/>
        <v>1</v>
      </c>
      <c r="AD290" s="26" t="str">
        <f t="shared" si="60"/>
        <v>Proyecto a tiempo según lo planificado</v>
      </c>
      <c r="AE290" s="27">
        <f t="shared" si="61"/>
        <v>0</v>
      </c>
      <c r="AF290" s="27">
        <f t="shared" si="62"/>
        <v>-2873641115</v>
      </c>
      <c r="AG290" s="28" t="str">
        <f>VLOOKUP(Indicador!E278,[1]Diccionario!C$1:AC$150,27,0)</f>
        <v>https://growdatasas.sharepoint.com/:x:/r/sites/Gestiondocumental/Administrativa/GD/Financiera/_layouts/15/Doc.aspx?sourcedoc=%7B74DBEC6A-69C6-4C69-8B83-8B465ADA35AB%7D&amp;file=Modelo%20Cortolima%20%20V2.xlsm&amp;action=default&amp;mobileredirect=true</v>
      </c>
      <c r="AH290" s="28">
        <v>1</v>
      </c>
      <c r="AI290" s="28">
        <v>1</v>
      </c>
      <c r="AJ290" s="28"/>
      <c r="AK290" s="28"/>
    </row>
    <row r="291" spans="1:37" ht="18.75" customHeight="1" x14ac:dyDescent="0.25">
      <c r="A291" s="11">
        <v>2025</v>
      </c>
      <c r="B291" s="12" t="s">
        <v>56</v>
      </c>
      <c r="C291" s="15" t="s">
        <v>264</v>
      </c>
      <c r="D291" s="39">
        <v>45705.736462615743</v>
      </c>
      <c r="E291" s="15" t="s">
        <v>265</v>
      </c>
      <c r="F291" s="15" t="s">
        <v>178</v>
      </c>
      <c r="G291" s="15" t="s">
        <v>266</v>
      </c>
      <c r="H291" s="15" t="s">
        <v>267</v>
      </c>
      <c r="I291" s="15" t="s">
        <v>43</v>
      </c>
      <c r="J291" s="15" t="s">
        <v>268</v>
      </c>
      <c r="K291" s="15" t="s">
        <v>45</v>
      </c>
      <c r="L291" s="17">
        <f>VLOOKUP(E291,[1]Diccionario!C$2:AC$150,22,0)</f>
        <v>2873641115</v>
      </c>
      <c r="M291" s="18">
        <f>VLOOKUP(E291,[1]Diccionario!C$2:AC$150,24,0)</f>
        <v>45705</v>
      </c>
      <c r="N291" s="19">
        <f>VLOOKUP(E291,[1]Diccionario!C$2:AC$150,25,0)</f>
        <v>46129</v>
      </c>
      <c r="O291" s="20">
        <f>VLOOKUP(E291,[1]Diccionario!C$2:AC$150,26,0)</f>
        <v>14</v>
      </c>
      <c r="P291" s="20">
        <f t="shared" si="52"/>
        <v>-6</v>
      </c>
      <c r="Q291" s="20">
        <v>8</v>
      </c>
      <c r="R291" s="15">
        <v>15</v>
      </c>
      <c r="S291" s="21">
        <v>0.66666666666666696</v>
      </c>
      <c r="T291" s="21">
        <v>0.66666666666666696</v>
      </c>
      <c r="U291" s="22"/>
      <c r="V291" s="24"/>
      <c r="W291" s="24">
        <f t="shared" si="53"/>
        <v>1915760743.3333342</v>
      </c>
      <c r="X291" s="24">
        <f t="shared" si="54"/>
        <v>1915760743.3333342</v>
      </c>
      <c r="Y291" s="24">
        <f t="shared" si="55"/>
        <v>1915760743.3333342</v>
      </c>
      <c r="Z291" s="24">
        <f t="shared" si="56"/>
        <v>0</v>
      </c>
      <c r="AA291" s="25" t="str">
        <f t="shared" si="57"/>
        <v>No se realizó gasto en este corte</v>
      </c>
      <c r="AB291" s="26" t="str">
        <f t="shared" si="58"/>
        <v>Costo eficiente: se está gastando menos de lo presupuestado</v>
      </c>
      <c r="AC291" s="26">
        <f t="shared" si="59"/>
        <v>1</v>
      </c>
      <c r="AD291" s="26" t="str">
        <f t="shared" si="60"/>
        <v>Proyecto a tiempo según lo planificado</v>
      </c>
      <c r="AE291" s="27">
        <f t="shared" si="61"/>
        <v>0</v>
      </c>
      <c r="AF291" s="27">
        <f t="shared" si="62"/>
        <v>-2873641115</v>
      </c>
      <c r="AG291" s="28" t="str">
        <f>VLOOKUP(Indicador!E279,[1]Diccionario!C$1:AC$150,27,0)</f>
        <v>https://growdatasas.sharepoint.com/:x:/r/sites/Gestiondocumental/Administrativa/GD/Financiera/_layouts/15/Doc.aspx?sourcedoc=%7B74DBEC6A-69C6-4C69-8B83-8B465ADA35AB%7D&amp;file=Modelo%20Cortolima%20%20V2.xlsm&amp;action=default&amp;mobileredirect=true</v>
      </c>
      <c r="AH291" s="28">
        <v>1</v>
      </c>
      <c r="AI291" s="28">
        <v>1</v>
      </c>
      <c r="AJ291" s="28"/>
      <c r="AK291" s="28"/>
    </row>
    <row r="292" spans="1:37" ht="18.75" customHeight="1" x14ac:dyDescent="0.25">
      <c r="A292" s="11">
        <v>2025</v>
      </c>
      <c r="B292" s="12" t="s">
        <v>57</v>
      </c>
      <c r="C292" s="15" t="s">
        <v>264</v>
      </c>
      <c r="D292" s="39">
        <v>45705.736462615743</v>
      </c>
      <c r="E292" s="15" t="s">
        <v>265</v>
      </c>
      <c r="F292" s="15" t="s">
        <v>178</v>
      </c>
      <c r="G292" s="15" t="s">
        <v>266</v>
      </c>
      <c r="H292" s="15" t="s">
        <v>267</v>
      </c>
      <c r="I292" s="15" t="s">
        <v>43</v>
      </c>
      <c r="J292" s="15" t="s">
        <v>268</v>
      </c>
      <c r="K292" s="15" t="s">
        <v>45</v>
      </c>
      <c r="L292" s="17">
        <f>VLOOKUP(E292,[1]Diccionario!C$2:AC$150,22,0)</f>
        <v>2873641115</v>
      </c>
      <c r="M292" s="18">
        <f>VLOOKUP(E292,[1]Diccionario!C$2:AC$150,24,0)</f>
        <v>45705</v>
      </c>
      <c r="N292" s="19">
        <f>VLOOKUP(E292,[1]Diccionario!C$2:AC$150,25,0)</f>
        <v>46129</v>
      </c>
      <c r="O292" s="20">
        <f>VLOOKUP(E292,[1]Diccionario!C$2:AC$150,26,0)</f>
        <v>14</v>
      </c>
      <c r="P292" s="20">
        <f t="shared" si="52"/>
        <v>-5</v>
      </c>
      <c r="Q292" s="20">
        <v>9</v>
      </c>
      <c r="R292" s="15">
        <v>15</v>
      </c>
      <c r="S292" s="21">
        <v>0.74166666666666703</v>
      </c>
      <c r="T292" s="21">
        <v>0.74166666666666703</v>
      </c>
      <c r="U292" s="22"/>
      <c r="V292" s="24"/>
      <c r="W292" s="24">
        <f t="shared" si="53"/>
        <v>2131283826.9583344</v>
      </c>
      <c r="X292" s="24">
        <f t="shared" si="54"/>
        <v>2131283826.9583344</v>
      </c>
      <c r="Y292" s="24">
        <f t="shared" si="55"/>
        <v>2131283826.9583344</v>
      </c>
      <c r="Z292" s="24">
        <f t="shared" si="56"/>
        <v>0</v>
      </c>
      <c r="AA292" s="25" t="str">
        <f t="shared" si="57"/>
        <v>No se realizó gasto en este corte</v>
      </c>
      <c r="AB292" s="26" t="str">
        <f t="shared" si="58"/>
        <v>Costo eficiente: se está gastando menos de lo presupuestado</v>
      </c>
      <c r="AC292" s="26">
        <f t="shared" si="59"/>
        <v>1</v>
      </c>
      <c r="AD292" s="26" t="str">
        <f t="shared" si="60"/>
        <v>Proyecto a tiempo según lo planificado</v>
      </c>
      <c r="AE292" s="27">
        <f t="shared" si="61"/>
        <v>0</v>
      </c>
      <c r="AF292" s="27">
        <f t="shared" si="62"/>
        <v>-2873641115</v>
      </c>
      <c r="AG292" s="28" t="str">
        <f>VLOOKUP(Indicador!E280,[1]Diccionario!C$1:AC$150,27,0)</f>
        <v>https://growdatasas.sharepoint.com/:x:/r/sites/Gestiondocumental/Administrativa/GD/Financiera/_layouts/15/Doc.aspx?sourcedoc=%7B74DBEC6A-69C6-4C69-8B83-8B465ADA35AB%7D&amp;file=Modelo%20Cortolima%20%20V2.xlsm&amp;action=default&amp;mobileredirect=true</v>
      </c>
      <c r="AH292" s="28">
        <v>1</v>
      </c>
      <c r="AI292" s="28">
        <v>1</v>
      </c>
      <c r="AJ292" s="28"/>
      <c r="AK292" s="28"/>
    </row>
    <row r="293" spans="1:37" ht="18.75" customHeight="1" x14ac:dyDescent="0.25">
      <c r="A293" s="11">
        <v>2026</v>
      </c>
      <c r="B293" s="12" t="s">
        <v>37</v>
      </c>
      <c r="C293" s="15" t="s">
        <v>264</v>
      </c>
      <c r="D293" s="39">
        <v>45705.736462615743</v>
      </c>
      <c r="E293" s="15" t="s">
        <v>265</v>
      </c>
      <c r="F293" s="15" t="s">
        <v>178</v>
      </c>
      <c r="G293" s="15" t="s">
        <v>266</v>
      </c>
      <c r="H293" s="15" t="s">
        <v>267</v>
      </c>
      <c r="I293" s="15" t="s">
        <v>43</v>
      </c>
      <c r="J293" s="15" t="s">
        <v>268</v>
      </c>
      <c r="K293" s="15" t="s">
        <v>45</v>
      </c>
      <c r="L293" s="17">
        <f>VLOOKUP(E293,[1]Diccionario!C$2:AC$150,22,0)</f>
        <v>2873641115</v>
      </c>
      <c r="M293" s="18">
        <f>VLOOKUP(E293,[1]Diccionario!C$2:AC$150,24,0)</f>
        <v>45705</v>
      </c>
      <c r="N293" s="19">
        <f>VLOOKUP(E293,[1]Diccionario!C$2:AC$150,25,0)</f>
        <v>46129</v>
      </c>
      <c r="O293" s="20">
        <f>VLOOKUP(E293,[1]Diccionario!C$2:AC$150,26,0)</f>
        <v>14</v>
      </c>
      <c r="P293" s="20">
        <f t="shared" ca="1" si="52"/>
        <v>-1</v>
      </c>
      <c r="Q293" s="20">
        <f ca="1">DATEDIF(M293,TODAY(),"m")</f>
        <v>13</v>
      </c>
      <c r="R293" s="15">
        <v>15</v>
      </c>
      <c r="S293" s="21">
        <v>0.81666666666666698</v>
      </c>
      <c r="T293" s="21">
        <v>0.81666666666666698</v>
      </c>
      <c r="U293" s="22"/>
      <c r="V293" s="24"/>
      <c r="W293" s="24">
        <f t="shared" si="53"/>
        <v>2346806910.5833344</v>
      </c>
      <c r="X293" s="24">
        <f t="shared" si="54"/>
        <v>2346806910.5833344</v>
      </c>
      <c r="Y293" s="24">
        <f t="shared" si="55"/>
        <v>2346806910.5833344</v>
      </c>
      <c r="Z293" s="24">
        <f t="shared" si="56"/>
        <v>0</v>
      </c>
      <c r="AA293" s="25" t="str">
        <f t="shared" si="57"/>
        <v>No se realizó gasto en este corte</v>
      </c>
      <c r="AB293" s="26" t="str">
        <f t="shared" si="58"/>
        <v>Costo eficiente: se está gastando menos de lo presupuestado</v>
      </c>
      <c r="AC293" s="26">
        <f t="shared" si="59"/>
        <v>1</v>
      </c>
      <c r="AD293" s="26" t="str">
        <f t="shared" si="60"/>
        <v>Proyecto a tiempo según lo planificado</v>
      </c>
      <c r="AE293" s="27">
        <f t="shared" si="61"/>
        <v>0</v>
      </c>
      <c r="AF293" s="27">
        <f t="shared" si="62"/>
        <v>-2873641115</v>
      </c>
      <c r="AG293" s="28" t="str">
        <f>VLOOKUP(Indicador!E281,[1]Diccionario!C$1:AC$150,27,0)</f>
        <v>https://growdatasas.sharepoint.com/:x:/r/sites/Gestiondocumental/Administrativa/GD/Financiera/_layouts/15/Doc.aspx?sourcedoc=%7B63ACCEFA-DDF2-4B3A-ACF3-AA1C9CA2E579%7D&amp;file=MODELO%20FINANCIERO%20PHARMBILLS%202025012281.xlsm&amp;action=default&amp;mobileredirect=true</v>
      </c>
      <c r="AH293" s="28">
        <v>1</v>
      </c>
      <c r="AI293" s="28">
        <v>1</v>
      </c>
      <c r="AJ293" s="28"/>
      <c r="AK293" s="28"/>
    </row>
    <row r="294" spans="1:37" ht="18.75" customHeight="1" x14ac:dyDescent="0.25">
      <c r="A294" s="11">
        <v>2026</v>
      </c>
      <c r="B294" s="12" t="s">
        <v>47</v>
      </c>
      <c r="C294" s="15" t="s">
        <v>264</v>
      </c>
      <c r="D294" s="39">
        <v>45705.736462615743</v>
      </c>
      <c r="E294" s="15" t="s">
        <v>265</v>
      </c>
      <c r="F294" s="15" t="s">
        <v>178</v>
      </c>
      <c r="G294" s="15" t="s">
        <v>266</v>
      </c>
      <c r="H294" s="15" t="s">
        <v>267</v>
      </c>
      <c r="I294" s="15" t="s">
        <v>43</v>
      </c>
      <c r="J294" s="15" t="s">
        <v>268</v>
      </c>
      <c r="K294" s="15" t="s">
        <v>45</v>
      </c>
      <c r="L294" s="17">
        <f>VLOOKUP(E294,[1]Diccionario!C$2:AC$150,22,0)</f>
        <v>2873641115</v>
      </c>
      <c r="M294" s="18">
        <f>VLOOKUP(E294,[1]Diccionario!C$2:AC$150,24,0)</f>
        <v>45705</v>
      </c>
      <c r="N294" s="19">
        <f>VLOOKUP(E294,[1]Diccionario!C$2:AC$150,25,0)</f>
        <v>46129</v>
      </c>
      <c r="O294" s="20">
        <f>VLOOKUP(E294,[1]Diccionario!C$2:AC$150,26,0)</f>
        <v>14</v>
      </c>
      <c r="P294" s="20">
        <f t="shared" si="52"/>
        <v>-4</v>
      </c>
      <c r="Q294" s="20">
        <v>10</v>
      </c>
      <c r="R294" s="15">
        <v>15</v>
      </c>
      <c r="S294" s="21">
        <v>0.89166666666666705</v>
      </c>
      <c r="T294" s="21">
        <v>0.89166666666666705</v>
      </c>
      <c r="U294" s="22"/>
      <c r="V294" s="24"/>
      <c r="W294" s="24">
        <f t="shared" si="53"/>
        <v>2562329994.2083344</v>
      </c>
      <c r="X294" s="24">
        <f t="shared" si="54"/>
        <v>2562329994.2083344</v>
      </c>
      <c r="Y294" s="24">
        <f t="shared" si="55"/>
        <v>2562329994.2083344</v>
      </c>
      <c r="Z294" s="24">
        <f t="shared" si="56"/>
        <v>0</v>
      </c>
      <c r="AA294" s="25" t="str">
        <f t="shared" si="57"/>
        <v>No se realizó gasto en este corte</v>
      </c>
      <c r="AB294" s="26" t="str">
        <f t="shared" si="58"/>
        <v>Costo eficiente: se está gastando menos de lo presupuestado</v>
      </c>
      <c r="AC294" s="26">
        <f t="shared" si="59"/>
        <v>1</v>
      </c>
      <c r="AD294" s="26" t="str">
        <f t="shared" si="60"/>
        <v>Proyecto a tiempo según lo planificado</v>
      </c>
      <c r="AE294" s="27">
        <f t="shared" si="61"/>
        <v>0</v>
      </c>
      <c r="AF294" s="27">
        <f t="shared" si="62"/>
        <v>-2873641115</v>
      </c>
      <c r="AG294" s="28" t="str">
        <f>VLOOKUP(Indicador!E282,[1]Diccionario!C$1:AC$150,27,0)</f>
        <v>https://growdatasas.sharepoint.com/:x:/r/sites/Gestiondocumental/Administrativa/GD/Financiera/_layouts/15/Doc.aspx?sourcedoc=%7B1EA3B8D8-B0B8-48BF-BDD1-3151961F579B%7D&amp;file=MODELO%20FINANCIERO%20PLANILLA%20VIAJES%2018.11.25%20V7.xlsm&amp;action=default&amp;mobileredirect=true</v>
      </c>
      <c r="AH294" s="28">
        <v>1</v>
      </c>
      <c r="AI294" s="28">
        <v>1</v>
      </c>
      <c r="AJ294" s="28"/>
      <c r="AK294" s="28"/>
    </row>
    <row r="295" spans="1:37" ht="18.75" customHeight="1" x14ac:dyDescent="0.25">
      <c r="A295" s="11">
        <v>2026</v>
      </c>
      <c r="B295" s="12" t="s">
        <v>48</v>
      </c>
      <c r="C295" s="15" t="s">
        <v>264</v>
      </c>
      <c r="D295" s="39">
        <v>45705.736462615743</v>
      </c>
      <c r="E295" s="15" t="s">
        <v>265</v>
      </c>
      <c r="F295" s="15" t="s">
        <v>178</v>
      </c>
      <c r="G295" s="15" t="s">
        <v>266</v>
      </c>
      <c r="H295" s="15" t="s">
        <v>267</v>
      </c>
      <c r="I295" s="15" t="s">
        <v>43</v>
      </c>
      <c r="J295" s="15" t="s">
        <v>268</v>
      </c>
      <c r="K295" s="15" t="s">
        <v>45</v>
      </c>
      <c r="L295" s="17">
        <f>VLOOKUP(E295,[1]Diccionario!C$2:AC$150,22,0)</f>
        <v>2873641115</v>
      </c>
      <c r="M295" s="18">
        <f>VLOOKUP(E295,[1]Diccionario!C$2:AC$150,24,0)</f>
        <v>45705</v>
      </c>
      <c r="N295" s="19">
        <f>VLOOKUP(E295,[1]Diccionario!C$2:AC$150,25,0)</f>
        <v>46129</v>
      </c>
      <c r="O295" s="20">
        <f>VLOOKUP(E295,[1]Diccionario!C$2:AC$150,26,0)</f>
        <v>14</v>
      </c>
      <c r="P295" s="20">
        <f t="shared" si="52"/>
        <v>-3</v>
      </c>
      <c r="Q295" s="20">
        <v>11</v>
      </c>
      <c r="R295" s="15">
        <v>15</v>
      </c>
      <c r="S295" s="21">
        <v>0.96666666666666701</v>
      </c>
      <c r="T295" s="21">
        <v>0</v>
      </c>
      <c r="U295" s="22"/>
      <c r="V295" s="24"/>
      <c r="W295" s="24">
        <f t="shared" si="53"/>
        <v>0</v>
      </c>
      <c r="X295" s="24">
        <f t="shared" si="54"/>
        <v>2777853077.8333344</v>
      </c>
      <c r="Y295" s="24">
        <f t="shared" si="55"/>
        <v>0</v>
      </c>
      <c r="Z295" s="24">
        <f t="shared" si="56"/>
        <v>-2777853077.8333344</v>
      </c>
      <c r="AA295" s="25" t="str">
        <f t="shared" si="57"/>
        <v>No se realizó gasto en este corte</v>
      </c>
      <c r="AB295" s="26" t="str">
        <f t="shared" si="58"/>
        <v>Costo eficiente: se está gastando menos de lo presupuestado</v>
      </c>
      <c r="AC295" s="26">
        <f t="shared" si="59"/>
        <v>0</v>
      </c>
      <c r="AD295" s="26" t="str">
        <f t="shared" si="60"/>
        <v>Sin Línea Base</v>
      </c>
      <c r="AE295" s="27">
        <f t="shared" si="61"/>
        <v>0</v>
      </c>
      <c r="AF295" s="27">
        <f t="shared" si="62"/>
        <v>-2873641115</v>
      </c>
      <c r="AG295" s="28" t="str">
        <f>VLOOKUP(Indicador!E283,[1]Diccionario!C$1:AC$150,27,0)</f>
        <v>https://growdatasas.sharepoint.com/:x:/r/sites/Gestiondocumental/Administrativa/GD/Financiera/_layouts/15/Doc.aspx?sourcedoc=%7B1EA3B8D8-B0B8-48BF-BDD1-3151961F579B%7D&amp;file=MODELO%20FINANCIERO%20PLANILLA%20VIAJES%2018.11.25%20V7.xlsm&amp;action=default&amp;mobileredirect=true</v>
      </c>
      <c r="AH295" s="28">
        <v>1</v>
      </c>
      <c r="AI295" s="28">
        <v>1</v>
      </c>
      <c r="AJ295" s="28"/>
      <c r="AK295" s="28"/>
    </row>
    <row r="296" spans="1:37" ht="18.75" customHeight="1" x14ac:dyDescent="0.25">
      <c r="A296" s="11">
        <v>2026</v>
      </c>
      <c r="B296" s="12" t="s">
        <v>49</v>
      </c>
      <c r="C296" s="15" t="s">
        <v>264</v>
      </c>
      <c r="D296" s="39">
        <v>45705.736462615743</v>
      </c>
      <c r="E296" s="15" t="s">
        <v>265</v>
      </c>
      <c r="F296" s="15" t="s">
        <v>178</v>
      </c>
      <c r="G296" s="15" t="s">
        <v>266</v>
      </c>
      <c r="H296" s="15" t="s">
        <v>267</v>
      </c>
      <c r="I296" s="15" t="s">
        <v>43</v>
      </c>
      <c r="J296" s="15" t="s">
        <v>268</v>
      </c>
      <c r="K296" s="15" t="s">
        <v>45</v>
      </c>
      <c r="L296" s="17">
        <f>VLOOKUP(E296,[1]Diccionario!C$2:AC$150,22,0)</f>
        <v>2873641115</v>
      </c>
      <c r="M296" s="18">
        <f>VLOOKUP(E296,[1]Diccionario!C$2:AC$150,24,0)</f>
        <v>45705</v>
      </c>
      <c r="N296" s="19">
        <f>VLOOKUP(E296,[1]Diccionario!C$2:AC$150,25,0)</f>
        <v>46129</v>
      </c>
      <c r="O296" s="20">
        <f>VLOOKUP(E296,[1]Diccionario!C$2:AC$150,26,0)</f>
        <v>14</v>
      </c>
      <c r="P296" s="20">
        <f t="shared" si="52"/>
        <v>-2</v>
      </c>
      <c r="Q296" s="20">
        <v>12</v>
      </c>
      <c r="R296" s="15">
        <v>15</v>
      </c>
      <c r="S296" s="21">
        <v>1</v>
      </c>
      <c r="T296" s="21">
        <v>0</v>
      </c>
      <c r="U296" s="22"/>
      <c r="V296" s="24"/>
      <c r="W296" s="24">
        <f t="shared" si="53"/>
        <v>0</v>
      </c>
      <c r="X296" s="24">
        <f t="shared" si="54"/>
        <v>2873641115</v>
      </c>
      <c r="Y296" s="24">
        <f t="shared" si="55"/>
        <v>0</v>
      </c>
      <c r="Z296" s="24">
        <f t="shared" si="56"/>
        <v>-2873641115</v>
      </c>
      <c r="AA296" s="25" t="str">
        <f t="shared" si="57"/>
        <v>No se realizó gasto en este corte</v>
      </c>
      <c r="AB296" s="26" t="str">
        <f t="shared" si="58"/>
        <v>Costo eficiente: se está gastando menos de lo presupuestado</v>
      </c>
      <c r="AC296" s="26">
        <f t="shared" si="59"/>
        <v>0</v>
      </c>
      <c r="AD296" s="26" t="str">
        <f t="shared" si="60"/>
        <v>Sin Línea Base</v>
      </c>
      <c r="AE296" s="27">
        <f t="shared" si="61"/>
        <v>0</v>
      </c>
      <c r="AF296" s="27">
        <f t="shared" si="62"/>
        <v>-2873641115</v>
      </c>
      <c r="AG296" s="28" t="str">
        <f>VLOOKUP(Indicador!E284,[1]Diccionario!C$1:AC$150,27,0)</f>
        <v>https://growdatasas.sharepoint.com/:x:/r/sites/Gestiondocumental/Administrativa/GD/Financiera/_layouts/15/Doc.aspx?sourcedoc=%7B1EA3B8D8-B0B8-48BF-BDD1-3151961F579B%7D&amp;file=MODELO%20FINANCIERO%20PLANILLA%20VIAJES%2018.11.25%20V7.xlsm&amp;action=default&amp;mobileredirect=true</v>
      </c>
      <c r="AH296" s="28">
        <v>1</v>
      </c>
      <c r="AI296" s="28">
        <v>1</v>
      </c>
      <c r="AJ296" s="28"/>
      <c r="AK296" s="28"/>
    </row>
    <row r="297" spans="1:37" ht="18.75" customHeight="1" x14ac:dyDescent="0.25">
      <c r="A297" s="11">
        <v>2025</v>
      </c>
      <c r="B297" s="12" t="s">
        <v>48</v>
      </c>
      <c r="C297" s="15" t="s">
        <v>269</v>
      </c>
      <c r="D297" s="39">
        <v>45726.538149618056</v>
      </c>
      <c r="E297" s="15" t="s">
        <v>270</v>
      </c>
      <c r="F297" s="15" t="s">
        <v>271</v>
      </c>
      <c r="G297" s="15" t="s">
        <v>272</v>
      </c>
      <c r="H297" s="15" t="s">
        <v>273</v>
      </c>
      <c r="I297" s="15" t="s">
        <v>63</v>
      </c>
      <c r="J297" s="15" t="s">
        <v>274</v>
      </c>
      <c r="K297" s="15" t="s">
        <v>45</v>
      </c>
      <c r="L297" s="17">
        <f>VLOOKUP(E297,[1]Diccionario!C$2:AC$150,22,0)</f>
        <v>10862267536</v>
      </c>
      <c r="M297" s="18">
        <f>VLOOKUP(E297,[1]Diccionario!C$2:AC$150,24,0)</f>
        <v>45717</v>
      </c>
      <c r="N297" s="19">
        <f>VLOOKUP(E297,[1]Diccionario!C$2:AC$150,25,0)</f>
        <v>46203</v>
      </c>
      <c r="O297" s="20">
        <f>VLOOKUP(E297,[1]Diccionario!C$2:AC$150,26,0)</f>
        <v>15.97</v>
      </c>
      <c r="P297" s="20">
        <f t="shared" si="52"/>
        <v>-14.97</v>
      </c>
      <c r="Q297" s="20">
        <v>1</v>
      </c>
      <c r="R297" s="15">
        <v>16</v>
      </c>
      <c r="S297" s="21">
        <v>0.15</v>
      </c>
      <c r="T297" s="21">
        <v>0.15</v>
      </c>
      <c r="U297" s="22"/>
      <c r="V297" s="24"/>
      <c r="W297" s="24">
        <f t="shared" si="53"/>
        <v>1629340130.3999999</v>
      </c>
      <c r="X297" s="24">
        <f t="shared" si="54"/>
        <v>1629340130.3999999</v>
      </c>
      <c r="Y297" s="24">
        <f t="shared" si="55"/>
        <v>1629340130.3999999</v>
      </c>
      <c r="Z297" s="24">
        <f t="shared" si="56"/>
        <v>0</v>
      </c>
      <c r="AA297" s="25" t="str">
        <f t="shared" si="57"/>
        <v>No se realizó gasto en este corte</v>
      </c>
      <c r="AB297" s="26" t="str">
        <f t="shared" si="58"/>
        <v>Costo eficiente: se está gastando menos de lo presupuestado</v>
      </c>
      <c r="AC297" s="26">
        <f t="shared" si="59"/>
        <v>1</v>
      </c>
      <c r="AD297" s="26" t="str">
        <f t="shared" si="60"/>
        <v>Proyecto a tiempo según lo planificado</v>
      </c>
      <c r="AE297" s="27">
        <f t="shared" si="61"/>
        <v>0</v>
      </c>
      <c r="AF297" s="27">
        <f t="shared" si="62"/>
        <v>-10862267536</v>
      </c>
      <c r="AG297" s="28" t="str">
        <f>VLOOKUP(Indicador!E285,[1]Diccionario!C$1:AC$150,27,0)</f>
        <v>https://growdatasas.sharepoint.com/:x:/r/sites/Gestiondocumental/Administrativa/GD/Financiera/_layouts/15/Doc.aspx?sourcedoc=%7B1EA3B8D8-B0B8-48BF-BDD1-3151961F579B%7D&amp;file=MODELO%20FINANCIERO%20PLANILLA%20VIAJES%2018.11.25%20V7.xlsm&amp;action=default&amp;mobileredirect=true</v>
      </c>
      <c r="AH297" s="28">
        <v>1</v>
      </c>
      <c r="AI297" s="28">
        <v>1</v>
      </c>
      <c r="AJ297" s="28"/>
      <c r="AK297" s="28"/>
    </row>
    <row r="298" spans="1:37" ht="18.75" customHeight="1" x14ac:dyDescent="0.25">
      <c r="A298" s="11">
        <v>2025</v>
      </c>
      <c r="B298" s="12" t="s">
        <v>49</v>
      </c>
      <c r="C298" s="15" t="s">
        <v>269</v>
      </c>
      <c r="D298" s="39">
        <v>45726.538149618056</v>
      </c>
      <c r="E298" s="15" t="s">
        <v>270</v>
      </c>
      <c r="F298" s="15" t="s">
        <v>271</v>
      </c>
      <c r="G298" s="15" t="s">
        <v>272</v>
      </c>
      <c r="H298" s="15" t="s">
        <v>273</v>
      </c>
      <c r="I298" s="15" t="s">
        <v>63</v>
      </c>
      <c r="J298" s="15" t="s">
        <v>274</v>
      </c>
      <c r="K298" s="15" t="s">
        <v>45</v>
      </c>
      <c r="L298" s="17">
        <f>VLOOKUP(E298,[1]Diccionario!C$2:AC$150,22,0)</f>
        <v>10862267536</v>
      </c>
      <c r="M298" s="18">
        <f>VLOOKUP(E298,[1]Diccionario!C$2:AC$150,24,0)</f>
        <v>45717</v>
      </c>
      <c r="N298" s="19">
        <f>VLOOKUP(E298,[1]Diccionario!C$2:AC$150,25,0)</f>
        <v>46203</v>
      </c>
      <c r="O298" s="20">
        <f>VLOOKUP(E298,[1]Diccionario!C$2:AC$150,26,0)</f>
        <v>15.97</v>
      </c>
      <c r="P298" s="20">
        <f t="shared" si="52"/>
        <v>-13.97</v>
      </c>
      <c r="Q298" s="20">
        <v>2</v>
      </c>
      <c r="R298" s="15">
        <v>16</v>
      </c>
      <c r="S298" s="21">
        <v>0.2</v>
      </c>
      <c r="T298" s="21">
        <v>0.2</v>
      </c>
      <c r="U298" s="22"/>
      <c r="V298" s="24"/>
      <c r="W298" s="24">
        <f t="shared" si="53"/>
        <v>2172453507.2000003</v>
      </c>
      <c r="X298" s="24">
        <f t="shared" si="54"/>
        <v>2172453507.2000003</v>
      </c>
      <c r="Y298" s="24">
        <f t="shared" si="55"/>
        <v>2172453507.2000003</v>
      </c>
      <c r="Z298" s="24">
        <f t="shared" si="56"/>
        <v>0</v>
      </c>
      <c r="AA298" s="25" t="str">
        <f t="shared" si="57"/>
        <v>No se realizó gasto en este corte</v>
      </c>
      <c r="AB298" s="26" t="str">
        <f t="shared" si="58"/>
        <v>Costo eficiente: se está gastando menos de lo presupuestado</v>
      </c>
      <c r="AC298" s="26">
        <f t="shared" si="59"/>
        <v>1</v>
      </c>
      <c r="AD298" s="26" t="str">
        <f t="shared" si="60"/>
        <v>Proyecto a tiempo según lo planificado</v>
      </c>
      <c r="AE298" s="27">
        <f t="shared" si="61"/>
        <v>0</v>
      </c>
      <c r="AF298" s="27">
        <f t="shared" si="62"/>
        <v>-10862267536</v>
      </c>
      <c r="AG298" s="28" t="str">
        <f>VLOOKUP(Indicador!E286,[1]Diccionario!C$1:AC$150,27,0)</f>
        <v>https://growdatasas.sharepoint.com/:x:/r/sites/Gestiondocumental/Administrativa/GD/Financiera/_layouts/15/Doc.aspx?sourcedoc=%7B1EA3B8D8-B0B8-48BF-BDD1-3151961F579B%7D&amp;file=MODELO%20FINANCIERO%20PLANILLA%20VIAJES%2018.11.25%20V7.xlsm&amp;action=default&amp;mobileredirect=true</v>
      </c>
      <c r="AH298" s="28">
        <v>1</v>
      </c>
      <c r="AI298" s="28">
        <v>1</v>
      </c>
      <c r="AJ298" s="28"/>
      <c r="AK298" s="28"/>
    </row>
    <row r="299" spans="1:37" ht="18.75" customHeight="1" x14ac:dyDescent="0.25">
      <c r="A299" s="11">
        <v>2025</v>
      </c>
      <c r="B299" s="12" t="s">
        <v>50</v>
      </c>
      <c r="C299" s="15" t="s">
        <v>269</v>
      </c>
      <c r="D299" s="39">
        <v>45726.538149618056</v>
      </c>
      <c r="E299" s="15" t="s">
        <v>270</v>
      </c>
      <c r="F299" s="15" t="s">
        <v>271</v>
      </c>
      <c r="G299" s="15" t="s">
        <v>272</v>
      </c>
      <c r="H299" s="15" t="s">
        <v>273</v>
      </c>
      <c r="I299" s="15" t="s">
        <v>63</v>
      </c>
      <c r="J299" s="15" t="s">
        <v>274</v>
      </c>
      <c r="K299" s="15" t="s">
        <v>45</v>
      </c>
      <c r="L299" s="17">
        <f>VLOOKUP(E299,[1]Diccionario!C$2:AC$150,22,0)</f>
        <v>10862267536</v>
      </c>
      <c r="M299" s="18">
        <f>VLOOKUP(E299,[1]Diccionario!C$2:AC$150,24,0)</f>
        <v>45717</v>
      </c>
      <c r="N299" s="19">
        <f>VLOOKUP(E299,[1]Diccionario!C$2:AC$150,25,0)</f>
        <v>46203</v>
      </c>
      <c r="O299" s="20">
        <f>VLOOKUP(E299,[1]Diccionario!C$2:AC$150,26,0)</f>
        <v>15.97</v>
      </c>
      <c r="P299" s="20">
        <f t="shared" si="52"/>
        <v>-12.97</v>
      </c>
      <c r="Q299" s="20">
        <v>3</v>
      </c>
      <c r="R299" s="15">
        <v>16</v>
      </c>
      <c r="S299" s="21">
        <v>0.23</v>
      </c>
      <c r="T299" s="21">
        <v>0.23</v>
      </c>
      <c r="U299" s="22"/>
      <c r="V299" s="24"/>
      <c r="W299" s="24">
        <f t="shared" si="53"/>
        <v>2498321533.2800002</v>
      </c>
      <c r="X299" s="24">
        <f t="shared" si="54"/>
        <v>2498321533.2800002</v>
      </c>
      <c r="Y299" s="24">
        <f t="shared" si="55"/>
        <v>2498321533.2800002</v>
      </c>
      <c r="Z299" s="24">
        <f t="shared" si="56"/>
        <v>0</v>
      </c>
      <c r="AA299" s="25" t="str">
        <f t="shared" si="57"/>
        <v>No se realizó gasto en este corte</v>
      </c>
      <c r="AB299" s="26" t="str">
        <f t="shared" si="58"/>
        <v>Costo eficiente: se está gastando menos de lo presupuestado</v>
      </c>
      <c r="AC299" s="26">
        <f t="shared" si="59"/>
        <v>1</v>
      </c>
      <c r="AD299" s="26" t="str">
        <f t="shared" si="60"/>
        <v>Proyecto a tiempo según lo planificado</v>
      </c>
      <c r="AE299" s="27">
        <f t="shared" si="61"/>
        <v>0</v>
      </c>
      <c r="AF299" s="27">
        <f t="shared" si="62"/>
        <v>-10862267536</v>
      </c>
      <c r="AG299" s="28" t="str">
        <f>VLOOKUP(Indicador!E287,[1]Diccionario!C$1:AC$150,27,0)</f>
        <v>https://growdatasas.sharepoint.com/:x:/r/sites/Gestiondocumental/Administrativa/GD/Financiera/_layouts/15/Doc.aspx?sourcedoc=%7B1EA3B8D8-B0B8-48BF-BDD1-3151961F579B%7D&amp;file=MODELO%20FINANCIERO%20PLANILLA%20VIAJES%2018.11.25%20V7.xlsm&amp;action=default&amp;mobileredirect=true</v>
      </c>
      <c r="AH299" s="28">
        <v>1</v>
      </c>
      <c r="AI299" s="28">
        <v>1</v>
      </c>
      <c r="AJ299" s="28"/>
      <c r="AK299" s="28"/>
    </row>
    <row r="300" spans="1:37" ht="18.75" customHeight="1" x14ac:dyDescent="0.25">
      <c r="A300" s="11">
        <v>2025</v>
      </c>
      <c r="B300" s="12" t="s">
        <v>51</v>
      </c>
      <c r="C300" s="15" t="s">
        <v>269</v>
      </c>
      <c r="D300" s="39">
        <v>45726.538149618056</v>
      </c>
      <c r="E300" s="15" t="s">
        <v>270</v>
      </c>
      <c r="F300" s="15" t="s">
        <v>271</v>
      </c>
      <c r="G300" s="15" t="s">
        <v>272</v>
      </c>
      <c r="H300" s="15" t="s">
        <v>273</v>
      </c>
      <c r="I300" s="15" t="s">
        <v>63</v>
      </c>
      <c r="J300" s="15" t="s">
        <v>274</v>
      </c>
      <c r="K300" s="15" t="s">
        <v>45</v>
      </c>
      <c r="L300" s="17">
        <f>VLOOKUP(E300,[1]Diccionario!C$2:AC$150,22,0)</f>
        <v>10862267536</v>
      </c>
      <c r="M300" s="18">
        <f>VLOOKUP(E300,[1]Diccionario!C$2:AC$150,24,0)</f>
        <v>45717</v>
      </c>
      <c r="N300" s="19">
        <f>VLOOKUP(E300,[1]Diccionario!C$2:AC$150,25,0)</f>
        <v>46203</v>
      </c>
      <c r="O300" s="20">
        <f>VLOOKUP(E300,[1]Diccionario!C$2:AC$150,26,0)</f>
        <v>15.97</v>
      </c>
      <c r="P300" s="20">
        <f t="shared" si="52"/>
        <v>-11.97</v>
      </c>
      <c r="Q300" s="20">
        <v>4</v>
      </c>
      <c r="R300" s="15">
        <v>16</v>
      </c>
      <c r="S300" s="21">
        <v>0.3</v>
      </c>
      <c r="T300" s="21">
        <v>0.3</v>
      </c>
      <c r="U300" s="22"/>
      <c r="V300" s="24"/>
      <c r="W300" s="24">
        <f t="shared" si="53"/>
        <v>3258680260.7999997</v>
      </c>
      <c r="X300" s="24">
        <f t="shared" si="54"/>
        <v>3258680260.7999997</v>
      </c>
      <c r="Y300" s="24">
        <f t="shared" si="55"/>
        <v>3258680260.7999997</v>
      </c>
      <c r="Z300" s="24">
        <f t="shared" si="56"/>
        <v>0</v>
      </c>
      <c r="AA300" s="25" t="str">
        <f t="shared" si="57"/>
        <v>No se realizó gasto en este corte</v>
      </c>
      <c r="AB300" s="26" t="str">
        <f t="shared" si="58"/>
        <v>Costo eficiente: se está gastando menos de lo presupuestado</v>
      </c>
      <c r="AC300" s="26">
        <f t="shared" si="59"/>
        <v>1</v>
      </c>
      <c r="AD300" s="26" t="str">
        <f t="shared" si="60"/>
        <v>Proyecto a tiempo según lo planificado</v>
      </c>
      <c r="AE300" s="27">
        <f t="shared" si="61"/>
        <v>0</v>
      </c>
      <c r="AF300" s="27">
        <f t="shared" si="62"/>
        <v>-10862267536</v>
      </c>
      <c r="AG300" s="28" t="str">
        <f>VLOOKUP(Indicador!E288,[1]Diccionario!C$1:AC$150,27,0)</f>
        <v>https://growdatasas.sharepoint.com/:x:/r/sites/Gestiondocumental/Administrativa/GD/Financiera/_layouts/15/Doc.aspx?sourcedoc=%7B1EA3B8D8-B0B8-48BF-BDD1-3151961F579B%7D&amp;file=MODELO%20FINANCIERO%20PLANILLA%20VIAJES%2018.11.25%20V7.xlsm&amp;action=default&amp;mobileredirect=true</v>
      </c>
      <c r="AH300" s="28">
        <v>1</v>
      </c>
      <c r="AI300" s="28">
        <v>1</v>
      </c>
      <c r="AJ300" s="28"/>
      <c r="AK300" s="28"/>
    </row>
    <row r="301" spans="1:37" ht="18.75" customHeight="1" x14ac:dyDescent="0.25">
      <c r="A301" s="11">
        <v>2025</v>
      </c>
      <c r="B301" s="12" t="s">
        <v>52</v>
      </c>
      <c r="C301" s="15" t="s">
        <v>269</v>
      </c>
      <c r="D301" s="39">
        <v>45726.538149618056</v>
      </c>
      <c r="E301" s="15" t="s">
        <v>270</v>
      </c>
      <c r="F301" s="15" t="s">
        <v>271</v>
      </c>
      <c r="G301" s="15" t="s">
        <v>272</v>
      </c>
      <c r="H301" s="15" t="s">
        <v>273</v>
      </c>
      <c r="I301" s="15" t="s">
        <v>63</v>
      </c>
      <c r="J301" s="15" t="s">
        <v>274</v>
      </c>
      <c r="K301" s="15" t="s">
        <v>45</v>
      </c>
      <c r="L301" s="17">
        <f>VLOOKUP(E301,[1]Diccionario!C$2:AC$150,22,0)</f>
        <v>10862267536</v>
      </c>
      <c r="M301" s="18">
        <f>VLOOKUP(E301,[1]Diccionario!C$2:AC$150,24,0)</f>
        <v>45717</v>
      </c>
      <c r="N301" s="19">
        <f>VLOOKUP(E301,[1]Diccionario!C$2:AC$150,25,0)</f>
        <v>46203</v>
      </c>
      <c r="O301" s="20">
        <f>VLOOKUP(E301,[1]Diccionario!C$2:AC$150,26,0)</f>
        <v>15.97</v>
      </c>
      <c r="P301" s="20">
        <f t="shared" si="52"/>
        <v>-10.97</v>
      </c>
      <c r="Q301" s="20">
        <v>5</v>
      </c>
      <c r="R301" s="15">
        <v>16</v>
      </c>
      <c r="S301" s="21">
        <v>0.37</v>
      </c>
      <c r="T301" s="21">
        <v>0.37</v>
      </c>
      <c r="U301" s="22"/>
      <c r="V301" s="24"/>
      <c r="W301" s="24">
        <f t="shared" si="53"/>
        <v>4019038988.3200002</v>
      </c>
      <c r="X301" s="24">
        <f t="shared" si="54"/>
        <v>4019038988.3200002</v>
      </c>
      <c r="Y301" s="24">
        <f t="shared" si="55"/>
        <v>4019038988.3200002</v>
      </c>
      <c r="Z301" s="24">
        <f t="shared" si="56"/>
        <v>0</v>
      </c>
      <c r="AA301" s="25" t="str">
        <f t="shared" si="57"/>
        <v>No se realizó gasto en este corte</v>
      </c>
      <c r="AB301" s="26" t="str">
        <f t="shared" si="58"/>
        <v>Costo eficiente: se está gastando menos de lo presupuestado</v>
      </c>
      <c r="AC301" s="26">
        <f t="shared" si="59"/>
        <v>1</v>
      </c>
      <c r="AD301" s="26" t="str">
        <f t="shared" si="60"/>
        <v>Proyecto a tiempo según lo planificado</v>
      </c>
      <c r="AE301" s="27">
        <f t="shared" si="61"/>
        <v>0</v>
      </c>
      <c r="AF301" s="27">
        <f t="shared" si="62"/>
        <v>-10862267536</v>
      </c>
      <c r="AG301" s="28" t="str">
        <f>VLOOKUP(Indicador!E289,[1]Diccionario!C$1:AC$150,27,0)</f>
        <v>https://growdatasas.sharepoint.com/:x:/r/sites/Gestiondocumental/Administrativa/GD/Financiera/_layouts/15/Doc.aspx?sourcedoc=%7B1EA3B8D8-B0B8-48BF-BDD1-3151961F579B%7D&amp;file=MODELO%20FINANCIERO%20PLANILLA%20VIAJES%2018.11.25%20V7.xlsm&amp;action=default&amp;mobileredirect=true</v>
      </c>
      <c r="AH301" s="28">
        <v>1</v>
      </c>
      <c r="AI301" s="28">
        <v>1</v>
      </c>
      <c r="AJ301" s="28"/>
      <c r="AK301" s="28"/>
    </row>
    <row r="302" spans="1:37" ht="18.75" customHeight="1" x14ac:dyDescent="0.25">
      <c r="A302" s="11">
        <v>2025</v>
      </c>
      <c r="B302" s="12" t="s">
        <v>53</v>
      </c>
      <c r="C302" s="15" t="s">
        <v>269</v>
      </c>
      <c r="D302" s="39">
        <v>45726.538149618056</v>
      </c>
      <c r="E302" s="15" t="s">
        <v>270</v>
      </c>
      <c r="F302" s="15" t="s">
        <v>271</v>
      </c>
      <c r="G302" s="15" t="s">
        <v>272</v>
      </c>
      <c r="H302" s="15" t="s">
        <v>273</v>
      </c>
      <c r="I302" s="15" t="s">
        <v>63</v>
      </c>
      <c r="J302" s="15" t="s">
        <v>274</v>
      </c>
      <c r="K302" s="15" t="s">
        <v>45</v>
      </c>
      <c r="L302" s="17">
        <f>VLOOKUP(E302,[1]Diccionario!C$2:AC$150,22,0)</f>
        <v>10862267536</v>
      </c>
      <c r="M302" s="18">
        <f>VLOOKUP(E302,[1]Diccionario!C$2:AC$150,24,0)</f>
        <v>45717</v>
      </c>
      <c r="N302" s="19">
        <f>VLOOKUP(E302,[1]Diccionario!C$2:AC$150,25,0)</f>
        <v>46203</v>
      </c>
      <c r="O302" s="20">
        <f>VLOOKUP(E302,[1]Diccionario!C$2:AC$150,26,0)</f>
        <v>15.97</v>
      </c>
      <c r="P302" s="20">
        <f t="shared" si="52"/>
        <v>-9.9700000000000006</v>
      </c>
      <c r="Q302" s="20">
        <v>6</v>
      </c>
      <c r="R302" s="15">
        <v>16</v>
      </c>
      <c r="S302" s="21">
        <v>0.44</v>
      </c>
      <c r="T302" s="21">
        <v>0.44</v>
      </c>
      <c r="U302" s="22"/>
      <c r="V302" s="24"/>
      <c r="W302" s="24">
        <f t="shared" si="53"/>
        <v>4779397715.8400002</v>
      </c>
      <c r="X302" s="24">
        <f t="shared" si="54"/>
        <v>4779397715.8400002</v>
      </c>
      <c r="Y302" s="24">
        <f t="shared" si="55"/>
        <v>4779397715.8400002</v>
      </c>
      <c r="Z302" s="24">
        <f t="shared" si="56"/>
        <v>0</v>
      </c>
      <c r="AA302" s="25" t="str">
        <f t="shared" si="57"/>
        <v>No se realizó gasto en este corte</v>
      </c>
      <c r="AB302" s="26" t="str">
        <f t="shared" si="58"/>
        <v>Costo eficiente: se está gastando menos de lo presupuestado</v>
      </c>
      <c r="AC302" s="26">
        <f t="shared" si="59"/>
        <v>1</v>
      </c>
      <c r="AD302" s="26" t="str">
        <f t="shared" si="60"/>
        <v>Proyecto a tiempo según lo planificado</v>
      </c>
      <c r="AE302" s="27">
        <f t="shared" si="61"/>
        <v>0</v>
      </c>
      <c r="AF302" s="27">
        <f t="shared" si="62"/>
        <v>-10862267536</v>
      </c>
      <c r="AG302" s="28" t="str">
        <f>VLOOKUP(Indicador!E290,[1]Diccionario!C$1:AC$150,27,0)</f>
        <v>https://growdatasas.sharepoint.com/:x:/r/sites/Gestiondocumental/Administrativa/GD/Financiera/_layouts/15/Doc.aspx?sourcedoc=%7B1EA3B8D8-B0B8-48BF-BDD1-3151961F579B%7D&amp;file=MODELO%20FINANCIERO%20PLANILLA%20VIAJES%2018.11.25%20V7.xlsm&amp;action=default&amp;mobileredirect=true</v>
      </c>
      <c r="AH302" s="28">
        <v>1</v>
      </c>
      <c r="AI302" s="28">
        <v>1</v>
      </c>
      <c r="AJ302" s="28"/>
      <c r="AK302" s="28"/>
    </row>
    <row r="303" spans="1:37" ht="18.75" customHeight="1" x14ac:dyDescent="0.25">
      <c r="A303" s="11">
        <v>2025</v>
      </c>
      <c r="B303" s="12" t="s">
        <v>54</v>
      </c>
      <c r="C303" s="15" t="s">
        <v>269</v>
      </c>
      <c r="D303" s="39">
        <v>45726.538149618056</v>
      </c>
      <c r="E303" s="15" t="s">
        <v>270</v>
      </c>
      <c r="F303" s="15" t="s">
        <v>271</v>
      </c>
      <c r="G303" s="15" t="s">
        <v>272</v>
      </c>
      <c r="H303" s="15" t="s">
        <v>273</v>
      </c>
      <c r="I303" s="15" t="s">
        <v>63</v>
      </c>
      <c r="J303" s="15" t="s">
        <v>274</v>
      </c>
      <c r="K303" s="15" t="s">
        <v>45</v>
      </c>
      <c r="L303" s="17">
        <f>VLOOKUP(E303,[1]Diccionario!C$2:AC$150,22,0)</f>
        <v>10862267536</v>
      </c>
      <c r="M303" s="18">
        <f>VLOOKUP(E303,[1]Diccionario!C$2:AC$150,24,0)</f>
        <v>45717</v>
      </c>
      <c r="N303" s="19">
        <f>VLOOKUP(E303,[1]Diccionario!C$2:AC$150,25,0)</f>
        <v>46203</v>
      </c>
      <c r="O303" s="20">
        <f>VLOOKUP(E303,[1]Diccionario!C$2:AC$150,26,0)</f>
        <v>15.97</v>
      </c>
      <c r="P303" s="20">
        <f t="shared" si="52"/>
        <v>-8.9700000000000006</v>
      </c>
      <c r="Q303" s="20">
        <v>7</v>
      </c>
      <c r="R303" s="15">
        <v>16</v>
      </c>
      <c r="S303" s="21">
        <v>0.51</v>
      </c>
      <c r="T303" s="21">
        <v>0.51</v>
      </c>
      <c r="U303" s="22"/>
      <c r="V303" s="24"/>
      <c r="W303" s="24">
        <f t="shared" si="53"/>
        <v>5539756443.3599997</v>
      </c>
      <c r="X303" s="24">
        <f t="shared" si="54"/>
        <v>5539756443.3599997</v>
      </c>
      <c r="Y303" s="24">
        <f t="shared" si="55"/>
        <v>5539756443.3599997</v>
      </c>
      <c r="Z303" s="24">
        <f t="shared" si="56"/>
        <v>0</v>
      </c>
      <c r="AA303" s="25" t="str">
        <f t="shared" si="57"/>
        <v>No se realizó gasto en este corte</v>
      </c>
      <c r="AB303" s="26" t="str">
        <f t="shared" si="58"/>
        <v>Costo eficiente: se está gastando menos de lo presupuestado</v>
      </c>
      <c r="AC303" s="26">
        <f t="shared" si="59"/>
        <v>1</v>
      </c>
      <c r="AD303" s="26" t="str">
        <f t="shared" si="60"/>
        <v>Proyecto a tiempo según lo planificado</v>
      </c>
      <c r="AE303" s="27">
        <f t="shared" si="61"/>
        <v>0</v>
      </c>
      <c r="AF303" s="27">
        <f t="shared" si="62"/>
        <v>-10862267536</v>
      </c>
      <c r="AG303" s="28" t="str">
        <f>VLOOKUP(Indicador!E291,[1]Diccionario!C$1:AC$150,27,0)</f>
        <v>https://growdatasas.sharepoint.com/:x:/r/sites/Gestiondocumental/Administrativa/GD/Financiera/_layouts/15/Doc.aspx?sourcedoc=%7B1EA3B8D8-B0B8-48BF-BDD1-3151961F579B%7D&amp;file=MODELO%20FINANCIERO%20PLANILLA%20VIAJES%2018.11.25%20V7.xlsm&amp;action=default&amp;mobileredirect=true</v>
      </c>
      <c r="AH303" s="28">
        <v>1</v>
      </c>
      <c r="AI303" s="28">
        <v>1</v>
      </c>
      <c r="AJ303" s="28"/>
      <c r="AK303" s="28"/>
    </row>
    <row r="304" spans="1:37" ht="18.75" customHeight="1" x14ac:dyDescent="0.25">
      <c r="A304" s="11">
        <v>2025</v>
      </c>
      <c r="B304" s="12" t="s">
        <v>55</v>
      </c>
      <c r="C304" s="15" t="s">
        <v>269</v>
      </c>
      <c r="D304" s="39">
        <v>45726.538149618056</v>
      </c>
      <c r="E304" s="15" t="s">
        <v>270</v>
      </c>
      <c r="F304" s="15" t="s">
        <v>271</v>
      </c>
      <c r="G304" s="15" t="s">
        <v>272</v>
      </c>
      <c r="H304" s="15" t="s">
        <v>273</v>
      </c>
      <c r="I304" s="15" t="s">
        <v>63</v>
      </c>
      <c r="J304" s="15" t="s">
        <v>274</v>
      </c>
      <c r="K304" s="15" t="s">
        <v>45</v>
      </c>
      <c r="L304" s="17">
        <f>VLOOKUP(E304,[1]Diccionario!C$2:AC$150,22,0)</f>
        <v>10862267536</v>
      </c>
      <c r="M304" s="18">
        <f>VLOOKUP(E304,[1]Diccionario!C$2:AC$150,24,0)</f>
        <v>45717</v>
      </c>
      <c r="N304" s="19">
        <f>VLOOKUP(E304,[1]Diccionario!C$2:AC$150,25,0)</f>
        <v>46203</v>
      </c>
      <c r="O304" s="20">
        <f>VLOOKUP(E304,[1]Diccionario!C$2:AC$150,26,0)</f>
        <v>15.97</v>
      </c>
      <c r="P304" s="20">
        <f t="shared" si="52"/>
        <v>-7.9700000000000006</v>
      </c>
      <c r="Q304" s="20">
        <v>8</v>
      </c>
      <c r="R304" s="15">
        <v>16</v>
      </c>
      <c r="S304" s="21">
        <v>0.57999999999999996</v>
      </c>
      <c r="T304" s="21">
        <v>0.57999999999999996</v>
      </c>
      <c r="U304" s="22"/>
      <c r="V304" s="24"/>
      <c r="W304" s="24">
        <f t="shared" si="53"/>
        <v>6300115170.8799992</v>
      </c>
      <c r="X304" s="24">
        <f t="shared" si="54"/>
        <v>6300115170.8799992</v>
      </c>
      <c r="Y304" s="24">
        <f t="shared" si="55"/>
        <v>6300115170.8799992</v>
      </c>
      <c r="Z304" s="24">
        <f t="shared" si="56"/>
        <v>0</v>
      </c>
      <c r="AA304" s="25" t="str">
        <f t="shared" si="57"/>
        <v>No se realizó gasto en este corte</v>
      </c>
      <c r="AB304" s="26" t="str">
        <f t="shared" si="58"/>
        <v>Costo eficiente: se está gastando menos de lo presupuestado</v>
      </c>
      <c r="AC304" s="26">
        <f t="shared" si="59"/>
        <v>1</v>
      </c>
      <c r="AD304" s="26" t="str">
        <f t="shared" si="60"/>
        <v>Proyecto a tiempo según lo planificado</v>
      </c>
      <c r="AE304" s="27">
        <f t="shared" si="61"/>
        <v>0</v>
      </c>
      <c r="AF304" s="27">
        <f t="shared" si="62"/>
        <v>-10862267536</v>
      </c>
      <c r="AG304" s="28" t="str">
        <f>VLOOKUP(Indicador!E292,[1]Diccionario!C$1:AC$150,27,0)</f>
        <v>https://growdatasas.sharepoint.com/:x:/r/sites/Gestiondocumental/Administrativa/GD/Financiera/_layouts/15/Doc.aspx?sourcedoc=%7B1EA3B8D8-B0B8-48BF-BDD1-3151961F579B%7D&amp;file=MODELO%20FINANCIERO%20PLANILLA%20VIAJES%2018.11.25%20V7.xlsm&amp;action=default&amp;mobileredirect=true</v>
      </c>
      <c r="AH304" s="28">
        <v>1</v>
      </c>
      <c r="AI304" s="28">
        <v>1</v>
      </c>
      <c r="AJ304" s="28"/>
      <c r="AK304" s="28"/>
    </row>
    <row r="305" spans="1:37" ht="18.75" customHeight="1" x14ac:dyDescent="0.25">
      <c r="A305" s="11">
        <v>2025</v>
      </c>
      <c r="B305" s="12" t="s">
        <v>56</v>
      </c>
      <c r="C305" s="15" t="s">
        <v>269</v>
      </c>
      <c r="D305" s="39">
        <v>45726.538149618056</v>
      </c>
      <c r="E305" s="15" t="s">
        <v>270</v>
      </c>
      <c r="F305" s="15" t="s">
        <v>271</v>
      </c>
      <c r="G305" s="15" t="s">
        <v>272</v>
      </c>
      <c r="H305" s="15" t="s">
        <v>273</v>
      </c>
      <c r="I305" s="15" t="s">
        <v>63</v>
      </c>
      <c r="J305" s="15" t="s">
        <v>274</v>
      </c>
      <c r="K305" s="15" t="s">
        <v>45</v>
      </c>
      <c r="L305" s="17">
        <f>VLOOKUP(E305,[1]Diccionario!C$2:AC$150,22,0)</f>
        <v>10862267536</v>
      </c>
      <c r="M305" s="18">
        <f>VLOOKUP(E305,[1]Diccionario!C$2:AC$150,24,0)</f>
        <v>45717</v>
      </c>
      <c r="N305" s="19">
        <f>VLOOKUP(E305,[1]Diccionario!C$2:AC$150,25,0)</f>
        <v>46203</v>
      </c>
      <c r="O305" s="20">
        <f>VLOOKUP(E305,[1]Diccionario!C$2:AC$150,26,0)</f>
        <v>15.97</v>
      </c>
      <c r="P305" s="20">
        <f t="shared" si="52"/>
        <v>-6.9700000000000006</v>
      </c>
      <c r="Q305" s="20">
        <v>9</v>
      </c>
      <c r="R305" s="15">
        <v>16</v>
      </c>
      <c r="S305" s="21">
        <v>0.65</v>
      </c>
      <c r="T305" s="21">
        <v>0.65</v>
      </c>
      <c r="U305" s="22"/>
      <c r="V305" s="24"/>
      <c r="W305" s="24">
        <f t="shared" si="53"/>
        <v>7060473898.4000006</v>
      </c>
      <c r="X305" s="24">
        <f t="shared" si="54"/>
        <v>7060473898.4000006</v>
      </c>
      <c r="Y305" s="24">
        <f t="shared" si="55"/>
        <v>7060473898.4000006</v>
      </c>
      <c r="Z305" s="24">
        <f t="shared" si="56"/>
        <v>0</v>
      </c>
      <c r="AA305" s="25" t="str">
        <f t="shared" si="57"/>
        <v>No se realizó gasto en este corte</v>
      </c>
      <c r="AB305" s="26" t="str">
        <f t="shared" si="58"/>
        <v>Costo eficiente: se está gastando menos de lo presupuestado</v>
      </c>
      <c r="AC305" s="26">
        <f t="shared" si="59"/>
        <v>1</v>
      </c>
      <c r="AD305" s="26" t="str">
        <f t="shared" si="60"/>
        <v>Proyecto a tiempo según lo planificado</v>
      </c>
      <c r="AE305" s="27">
        <f t="shared" si="61"/>
        <v>0</v>
      </c>
      <c r="AF305" s="27">
        <f t="shared" si="62"/>
        <v>-10862267536</v>
      </c>
      <c r="AG305" s="28" t="str">
        <f>VLOOKUP(Indicador!E293,[1]Diccionario!C$1:AC$150,27,0)</f>
        <v>https://growdatasas.sharepoint.com/:x:/r/sites/Gestiondocumental/Administrativa/GD/Financiera/_layouts/15/Doc.aspx?sourcedoc=%7B1EA3B8D8-B0B8-48BF-BDD1-3151961F579B%7D&amp;file=MODELO%20FINANCIERO%20PLANILLA%20VIAJES%2018.11.25%20V7.xlsm&amp;action=default&amp;mobileredirect=true</v>
      </c>
      <c r="AH305" s="28">
        <v>1</v>
      </c>
      <c r="AI305" s="28">
        <v>1</v>
      </c>
      <c r="AJ305" s="28"/>
      <c r="AK305" s="28"/>
    </row>
    <row r="306" spans="1:37" ht="18.75" customHeight="1" x14ac:dyDescent="0.25">
      <c r="A306" s="11">
        <v>2025</v>
      </c>
      <c r="B306" s="12" t="s">
        <v>57</v>
      </c>
      <c r="C306" s="15" t="s">
        <v>269</v>
      </c>
      <c r="D306" s="39">
        <v>45726.538149618056</v>
      </c>
      <c r="E306" s="15" t="s">
        <v>270</v>
      </c>
      <c r="F306" s="15" t="s">
        <v>271</v>
      </c>
      <c r="G306" s="15" t="s">
        <v>272</v>
      </c>
      <c r="H306" s="15" t="s">
        <v>273</v>
      </c>
      <c r="I306" s="15" t="s">
        <v>63</v>
      </c>
      <c r="J306" s="15" t="s">
        <v>274</v>
      </c>
      <c r="K306" s="15" t="s">
        <v>45</v>
      </c>
      <c r="L306" s="17">
        <f>VLOOKUP(E306,[1]Diccionario!C$2:AC$150,22,0)</f>
        <v>10862267536</v>
      </c>
      <c r="M306" s="18">
        <f>VLOOKUP(E306,[1]Diccionario!C$2:AC$150,24,0)</f>
        <v>45717</v>
      </c>
      <c r="N306" s="19">
        <f>VLOOKUP(E306,[1]Diccionario!C$2:AC$150,25,0)</f>
        <v>46203</v>
      </c>
      <c r="O306" s="20">
        <f>VLOOKUP(E306,[1]Diccionario!C$2:AC$150,26,0)</f>
        <v>15.97</v>
      </c>
      <c r="P306" s="20">
        <f t="shared" si="52"/>
        <v>-5.9700000000000006</v>
      </c>
      <c r="Q306" s="20">
        <v>10</v>
      </c>
      <c r="R306" s="15">
        <v>16</v>
      </c>
      <c r="S306" s="21">
        <v>0.75</v>
      </c>
      <c r="T306" s="21">
        <v>0.75</v>
      </c>
      <c r="U306" s="22"/>
      <c r="V306" s="24"/>
      <c r="W306" s="24">
        <f t="shared" si="53"/>
        <v>8146700652</v>
      </c>
      <c r="X306" s="24">
        <f t="shared" si="54"/>
        <v>8146700652</v>
      </c>
      <c r="Y306" s="24">
        <f t="shared" si="55"/>
        <v>8146700652</v>
      </c>
      <c r="Z306" s="24">
        <f t="shared" si="56"/>
        <v>0</v>
      </c>
      <c r="AA306" s="25" t="str">
        <f t="shared" si="57"/>
        <v>No se realizó gasto en este corte</v>
      </c>
      <c r="AB306" s="26" t="str">
        <f t="shared" si="58"/>
        <v>Costo eficiente: se está gastando menos de lo presupuestado</v>
      </c>
      <c r="AC306" s="26">
        <f t="shared" si="59"/>
        <v>1</v>
      </c>
      <c r="AD306" s="26" t="str">
        <f t="shared" si="60"/>
        <v>Proyecto a tiempo según lo planificado</v>
      </c>
      <c r="AE306" s="27">
        <f t="shared" si="61"/>
        <v>0</v>
      </c>
      <c r="AF306" s="27">
        <f t="shared" si="62"/>
        <v>-10862267536</v>
      </c>
      <c r="AG306" s="28" t="str">
        <f>VLOOKUP(Indicador!E294,[1]Diccionario!C$1:AC$150,27,0)</f>
        <v>https://growdatasas.sharepoint.com/:x:/r/sites/Gestiondocumental/Administrativa/GD/Financiera/_layouts/15/Doc.aspx?sourcedoc=%7B1EA3B8D8-B0B8-48BF-BDD1-3151961F579B%7D&amp;file=MODELO%20FINANCIERO%20PLANILLA%20VIAJES%2018.11.25%20V7.xlsm&amp;action=default&amp;mobileredirect=true</v>
      </c>
      <c r="AH306" s="28">
        <v>1</v>
      </c>
      <c r="AI306" s="28">
        <v>1</v>
      </c>
      <c r="AJ306" s="28"/>
      <c r="AK306" s="28"/>
    </row>
    <row r="307" spans="1:37" ht="18.75" customHeight="1" x14ac:dyDescent="0.25">
      <c r="A307" s="11">
        <v>2026</v>
      </c>
      <c r="B307" s="12" t="s">
        <v>37</v>
      </c>
      <c r="C307" s="15" t="s">
        <v>269</v>
      </c>
      <c r="D307" s="39">
        <v>45726.538149618056</v>
      </c>
      <c r="E307" s="15" t="s">
        <v>270</v>
      </c>
      <c r="F307" s="15" t="s">
        <v>271</v>
      </c>
      <c r="G307" s="15" t="s">
        <v>272</v>
      </c>
      <c r="H307" s="15" t="s">
        <v>273</v>
      </c>
      <c r="I307" s="15" t="s">
        <v>63</v>
      </c>
      <c r="J307" s="15" t="s">
        <v>274</v>
      </c>
      <c r="K307" s="15" t="s">
        <v>45</v>
      </c>
      <c r="L307" s="17">
        <f>VLOOKUP(E307,[1]Diccionario!C$2:AC$150,22,0)</f>
        <v>10862267536</v>
      </c>
      <c r="M307" s="18">
        <f>VLOOKUP(E307,[1]Diccionario!C$2:AC$150,24,0)</f>
        <v>45717</v>
      </c>
      <c r="N307" s="19">
        <f>VLOOKUP(E307,[1]Diccionario!C$2:AC$150,25,0)</f>
        <v>46203</v>
      </c>
      <c r="O307" s="20">
        <f>VLOOKUP(E307,[1]Diccionario!C$2:AC$150,26,0)</f>
        <v>15.97</v>
      </c>
      <c r="P307" s="20">
        <f t="shared" si="52"/>
        <v>-4.9700000000000006</v>
      </c>
      <c r="Q307" s="20">
        <v>11</v>
      </c>
      <c r="R307" s="15">
        <v>16</v>
      </c>
      <c r="S307" s="21">
        <v>0.8</v>
      </c>
      <c r="T307" s="21">
        <v>0.8</v>
      </c>
      <c r="U307" s="22"/>
      <c r="V307" s="24"/>
      <c r="W307" s="24">
        <f t="shared" si="53"/>
        <v>8689814028.8000011</v>
      </c>
      <c r="X307" s="24">
        <f t="shared" si="54"/>
        <v>8689814028.8000011</v>
      </c>
      <c r="Y307" s="24">
        <f t="shared" si="55"/>
        <v>8689814028.8000011</v>
      </c>
      <c r="Z307" s="24">
        <f t="shared" si="56"/>
        <v>0</v>
      </c>
      <c r="AA307" s="25" t="str">
        <f t="shared" si="57"/>
        <v>No se realizó gasto en este corte</v>
      </c>
      <c r="AB307" s="26" t="str">
        <f t="shared" si="58"/>
        <v>Costo eficiente: se está gastando menos de lo presupuestado</v>
      </c>
      <c r="AC307" s="26">
        <f t="shared" si="59"/>
        <v>1</v>
      </c>
      <c r="AD307" s="26" t="str">
        <f t="shared" si="60"/>
        <v>Proyecto a tiempo según lo planificado</v>
      </c>
      <c r="AE307" s="27">
        <f t="shared" si="61"/>
        <v>0</v>
      </c>
      <c r="AF307" s="27">
        <f t="shared" si="62"/>
        <v>-10862267536</v>
      </c>
      <c r="AG307" s="28" t="str">
        <f>VLOOKUP(Indicador!E295,[1]Diccionario!C$1:AC$150,27,0)</f>
        <v>https://growdatasas.sharepoint.com/:x:/r/sites/Gestiondocumental/Administrativa/GD/Financiera/_layouts/15/Doc.aspx?sourcedoc=%7B1EA3B8D8-B0B8-48BF-BDD1-3151961F579B%7D&amp;file=MODELO%20FINANCIERO%20PLANILLA%20VIAJES%2018.11.25%20V7.xlsm&amp;action=default&amp;mobileredirect=true</v>
      </c>
      <c r="AH307" s="28">
        <v>1</v>
      </c>
      <c r="AI307" s="28">
        <v>1</v>
      </c>
      <c r="AJ307" s="28"/>
      <c r="AK307" s="28"/>
    </row>
    <row r="308" spans="1:37" ht="18.75" customHeight="1" x14ac:dyDescent="0.25">
      <c r="A308" s="11">
        <v>2026</v>
      </c>
      <c r="B308" s="12" t="s">
        <v>47</v>
      </c>
      <c r="C308" s="15" t="s">
        <v>269</v>
      </c>
      <c r="D308" s="39">
        <v>45726.538149618056</v>
      </c>
      <c r="E308" s="15" t="s">
        <v>270</v>
      </c>
      <c r="F308" s="15" t="s">
        <v>271</v>
      </c>
      <c r="G308" s="15" t="s">
        <v>272</v>
      </c>
      <c r="H308" s="15" t="s">
        <v>273</v>
      </c>
      <c r="I308" s="15" t="s">
        <v>63</v>
      </c>
      <c r="J308" s="15" t="s">
        <v>274</v>
      </c>
      <c r="K308" s="15" t="s">
        <v>45</v>
      </c>
      <c r="L308" s="17">
        <f>VLOOKUP(E308,[1]Diccionario!C$2:AC$150,22,0)</f>
        <v>10862267536</v>
      </c>
      <c r="M308" s="18">
        <f>VLOOKUP(E308,[1]Diccionario!C$2:AC$150,24,0)</f>
        <v>45717</v>
      </c>
      <c r="N308" s="19">
        <f>VLOOKUP(E308,[1]Diccionario!C$2:AC$150,25,0)</f>
        <v>46203</v>
      </c>
      <c r="O308" s="20">
        <f>VLOOKUP(E308,[1]Diccionario!C$2:AC$150,26,0)</f>
        <v>15.97</v>
      </c>
      <c r="P308" s="20">
        <f t="shared" si="52"/>
        <v>-3.9700000000000006</v>
      </c>
      <c r="Q308" s="20">
        <v>12</v>
      </c>
      <c r="R308" s="15">
        <v>16</v>
      </c>
      <c r="S308" s="21">
        <v>0.85</v>
      </c>
      <c r="T308" s="21">
        <v>0.85</v>
      </c>
      <c r="U308" s="22"/>
      <c r="V308" s="24"/>
      <c r="W308" s="24">
        <f t="shared" si="53"/>
        <v>9232927405.6000004</v>
      </c>
      <c r="X308" s="24">
        <f t="shared" si="54"/>
        <v>9232927405.6000004</v>
      </c>
      <c r="Y308" s="24">
        <f t="shared" si="55"/>
        <v>9232927405.6000004</v>
      </c>
      <c r="Z308" s="24">
        <f t="shared" si="56"/>
        <v>0</v>
      </c>
      <c r="AA308" s="25" t="str">
        <f t="shared" si="57"/>
        <v>No se realizó gasto en este corte</v>
      </c>
      <c r="AB308" s="26" t="str">
        <f t="shared" si="58"/>
        <v>Costo eficiente: se está gastando menos de lo presupuestado</v>
      </c>
      <c r="AC308" s="26">
        <f t="shared" si="59"/>
        <v>1</v>
      </c>
      <c r="AD308" s="26" t="str">
        <f t="shared" si="60"/>
        <v>Proyecto a tiempo según lo planificado</v>
      </c>
      <c r="AE308" s="27">
        <f t="shared" si="61"/>
        <v>0</v>
      </c>
      <c r="AF308" s="27">
        <f t="shared" si="62"/>
        <v>-10862267536</v>
      </c>
      <c r="AG308" s="28" t="str">
        <f>VLOOKUP(Indicador!E296,[1]Diccionario!C$1:AC$150,27,0)</f>
        <v>https://growdatasas.sharepoint.com/:x:/r/sites/Gestiondocumental/Administrativa/GD/Financiera/_layouts/15/Doc.aspx?sourcedoc=%7B1EA3B8D8-B0B8-48BF-BDD1-3151961F579B%7D&amp;file=MODELO%20FINANCIERO%20PLANILLA%20VIAJES%2018.11.25%20V7.xlsm&amp;action=default&amp;mobileredirect=true</v>
      </c>
      <c r="AH308" s="28">
        <v>1</v>
      </c>
      <c r="AI308" s="28">
        <v>1</v>
      </c>
      <c r="AJ308" s="28"/>
      <c r="AK308" s="28"/>
    </row>
    <row r="309" spans="1:37" ht="18.75" customHeight="1" x14ac:dyDescent="0.25">
      <c r="A309" s="11">
        <v>2026</v>
      </c>
      <c r="B309" s="12" t="s">
        <v>48</v>
      </c>
      <c r="C309" s="15" t="s">
        <v>269</v>
      </c>
      <c r="D309" s="39">
        <v>45726.538149618056</v>
      </c>
      <c r="E309" s="15" t="s">
        <v>270</v>
      </c>
      <c r="F309" s="15" t="s">
        <v>271</v>
      </c>
      <c r="G309" s="15" t="s">
        <v>272</v>
      </c>
      <c r="H309" s="15" t="s">
        <v>273</v>
      </c>
      <c r="I309" s="15" t="s">
        <v>63</v>
      </c>
      <c r="J309" s="15" t="s">
        <v>274</v>
      </c>
      <c r="K309" s="15" t="s">
        <v>45</v>
      </c>
      <c r="L309" s="17">
        <f>VLOOKUP(E309,[1]Diccionario!C$2:AC$150,22,0)</f>
        <v>10862267536</v>
      </c>
      <c r="M309" s="18">
        <f>VLOOKUP(E309,[1]Diccionario!C$2:AC$150,24,0)</f>
        <v>45717</v>
      </c>
      <c r="N309" s="19">
        <f>VLOOKUP(E309,[1]Diccionario!C$2:AC$150,25,0)</f>
        <v>46203</v>
      </c>
      <c r="O309" s="20">
        <f>VLOOKUP(E309,[1]Diccionario!C$2:AC$150,26,0)</f>
        <v>15.97</v>
      </c>
      <c r="P309" s="20">
        <f t="shared" si="52"/>
        <v>-2.9700000000000006</v>
      </c>
      <c r="Q309" s="20">
        <v>13</v>
      </c>
      <c r="R309" s="15">
        <v>16</v>
      </c>
      <c r="S309" s="21">
        <v>0.87</v>
      </c>
      <c r="T309" s="21">
        <v>0.87</v>
      </c>
      <c r="U309" s="22"/>
      <c r="V309" s="24"/>
      <c r="W309" s="24">
        <f t="shared" si="53"/>
        <v>9450172756.3199997</v>
      </c>
      <c r="X309" s="24">
        <f t="shared" si="54"/>
        <v>9450172756.3199997</v>
      </c>
      <c r="Y309" s="24">
        <f t="shared" si="55"/>
        <v>9450172756.3199997</v>
      </c>
      <c r="Z309" s="24">
        <f t="shared" si="56"/>
        <v>0</v>
      </c>
      <c r="AA309" s="25" t="str">
        <f t="shared" si="57"/>
        <v>No se realizó gasto en este corte</v>
      </c>
      <c r="AB309" s="26" t="str">
        <f t="shared" si="58"/>
        <v>Costo eficiente: se está gastando menos de lo presupuestado</v>
      </c>
      <c r="AC309" s="26">
        <f t="shared" si="59"/>
        <v>1</v>
      </c>
      <c r="AD309" s="26" t="str">
        <f t="shared" si="60"/>
        <v>Proyecto a tiempo según lo planificado</v>
      </c>
      <c r="AE309" s="27">
        <f t="shared" si="61"/>
        <v>0</v>
      </c>
      <c r="AF309" s="27">
        <f t="shared" si="62"/>
        <v>-10862267536</v>
      </c>
      <c r="AG309" s="28" t="str">
        <f>VLOOKUP(Indicador!E297,[1]Diccionario!C$1:AC$150,27,0)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309" s="28">
        <v>1</v>
      </c>
      <c r="AI309" s="28">
        <v>1</v>
      </c>
      <c r="AJ309" s="28"/>
      <c r="AK309" s="28"/>
    </row>
    <row r="310" spans="1:37" ht="18.75" customHeight="1" x14ac:dyDescent="0.25">
      <c r="A310" s="11">
        <v>2026</v>
      </c>
      <c r="B310" s="12" t="s">
        <v>49</v>
      </c>
      <c r="C310" s="15" t="s">
        <v>269</v>
      </c>
      <c r="D310" s="39">
        <v>45726.538149618056</v>
      </c>
      <c r="E310" s="15" t="s">
        <v>270</v>
      </c>
      <c r="F310" s="15" t="s">
        <v>271</v>
      </c>
      <c r="G310" s="15" t="s">
        <v>272</v>
      </c>
      <c r="H310" s="15" t="s">
        <v>273</v>
      </c>
      <c r="I310" s="15" t="s">
        <v>63</v>
      </c>
      <c r="J310" s="15" t="s">
        <v>274</v>
      </c>
      <c r="K310" s="15" t="s">
        <v>45</v>
      </c>
      <c r="L310" s="17">
        <f>VLOOKUP(E310,[1]Diccionario!C$2:AC$150,22,0)</f>
        <v>10862267536</v>
      </c>
      <c r="M310" s="18">
        <f>VLOOKUP(E310,[1]Diccionario!C$2:AC$150,24,0)</f>
        <v>45717</v>
      </c>
      <c r="N310" s="19">
        <f>VLOOKUP(E310,[1]Diccionario!C$2:AC$150,25,0)</f>
        <v>46203</v>
      </c>
      <c r="O310" s="20">
        <f>VLOOKUP(E310,[1]Diccionario!C$2:AC$150,26,0)</f>
        <v>15.97</v>
      </c>
      <c r="P310" s="20">
        <f t="shared" si="52"/>
        <v>-1.9700000000000006</v>
      </c>
      <c r="Q310" s="20">
        <v>14</v>
      </c>
      <c r="R310" s="15">
        <v>16</v>
      </c>
      <c r="S310" s="21">
        <v>0.9</v>
      </c>
      <c r="T310" s="21">
        <v>0.9</v>
      </c>
      <c r="U310" s="22"/>
      <c r="V310" s="24"/>
      <c r="W310" s="24">
        <f t="shared" si="53"/>
        <v>9776040782.3999996</v>
      </c>
      <c r="X310" s="24">
        <f t="shared" si="54"/>
        <v>9776040782.3999996</v>
      </c>
      <c r="Y310" s="24">
        <f t="shared" si="55"/>
        <v>9776040782.3999996</v>
      </c>
      <c r="Z310" s="24">
        <f t="shared" si="56"/>
        <v>0</v>
      </c>
      <c r="AA310" s="25" t="str">
        <f t="shared" si="57"/>
        <v>No se realizó gasto en este corte</v>
      </c>
      <c r="AB310" s="26" t="str">
        <f t="shared" si="58"/>
        <v>Costo eficiente: se está gastando menos de lo presupuestado</v>
      </c>
      <c r="AC310" s="26">
        <f t="shared" si="59"/>
        <v>1</v>
      </c>
      <c r="AD310" s="26" t="str">
        <f t="shared" si="60"/>
        <v>Proyecto a tiempo según lo planificado</v>
      </c>
      <c r="AE310" s="27">
        <f t="shared" si="61"/>
        <v>0</v>
      </c>
      <c r="AF310" s="27">
        <f t="shared" si="62"/>
        <v>-10862267536</v>
      </c>
      <c r="AG310" s="28" t="str">
        <f>VLOOKUP(Indicador!E298,[1]Diccionario!C$1:AC$150,27,0)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310" s="28">
        <v>1</v>
      </c>
      <c r="AI310" s="28">
        <v>1</v>
      </c>
      <c r="AJ310" s="28"/>
      <c r="AK310" s="28"/>
    </row>
    <row r="311" spans="1:37" ht="18.75" customHeight="1" x14ac:dyDescent="0.25">
      <c r="A311" s="11">
        <v>2026</v>
      </c>
      <c r="B311" s="12" t="s">
        <v>50</v>
      </c>
      <c r="C311" s="15" t="s">
        <v>269</v>
      </c>
      <c r="D311" s="39">
        <v>45726.538149618056</v>
      </c>
      <c r="E311" s="15" t="s">
        <v>270</v>
      </c>
      <c r="F311" s="15" t="s">
        <v>271</v>
      </c>
      <c r="G311" s="15" t="s">
        <v>272</v>
      </c>
      <c r="H311" s="15" t="s">
        <v>273</v>
      </c>
      <c r="I311" s="15" t="s">
        <v>63</v>
      </c>
      <c r="J311" s="15" t="s">
        <v>274</v>
      </c>
      <c r="K311" s="15" t="s">
        <v>45</v>
      </c>
      <c r="L311" s="17">
        <f>VLOOKUP(E311,[1]Diccionario!C$2:AC$150,22,0)</f>
        <v>10862267536</v>
      </c>
      <c r="M311" s="18">
        <f>VLOOKUP(E311,[1]Diccionario!C$2:AC$150,24,0)</f>
        <v>45717</v>
      </c>
      <c r="N311" s="19">
        <f>VLOOKUP(E311,[1]Diccionario!C$2:AC$150,25,0)</f>
        <v>46203</v>
      </c>
      <c r="O311" s="20">
        <f>VLOOKUP(E311,[1]Diccionario!C$2:AC$150,26,0)</f>
        <v>15.97</v>
      </c>
      <c r="P311" s="20">
        <f t="shared" si="52"/>
        <v>-0.97000000000000064</v>
      </c>
      <c r="Q311" s="20">
        <v>15</v>
      </c>
      <c r="R311" s="15">
        <v>16</v>
      </c>
      <c r="S311" s="21">
        <v>0.92</v>
      </c>
      <c r="T311" s="21">
        <v>0.92</v>
      </c>
      <c r="U311" s="22"/>
      <c r="V311" s="24"/>
      <c r="W311" s="24">
        <f t="shared" si="53"/>
        <v>9993286133.1200008</v>
      </c>
      <c r="X311" s="24">
        <f t="shared" si="54"/>
        <v>9993286133.1200008</v>
      </c>
      <c r="Y311" s="24">
        <f t="shared" si="55"/>
        <v>9993286133.1200008</v>
      </c>
      <c r="Z311" s="24">
        <f t="shared" si="56"/>
        <v>0</v>
      </c>
      <c r="AA311" s="25" t="str">
        <f t="shared" si="57"/>
        <v>No se realizó gasto en este corte</v>
      </c>
      <c r="AB311" s="26" t="str">
        <f t="shared" si="58"/>
        <v>Costo eficiente: se está gastando menos de lo presupuestado</v>
      </c>
      <c r="AC311" s="26">
        <f t="shared" si="59"/>
        <v>1</v>
      </c>
      <c r="AD311" s="26" t="str">
        <f t="shared" si="60"/>
        <v>Proyecto a tiempo según lo planificado</v>
      </c>
      <c r="AE311" s="27">
        <f t="shared" si="61"/>
        <v>0</v>
      </c>
      <c r="AF311" s="27">
        <f t="shared" si="62"/>
        <v>-10862267536</v>
      </c>
      <c r="AG311" s="28" t="str">
        <f>VLOOKUP(Indicador!E299,[1]Diccionario!C$1:AC$150,27,0)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311" s="28">
        <v>1</v>
      </c>
      <c r="AI311" s="28">
        <v>1</v>
      </c>
      <c r="AJ311" s="28"/>
      <c r="AK311" s="28"/>
    </row>
    <row r="312" spans="1:37" ht="18.75" customHeight="1" x14ac:dyDescent="0.25">
      <c r="A312" s="11">
        <v>2026</v>
      </c>
      <c r="B312" s="12" t="s">
        <v>51</v>
      </c>
      <c r="C312" s="15" t="s">
        <v>269</v>
      </c>
      <c r="D312" s="39">
        <v>45726.538149618056</v>
      </c>
      <c r="E312" s="15" t="s">
        <v>270</v>
      </c>
      <c r="F312" s="15" t="s">
        <v>271</v>
      </c>
      <c r="G312" s="15" t="s">
        <v>272</v>
      </c>
      <c r="H312" s="15" t="s">
        <v>273</v>
      </c>
      <c r="I312" s="15" t="s">
        <v>63</v>
      </c>
      <c r="J312" s="15" t="s">
        <v>274</v>
      </c>
      <c r="K312" s="15" t="s">
        <v>45</v>
      </c>
      <c r="L312" s="17">
        <f>VLOOKUP(E312,[1]Diccionario!C$2:AC$150,22,0)</f>
        <v>10862267536</v>
      </c>
      <c r="M312" s="18">
        <f>VLOOKUP(E312,[1]Diccionario!C$2:AC$150,24,0)</f>
        <v>45717</v>
      </c>
      <c r="N312" s="19">
        <f>VLOOKUP(E312,[1]Diccionario!C$2:AC$150,25,0)</f>
        <v>46203</v>
      </c>
      <c r="O312" s="20">
        <f>VLOOKUP(E312,[1]Diccionario!C$2:AC$150,26,0)</f>
        <v>15.97</v>
      </c>
      <c r="P312" s="20">
        <f t="shared" si="52"/>
        <v>2.9999999999999361E-2</v>
      </c>
      <c r="Q312" s="20">
        <v>16</v>
      </c>
      <c r="R312" s="15">
        <v>16</v>
      </c>
      <c r="S312" s="21">
        <v>1</v>
      </c>
      <c r="T312" s="21">
        <v>1</v>
      </c>
      <c r="U312" s="22"/>
      <c r="V312" s="24"/>
      <c r="W312" s="24">
        <f t="shared" si="53"/>
        <v>10862267536</v>
      </c>
      <c r="X312" s="24">
        <f t="shared" si="54"/>
        <v>10862267536</v>
      </c>
      <c r="Y312" s="24">
        <f t="shared" si="55"/>
        <v>10862267536</v>
      </c>
      <c r="Z312" s="24">
        <f t="shared" si="56"/>
        <v>0</v>
      </c>
      <c r="AA312" s="25" t="str">
        <f t="shared" si="57"/>
        <v>No se realizó gasto en este corte</v>
      </c>
      <c r="AB312" s="26" t="str">
        <f t="shared" si="58"/>
        <v>Costo eficiente: se está gastando menos de lo presupuestado</v>
      </c>
      <c r="AC312" s="26">
        <f t="shared" si="59"/>
        <v>1</v>
      </c>
      <c r="AD312" s="26" t="str">
        <f t="shared" si="60"/>
        <v>Proyecto a tiempo según lo planificado</v>
      </c>
      <c r="AE312" s="27">
        <f t="shared" si="61"/>
        <v>0</v>
      </c>
      <c r="AF312" s="27">
        <f t="shared" si="62"/>
        <v>-10862267536</v>
      </c>
      <c r="AG312" s="28" t="str">
        <f>VLOOKUP(Indicador!E300,[1]Diccionario!C$1:AC$150,27,0)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312" s="28">
        <v>1</v>
      </c>
      <c r="AI312" s="28">
        <v>1</v>
      </c>
      <c r="AJ312" s="28"/>
      <c r="AK312" s="28"/>
    </row>
    <row r="313" spans="1:37" ht="18.75" customHeight="1" x14ac:dyDescent="0.25">
      <c r="A313" s="11">
        <v>2025</v>
      </c>
      <c r="B313" s="12" t="s">
        <v>48</v>
      </c>
      <c r="C313" s="15" t="s">
        <v>275</v>
      </c>
      <c r="D313" s="39">
        <v>45747.049514548613</v>
      </c>
      <c r="E313" s="15" t="s">
        <v>276</v>
      </c>
      <c r="F313" s="15" t="s">
        <v>277</v>
      </c>
      <c r="G313" s="15" t="s">
        <v>278</v>
      </c>
      <c r="H313" s="15" t="s">
        <v>279</v>
      </c>
      <c r="I313" s="15" t="s">
        <v>63</v>
      </c>
      <c r="J313" s="15" t="s">
        <v>280</v>
      </c>
      <c r="K313" s="15" t="s">
        <v>45</v>
      </c>
      <c r="L313" s="17">
        <f>VLOOKUP(E313,[1]Diccionario!C$2:AC$150,22,0)</f>
        <v>7578354145</v>
      </c>
      <c r="M313" s="18">
        <f>VLOOKUP(E313,[1]Diccionario!C$2:AC$150,24,0)</f>
        <v>45734</v>
      </c>
      <c r="N313" s="19">
        <f>VLOOKUP(E313,[1]Diccionario!C$2:AC$150,25,0)</f>
        <v>46234</v>
      </c>
      <c r="O313" s="20">
        <f>VLOOKUP(E313,[1]Diccionario!C$2:AC$150,26,0)</f>
        <v>16.43</v>
      </c>
      <c r="P313" s="20">
        <f t="shared" ca="1" si="52"/>
        <v>-4.43</v>
      </c>
      <c r="Q313" s="20">
        <f t="shared" ref="Q313:Q328" ca="1" si="63">DATEDIF(M313,TODAY(),"m")</f>
        <v>12</v>
      </c>
      <c r="R313" s="15">
        <v>16</v>
      </c>
      <c r="S313" s="21">
        <v>0.15</v>
      </c>
      <c r="T313" s="21">
        <v>0.15</v>
      </c>
      <c r="U313" s="22"/>
      <c r="V313" s="24"/>
      <c r="W313" s="24">
        <f t="shared" si="53"/>
        <v>1136753121.75</v>
      </c>
      <c r="X313" s="24">
        <f t="shared" si="54"/>
        <v>1136753121.75</v>
      </c>
      <c r="Y313" s="24">
        <f t="shared" si="55"/>
        <v>1136753121.75</v>
      </c>
      <c r="Z313" s="24">
        <f t="shared" si="56"/>
        <v>0</v>
      </c>
      <c r="AA313" s="25" t="str">
        <f t="shared" si="57"/>
        <v>No se realizó gasto en este corte</v>
      </c>
      <c r="AB313" s="26" t="str">
        <f t="shared" si="58"/>
        <v>Costo eficiente: se está gastando menos de lo presupuestado</v>
      </c>
      <c r="AC313" s="26">
        <f t="shared" si="59"/>
        <v>1</v>
      </c>
      <c r="AD313" s="26" t="str">
        <f t="shared" si="60"/>
        <v>Proyecto a tiempo según lo planificado</v>
      </c>
      <c r="AE313" s="27">
        <f t="shared" si="61"/>
        <v>0</v>
      </c>
      <c r="AF313" s="27">
        <f t="shared" si="62"/>
        <v>-7578354145</v>
      </c>
      <c r="AG313" s="28" t="str">
        <f>VLOOKUP(Indicador!E301,[1]Diccionario!C$1:AC$150,27,0)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313" s="28">
        <v>1</v>
      </c>
      <c r="AI313" s="28">
        <v>1</v>
      </c>
      <c r="AJ313" s="28"/>
      <c r="AK313" s="28"/>
    </row>
    <row r="314" spans="1:37" ht="18.75" customHeight="1" x14ac:dyDescent="0.25">
      <c r="A314" s="11">
        <v>2025</v>
      </c>
      <c r="B314" s="12" t="s">
        <v>49</v>
      </c>
      <c r="C314" s="15" t="s">
        <v>275</v>
      </c>
      <c r="D314" s="39">
        <v>45747.049514548613</v>
      </c>
      <c r="E314" s="15" t="s">
        <v>276</v>
      </c>
      <c r="F314" s="15" t="s">
        <v>277</v>
      </c>
      <c r="G314" s="15" t="s">
        <v>278</v>
      </c>
      <c r="H314" s="15" t="s">
        <v>279</v>
      </c>
      <c r="I314" s="15" t="s">
        <v>63</v>
      </c>
      <c r="J314" s="15" t="s">
        <v>280</v>
      </c>
      <c r="K314" s="15" t="s">
        <v>45</v>
      </c>
      <c r="L314" s="17">
        <f>VLOOKUP(E314,[1]Diccionario!C$2:AC$150,22,0)</f>
        <v>7578354145</v>
      </c>
      <c r="M314" s="18">
        <f>VLOOKUP(E314,[1]Diccionario!C$2:AC$150,24,0)</f>
        <v>45734</v>
      </c>
      <c r="N314" s="19">
        <f>VLOOKUP(E314,[1]Diccionario!C$2:AC$150,25,0)</f>
        <v>46234</v>
      </c>
      <c r="O314" s="20">
        <f>VLOOKUP(E314,[1]Diccionario!C$2:AC$150,26,0)</f>
        <v>16.43</v>
      </c>
      <c r="P314" s="20">
        <f t="shared" ca="1" si="52"/>
        <v>-4.43</v>
      </c>
      <c r="Q314" s="20">
        <f t="shared" ca="1" si="63"/>
        <v>12</v>
      </c>
      <c r="R314" s="15">
        <v>16</v>
      </c>
      <c r="S314" s="21">
        <v>0.2</v>
      </c>
      <c r="T314" s="21">
        <v>0.2</v>
      </c>
      <c r="U314" s="22"/>
      <c r="V314" s="24"/>
      <c r="W314" s="24">
        <f t="shared" si="53"/>
        <v>1515670829</v>
      </c>
      <c r="X314" s="24">
        <f t="shared" si="54"/>
        <v>1515670829</v>
      </c>
      <c r="Y314" s="24">
        <f t="shared" si="55"/>
        <v>1515670829</v>
      </c>
      <c r="Z314" s="24">
        <f t="shared" si="56"/>
        <v>0</v>
      </c>
      <c r="AA314" s="25" t="str">
        <f t="shared" si="57"/>
        <v>No se realizó gasto en este corte</v>
      </c>
      <c r="AB314" s="26" t="str">
        <f t="shared" si="58"/>
        <v>Costo eficiente: se está gastando menos de lo presupuestado</v>
      </c>
      <c r="AC314" s="26">
        <f t="shared" si="59"/>
        <v>1</v>
      </c>
      <c r="AD314" s="26" t="str">
        <f t="shared" si="60"/>
        <v>Proyecto a tiempo según lo planificado</v>
      </c>
      <c r="AE314" s="27">
        <f t="shared" si="61"/>
        <v>0</v>
      </c>
      <c r="AF314" s="27">
        <f t="shared" si="62"/>
        <v>-7578354145</v>
      </c>
      <c r="AG314" s="28" t="str">
        <f>VLOOKUP(Indicador!E302,[1]Diccionario!C$1:AC$150,27,0)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314" s="28">
        <v>1</v>
      </c>
      <c r="AI314" s="28">
        <v>1</v>
      </c>
      <c r="AJ314" s="28"/>
      <c r="AK314" s="28"/>
    </row>
    <row r="315" spans="1:37" ht="18.75" customHeight="1" x14ac:dyDescent="0.25">
      <c r="A315" s="11">
        <v>2025</v>
      </c>
      <c r="B315" s="12" t="s">
        <v>50</v>
      </c>
      <c r="C315" s="15" t="s">
        <v>275</v>
      </c>
      <c r="D315" s="39">
        <v>45747.049514548613</v>
      </c>
      <c r="E315" s="15" t="s">
        <v>276</v>
      </c>
      <c r="F315" s="15" t="s">
        <v>277</v>
      </c>
      <c r="G315" s="15" t="s">
        <v>278</v>
      </c>
      <c r="H315" s="15" t="s">
        <v>279</v>
      </c>
      <c r="I315" s="15" t="s">
        <v>63</v>
      </c>
      <c r="J315" s="15" t="s">
        <v>280</v>
      </c>
      <c r="K315" s="15" t="s">
        <v>45</v>
      </c>
      <c r="L315" s="17">
        <f>VLOOKUP(E315,[1]Diccionario!C$2:AC$150,22,0)</f>
        <v>7578354145</v>
      </c>
      <c r="M315" s="18">
        <f>VLOOKUP(E315,[1]Diccionario!C$2:AC$150,24,0)</f>
        <v>45734</v>
      </c>
      <c r="N315" s="19">
        <f>VLOOKUP(E315,[1]Diccionario!C$2:AC$150,25,0)</f>
        <v>46234</v>
      </c>
      <c r="O315" s="20">
        <f>VLOOKUP(E315,[1]Diccionario!C$2:AC$150,26,0)</f>
        <v>16.43</v>
      </c>
      <c r="P315" s="20">
        <f t="shared" ca="1" si="52"/>
        <v>-4.43</v>
      </c>
      <c r="Q315" s="20">
        <f t="shared" ca="1" si="63"/>
        <v>12</v>
      </c>
      <c r="R315" s="15">
        <v>16</v>
      </c>
      <c r="S315" s="21">
        <v>0.23</v>
      </c>
      <c r="T315" s="21">
        <v>0.23</v>
      </c>
      <c r="U315" s="22"/>
      <c r="V315" s="24"/>
      <c r="W315" s="24">
        <f t="shared" si="53"/>
        <v>1743021453.3500001</v>
      </c>
      <c r="X315" s="24">
        <f t="shared" si="54"/>
        <v>1743021453.3500001</v>
      </c>
      <c r="Y315" s="24">
        <f t="shared" si="55"/>
        <v>1743021453.3500001</v>
      </c>
      <c r="Z315" s="24">
        <f t="shared" si="56"/>
        <v>0</v>
      </c>
      <c r="AA315" s="25" t="str">
        <f t="shared" si="57"/>
        <v>No se realizó gasto en este corte</v>
      </c>
      <c r="AB315" s="26" t="str">
        <f t="shared" si="58"/>
        <v>Costo eficiente: se está gastando menos de lo presupuestado</v>
      </c>
      <c r="AC315" s="26">
        <f t="shared" si="59"/>
        <v>1</v>
      </c>
      <c r="AD315" s="26" t="str">
        <f t="shared" si="60"/>
        <v>Proyecto a tiempo según lo planificado</v>
      </c>
      <c r="AE315" s="27">
        <f t="shared" si="61"/>
        <v>0</v>
      </c>
      <c r="AF315" s="27">
        <f t="shared" si="62"/>
        <v>-7578354145</v>
      </c>
      <c r="AG315" s="28" t="str">
        <f>VLOOKUP(Indicador!E303,[1]Diccionario!C$1:AC$150,27,0)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315" s="28">
        <v>1</v>
      </c>
      <c r="AI315" s="28">
        <v>1</v>
      </c>
      <c r="AJ315" s="28"/>
      <c r="AK315" s="28"/>
    </row>
    <row r="316" spans="1:37" ht="18.75" customHeight="1" x14ac:dyDescent="0.25">
      <c r="A316" s="11">
        <v>2025</v>
      </c>
      <c r="B316" s="12" t="s">
        <v>51</v>
      </c>
      <c r="C316" s="15" t="s">
        <v>275</v>
      </c>
      <c r="D316" s="39">
        <v>45747.049514548613</v>
      </c>
      <c r="E316" s="15" t="s">
        <v>276</v>
      </c>
      <c r="F316" s="15" t="s">
        <v>277</v>
      </c>
      <c r="G316" s="15" t="s">
        <v>278</v>
      </c>
      <c r="H316" s="15" t="s">
        <v>279</v>
      </c>
      <c r="I316" s="15" t="s">
        <v>63</v>
      </c>
      <c r="J316" s="15" t="s">
        <v>280</v>
      </c>
      <c r="K316" s="15" t="s">
        <v>45</v>
      </c>
      <c r="L316" s="17">
        <f>VLOOKUP(E316,[1]Diccionario!C$2:AC$150,22,0)</f>
        <v>7578354145</v>
      </c>
      <c r="M316" s="18">
        <f>VLOOKUP(E316,[1]Diccionario!C$2:AC$150,24,0)</f>
        <v>45734</v>
      </c>
      <c r="N316" s="19">
        <f>VLOOKUP(E316,[1]Diccionario!C$2:AC$150,25,0)</f>
        <v>46234</v>
      </c>
      <c r="O316" s="20">
        <f>VLOOKUP(E316,[1]Diccionario!C$2:AC$150,26,0)</f>
        <v>16.43</v>
      </c>
      <c r="P316" s="20">
        <f t="shared" ca="1" si="52"/>
        <v>-4.43</v>
      </c>
      <c r="Q316" s="20">
        <f t="shared" ca="1" si="63"/>
        <v>12</v>
      </c>
      <c r="R316" s="15">
        <v>16</v>
      </c>
      <c r="S316" s="21">
        <v>0.3</v>
      </c>
      <c r="T316" s="21">
        <v>0.3</v>
      </c>
      <c r="U316" s="22"/>
      <c r="V316" s="24"/>
      <c r="W316" s="24">
        <f t="shared" si="53"/>
        <v>2273506243.5</v>
      </c>
      <c r="X316" s="24">
        <f t="shared" si="54"/>
        <v>2273506243.5</v>
      </c>
      <c r="Y316" s="24">
        <f t="shared" si="55"/>
        <v>2273506243.5</v>
      </c>
      <c r="Z316" s="24">
        <f t="shared" si="56"/>
        <v>0</v>
      </c>
      <c r="AA316" s="25" t="str">
        <f t="shared" si="57"/>
        <v>No se realizó gasto en este corte</v>
      </c>
      <c r="AB316" s="26" t="str">
        <f t="shared" si="58"/>
        <v>Costo eficiente: se está gastando menos de lo presupuestado</v>
      </c>
      <c r="AC316" s="26">
        <f t="shared" si="59"/>
        <v>1</v>
      </c>
      <c r="AD316" s="26" t="str">
        <f t="shared" si="60"/>
        <v>Proyecto a tiempo según lo planificado</v>
      </c>
      <c r="AE316" s="27">
        <f t="shared" si="61"/>
        <v>0</v>
      </c>
      <c r="AF316" s="27">
        <f t="shared" si="62"/>
        <v>-7578354145</v>
      </c>
      <c r="AG316" s="28" t="str">
        <f>VLOOKUP(Indicador!E304,[1]Diccionario!C$1:AC$150,27,0)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316" s="28">
        <v>1</v>
      </c>
      <c r="AI316" s="28">
        <v>1</v>
      </c>
      <c r="AJ316" s="28"/>
      <c r="AK316" s="28"/>
    </row>
    <row r="317" spans="1:37" ht="18.75" customHeight="1" x14ac:dyDescent="0.25">
      <c r="A317" s="11">
        <v>2025</v>
      </c>
      <c r="B317" s="12" t="s">
        <v>52</v>
      </c>
      <c r="C317" s="15" t="s">
        <v>275</v>
      </c>
      <c r="D317" s="39">
        <v>45747.049514548613</v>
      </c>
      <c r="E317" s="15" t="s">
        <v>276</v>
      </c>
      <c r="F317" s="15" t="s">
        <v>277</v>
      </c>
      <c r="G317" s="15" t="s">
        <v>278</v>
      </c>
      <c r="H317" s="15" t="s">
        <v>279</v>
      </c>
      <c r="I317" s="15" t="s">
        <v>63</v>
      </c>
      <c r="J317" s="15" t="s">
        <v>280</v>
      </c>
      <c r="K317" s="15" t="s">
        <v>45</v>
      </c>
      <c r="L317" s="17">
        <f>VLOOKUP(E317,[1]Diccionario!C$2:AC$150,22,0)</f>
        <v>7578354145</v>
      </c>
      <c r="M317" s="18">
        <f>VLOOKUP(E317,[1]Diccionario!C$2:AC$150,24,0)</f>
        <v>45734</v>
      </c>
      <c r="N317" s="19">
        <f>VLOOKUP(E317,[1]Diccionario!C$2:AC$150,25,0)</f>
        <v>46234</v>
      </c>
      <c r="O317" s="20">
        <f>VLOOKUP(E317,[1]Diccionario!C$2:AC$150,26,0)</f>
        <v>16.43</v>
      </c>
      <c r="P317" s="20">
        <f t="shared" ca="1" si="52"/>
        <v>-4.43</v>
      </c>
      <c r="Q317" s="20">
        <f t="shared" ca="1" si="63"/>
        <v>12</v>
      </c>
      <c r="R317" s="15">
        <v>16</v>
      </c>
      <c r="S317" s="21">
        <v>0.37</v>
      </c>
      <c r="T317" s="21">
        <v>0.37</v>
      </c>
      <c r="U317" s="22"/>
      <c r="V317" s="24"/>
      <c r="W317" s="24">
        <f t="shared" si="53"/>
        <v>2803991033.6500001</v>
      </c>
      <c r="X317" s="24">
        <f t="shared" si="54"/>
        <v>2803991033.6500001</v>
      </c>
      <c r="Y317" s="24">
        <f t="shared" si="55"/>
        <v>2803991033.6500001</v>
      </c>
      <c r="Z317" s="24">
        <f t="shared" si="56"/>
        <v>0</v>
      </c>
      <c r="AA317" s="25" t="str">
        <f t="shared" si="57"/>
        <v>No se realizó gasto en este corte</v>
      </c>
      <c r="AB317" s="26" t="str">
        <f t="shared" si="58"/>
        <v>Costo eficiente: se está gastando menos de lo presupuestado</v>
      </c>
      <c r="AC317" s="26">
        <f t="shared" si="59"/>
        <v>1</v>
      </c>
      <c r="AD317" s="26" t="str">
        <f t="shared" si="60"/>
        <v>Proyecto a tiempo según lo planificado</v>
      </c>
      <c r="AE317" s="27">
        <f t="shared" si="61"/>
        <v>0</v>
      </c>
      <c r="AF317" s="27">
        <f t="shared" si="62"/>
        <v>-7578354145</v>
      </c>
      <c r="AG317" s="28" t="str">
        <f>VLOOKUP(Indicador!E305,[1]Diccionario!C$1:AC$150,27,0)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317" s="28">
        <v>1</v>
      </c>
      <c r="AI317" s="28">
        <v>1</v>
      </c>
      <c r="AJ317" s="28"/>
      <c r="AK317" s="28"/>
    </row>
    <row r="318" spans="1:37" ht="18.75" customHeight="1" x14ac:dyDescent="0.25">
      <c r="A318" s="11">
        <v>2025</v>
      </c>
      <c r="B318" s="12" t="s">
        <v>53</v>
      </c>
      <c r="C318" s="15" t="s">
        <v>275</v>
      </c>
      <c r="D318" s="39">
        <v>45747.049514548613</v>
      </c>
      <c r="E318" s="15" t="s">
        <v>276</v>
      </c>
      <c r="F318" s="15" t="s">
        <v>277</v>
      </c>
      <c r="G318" s="15" t="s">
        <v>278</v>
      </c>
      <c r="H318" s="15" t="s">
        <v>279</v>
      </c>
      <c r="I318" s="15" t="s">
        <v>63</v>
      </c>
      <c r="J318" s="15" t="s">
        <v>280</v>
      </c>
      <c r="K318" s="15" t="s">
        <v>45</v>
      </c>
      <c r="L318" s="17">
        <f>VLOOKUP(E318,[1]Diccionario!C$2:AC$150,22,0)</f>
        <v>7578354145</v>
      </c>
      <c r="M318" s="18">
        <f>VLOOKUP(E318,[1]Diccionario!C$2:AC$150,24,0)</f>
        <v>45734</v>
      </c>
      <c r="N318" s="19">
        <f>VLOOKUP(E318,[1]Diccionario!C$2:AC$150,25,0)</f>
        <v>46234</v>
      </c>
      <c r="O318" s="20">
        <f>VLOOKUP(E318,[1]Diccionario!C$2:AC$150,26,0)</f>
        <v>16.43</v>
      </c>
      <c r="P318" s="20">
        <f t="shared" ca="1" si="52"/>
        <v>-4.43</v>
      </c>
      <c r="Q318" s="20">
        <f t="shared" ca="1" si="63"/>
        <v>12</v>
      </c>
      <c r="R318" s="15">
        <v>16</v>
      </c>
      <c r="S318" s="21">
        <v>0.44</v>
      </c>
      <c r="T318" s="21">
        <v>0.44</v>
      </c>
      <c r="U318" s="22"/>
      <c r="V318" s="24"/>
      <c r="W318" s="24">
        <f t="shared" si="53"/>
        <v>3334475823.8000002</v>
      </c>
      <c r="X318" s="24">
        <f t="shared" si="54"/>
        <v>3334475823.8000002</v>
      </c>
      <c r="Y318" s="24">
        <f t="shared" si="55"/>
        <v>3334475823.8000002</v>
      </c>
      <c r="Z318" s="24">
        <f t="shared" si="56"/>
        <v>0</v>
      </c>
      <c r="AA318" s="25" t="str">
        <f t="shared" si="57"/>
        <v>No se realizó gasto en este corte</v>
      </c>
      <c r="AB318" s="26" t="str">
        <f t="shared" si="58"/>
        <v>Costo eficiente: se está gastando menos de lo presupuestado</v>
      </c>
      <c r="AC318" s="26">
        <f t="shared" si="59"/>
        <v>1</v>
      </c>
      <c r="AD318" s="26" t="str">
        <f t="shared" si="60"/>
        <v>Proyecto a tiempo según lo planificado</v>
      </c>
      <c r="AE318" s="27">
        <f t="shared" si="61"/>
        <v>0</v>
      </c>
      <c r="AF318" s="27">
        <f t="shared" si="62"/>
        <v>-7578354145</v>
      </c>
      <c r="AG318" s="28" t="str">
        <f>VLOOKUP(Indicador!E306,[1]Diccionario!C$1:AC$150,27,0)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318" s="28">
        <v>1</v>
      </c>
      <c r="AI318" s="28">
        <v>1</v>
      </c>
      <c r="AJ318" s="28"/>
      <c r="AK318" s="28"/>
    </row>
    <row r="319" spans="1:37" ht="18.75" customHeight="1" x14ac:dyDescent="0.25">
      <c r="A319" s="11">
        <v>2025</v>
      </c>
      <c r="B319" s="12" t="s">
        <v>54</v>
      </c>
      <c r="C319" s="15" t="s">
        <v>275</v>
      </c>
      <c r="D319" s="39">
        <v>45747.049514548613</v>
      </c>
      <c r="E319" s="15" t="s">
        <v>276</v>
      </c>
      <c r="F319" s="15" t="s">
        <v>277</v>
      </c>
      <c r="G319" s="15" t="s">
        <v>278</v>
      </c>
      <c r="H319" s="15" t="s">
        <v>279</v>
      </c>
      <c r="I319" s="15" t="s">
        <v>63</v>
      </c>
      <c r="J319" s="15" t="s">
        <v>280</v>
      </c>
      <c r="K319" s="15" t="s">
        <v>45</v>
      </c>
      <c r="L319" s="17">
        <f>VLOOKUP(E319,[1]Diccionario!C$2:AC$150,22,0)</f>
        <v>7578354145</v>
      </c>
      <c r="M319" s="18">
        <f>VLOOKUP(E319,[1]Diccionario!C$2:AC$150,24,0)</f>
        <v>45734</v>
      </c>
      <c r="N319" s="19">
        <f>VLOOKUP(E319,[1]Diccionario!C$2:AC$150,25,0)</f>
        <v>46234</v>
      </c>
      <c r="O319" s="20">
        <f>VLOOKUP(E319,[1]Diccionario!C$2:AC$150,26,0)</f>
        <v>16.43</v>
      </c>
      <c r="P319" s="20">
        <f t="shared" ref="P319:P382" ca="1" si="64">Q319-O319</f>
        <v>-4.43</v>
      </c>
      <c r="Q319" s="20">
        <f t="shared" ca="1" si="63"/>
        <v>12</v>
      </c>
      <c r="R319" s="15">
        <v>16</v>
      </c>
      <c r="S319" s="21">
        <v>0.51</v>
      </c>
      <c r="T319" s="21">
        <v>0.51</v>
      </c>
      <c r="U319" s="22"/>
      <c r="V319" s="24"/>
      <c r="W319" s="24">
        <f t="shared" si="53"/>
        <v>3864960613.9500003</v>
      </c>
      <c r="X319" s="24">
        <f t="shared" si="54"/>
        <v>3864960613.9500003</v>
      </c>
      <c r="Y319" s="24">
        <f t="shared" si="55"/>
        <v>3864960613.9500003</v>
      </c>
      <c r="Z319" s="24">
        <f t="shared" si="56"/>
        <v>0</v>
      </c>
      <c r="AA319" s="25" t="str">
        <f t="shared" si="57"/>
        <v>No se realizó gasto en este corte</v>
      </c>
      <c r="AB319" s="26" t="str">
        <f t="shared" si="58"/>
        <v>Costo eficiente: se está gastando menos de lo presupuestado</v>
      </c>
      <c r="AC319" s="26">
        <f t="shared" si="59"/>
        <v>1</v>
      </c>
      <c r="AD319" s="26" t="str">
        <f t="shared" si="60"/>
        <v>Proyecto a tiempo según lo planificado</v>
      </c>
      <c r="AE319" s="27">
        <f t="shared" si="61"/>
        <v>0</v>
      </c>
      <c r="AF319" s="27">
        <f t="shared" si="62"/>
        <v>-7578354145</v>
      </c>
      <c r="AG319" s="28" t="str">
        <f>VLOOKUP(Indicador!E307,[1]Diccionario!C$1:AC$150,27,0)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319" s="28">
        <v>1</v>
      </c>
      <c r="AI319" s="28">
        <v>1</v>
      </c>
      <c r="AJ319" s="28"/>
      <c r="AK319" s="28"/>
    </row>
    <row r="320" spans="1:37" ht="18.75" customHeight="1" x14ac:dyDescent="0.25">
      <c r="A320" s="11">
        <v>2025</v>
      </c>
      <c r="B320" s="12" t="s">
        <v>55</v>
      </c>
      <c r="C320" s="15" t="s">
        <v>275</v>
      </c>
      <c r="D320" s="39">
        <v>45747.049514548613</v>
      </c>
      <c r="E320" s="15" t="s">
        <v>276</v>
      </c>
      <c r="F320" s="15" t="s">
        <v>277</v>
      </c>
      <c r="G320" s="15" t="s">
        <v>278</v>
      </c>
      <c r="H320" s="15" t="s">
        <v>279</v>
      </c>
      <c r="I320" s="15" t="s">
        <v>63</v>
      </c>
      <c r="J320" s="15" t="s">
        <v>280</v>
      </c>
      <c r="K320" s="15" t="s">
        <v>45</v>
      </c>
      <c r="L320" s="17">
        <f>VLOOKUP(E320,[1]Diccionario!C$2:AC$150,22,0)</f>
        <v>7578354145</v>
      </c>
      <c r="M320" s="18">
        <f>VLOOKUP(E320,[1]Diccionario!C$2:AC$150,24,0)</f>
        <v>45734</v>
      </c>
      <c r="N320" s="19">
        <f>VLOOKUP(E320,[1]Diccionario!C$2:AC$150,25,0)</f>
        <v>46234</v>
      </c>
      <c r="O320" s="20">
        <f>VLOOKUP(E320,[1]Diccionario!C$2:AC$150,26,0)</f>
        <v>16.43</v>
      </c>
      <c r="P320" s="20">
        <f t="shared" ca="1" si="64"/>
        <v>-4.43</v>
      </c>
      <c r="Q320" s="20">
        <f t="shared" ca="1" si="63"/>
        <v>12</v>
      </c>
      <c r="R320" s="15">
        <v>16</v>
      </c>
      <c r="S320" s="21">
        <v>0.57999999999999996</v>
      </c>
      <c r="T320" s="21">
        <v>0.57999999999999996</v>
      </c>
      <c r="U320" s="22"/>
      <c r="V320" s="24"/>
      <c r="W320" s="24">
        <f t="shared" si="53"/>
        <v>4395445404.0999994</v>
      </c>
      <c r="X320" s="24">
        <f t="shared" si="54"/>
        <v>4395445404.0999994</v>
      </c>
      <c r="Y320" s="24">
        <f t="shared" si="55"/>
        <v>4395445404.0999994</v>
      </c>
      <c r="Z320" s="24">
        <f t="shared" si="56"/>
        <v>0</v>
      </c>
      <c r="AA320" s="25" t="str">
        <f t="shared" si="57"/>
        <v>No se realizó gasto en este corte</v>
      </c>
      <c r="AB320" s="26" t="str">
        <f t="shared" si="58"/>
        <v>Costo eficiente: se está gastando menos de lo presupuestado</v>
      </c>
      <c r="AC320" s="26">
        <f t="shared" si="59"/>
        <v>1</v>
      </c>
      <c r="AD320" s="26" t="str">
        <f t="shared" si="60"/>
        <v>Proyecto a tiempo según lo planificado</v>
      </c>
      <c r="AE320" s="27">
        <f t="shared" si="61"/>
        <v>0</v>
      </c>
      <c r="AF320" s="27">
        <f t="shared" si="62"/>
        <v>-7578354145</v>
      </c>
      <c r="AG320" s="28" t="str">
        <f>VLOOKUP(Indicador!E308,[1]Diccionario!C$1:AC$150,27,0)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320" s="28">
        <v>1</v>
      </c>
      <c r="AI320" s="28">
        <v>1</v>
      </c>
      <c r="AJ320" s="28"/>
      <c r="AK320" s="28"/>
    </row>
    <row r="321" spans="1:37" ht="18.75" customHeight="1" x14ac:dyDescent="0.25">
      <c r="A321" s="11">
        <v>2025</v>
      </c>
      <c r="B321" s="12" t="s">
        <v>56</v>
      </c>
      <c r="C321" s="15" t="s">
        <v>275</v>
      </c>
      <c r="D321" s="39">
        <v>45747.049514548613</v>
      </c>
      <c r="E321" s="15" t="s">
        <v>276</v>
      </c>
      <c r="F321" s="15" t="s">
        <v>277</v>
      </c>
      <c r="G321" s="15" t="s">
        <v>278</v>
      </c>
      <c r="H321" s="15" t="s">
        <v>279</v>
      </c>
      <c r="I321" s="15" t="s">
        <v>63</v>
      </c>
      <c r="J321" s="15" t="s">
        <v>280</v>
      </c>
      <c r="K321" s="15" t="s">
        <v>45</v>
      </c>
      <c r="L321" s="17">
        <f>VLOOKUP(E321,[1]Diccionario!C$2:AC$150,22,0)</f>
        <v>7578354145</v>
      </c>
      <c r="M321" s="18">
        <f>VLOOKUP(E321,[1]Diccionario!C$2:AC$150,24,0)</f>
        <v>45734</v>
      </c>
      <c r="N321" s="19">
        <f>VLOOKUP(E321,[1]Diccionario!C$2:AC$150,25,0)</f>
        <v>46234</v>
      </c>
      <c r="O321" s="20">
        <f>VLOOKUP(E321,[1]Diccionario!C$2:AC$150,26,0)</f>
        <v>16.43</v>
      </c>
      <c r="P321" s="20">
        <f t="shared" ca="1" si="64"/>
        <v>-4.43</v>
      </c>
      <c r="Q321" s="20">
        <f t="shared" ca="1" si="63"/>
        <v>12</v>
      </c>
      <c r="R321" s="15">
        <v>16</v>
      </c>
      <c r="S321" s="21">
        <v>0.65</v>
      </c>
      <c r="T321" s="21">
        <v>0.65</v>
      </c>
      <c r="U321" s="22"/>
      <c r="V321" s="24"/>
      <c r="W321" s="24">
        <f t="shared" si="53"/>
        <v>4925930194.25</v>
      </c>
      <c r="X321" s="24">
        <f t="shared" si="54"/>
        <v>4925930194.25</v>
      </c>
      <c r="Y321" s="24">
        <f t="shared" si="55"/>
        <v>4925930194.25</v>
      </c>
      <c r="Z321" s="24">
        <f t="shared" si="56"/>
        <v>0</v>
      </c>
      <c r="AA321" s="25" t="str">
        <f t="shared" si="57"/>
        <v>No se realizó gasto en este corte</v>
      </c>
      <c r="AB321" s="26" t="str">
        <f t="shared" si="58"/>
        <v>Costo eficiente: se está gastando menos de lo presupuestado</v>
      </c>
      <c r="AC321" s="26">
        <f t="shared" si="59"/>
        <v>1</v>
      </c>
      <c r="AD321" s="26" t="str">
        <f t="shared" si="60"/>
        <v>Proyecto a tiempo según lo planificado</v>
      </c>
      <c r="AE321" s="27">
        <f t="shared" si="61"/>
        <v>0</v>
      </c>
      <c r="AF321" s="27">
        <f t="shared" si="62"/>
        <v>-7578354145</v>
      </c>
      <c r="AG321" s="28" t="str">
        <f>VLOOKUP(Indicador!E309,[1]Diccionario!C$1:AC$150,27,0)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321" s="28">
        <v>1</v>
      </c>
      <c r="AI321" s="28">
        <v>1</v>
      </c>
      <c r="AJ321" s="28"/>
      <c r="AK321" s="28"/>
    </row>
    <row r="322" spans="1:37" ht="18.75" customHeight="1" x14ac:dyDescent="0.25">
      <c r="A322" s="11">
        <v>2025</v>
      </c>
      <c r="B322" s="12" t="s">
        <v>57</v>
      </c>
      <c r="C322" s="15" t="s">
        <v>275</v>
      </c>
      <c r="D322" s="39">
        <v>45747.049514548613</v>
      </c>
      <c r="E322" s="15" t="s">
        <v>276</v>
      </c>
      <c r="F322" s="15" t="s">
        <v>277</v>
      </c>
      <c r="G322" s="15" t="s">
        <v>278</v>
      </c>
      <c r="H322" s="15" t="s">
        <v>279</v>
      </c>
      <c r="I322" s="15" t="s">
        <v>63</v>
      </c>
      <c r="J322" s="15" t="s">
        <v>280</v>
      </c>
      <c r="K322" s="15" t="s">
        <v>45</v>
      </c>
      <c r="L322" s="17">
        <f>VLOOKUP(E322,[1]Diccionario!C$2:AC$150,22,0)</f>
        <v>7578354145</v>
      </c>
      <c r="M322" s="18">
        <f>VLOOKUP(E322,[1]Diccionario!C$2:AC$150,24,0)</f>
        <v>45734</v>
      </c>
      <c r="N322" s="19">
        <f>VLOOKUP(E322,[1]Diccionario!C$2:AC$150,25,0)</f>
        <v>46234</v>
      </c>
      <c r="O322" s="20">
        <f>VLOOKUP(E322,[1]Diccionario!C$2:AC$150,26,0)</f>
        <v>16.43</v>
      </c>
      <c r="P322" s="20">
        <f t="shared" ca="1" si="64"/>
        <v>-4.43</v>
      </c>
      <c r="Q322" s="20">
        <f t="shared" ca="1" si="63"/>
        <v>12</v>
      </c>
      <c r="R322" s="15">
        <v>16</v>
      </c>
      <c r="S322" s="21">
        <v>0.75</v>
      </c>
      <c r="T322" s="21">
        <v>0.75</v>
      </c>
      <c r="U322" s="22"/>
      <c r="V322" s="24"/>
      <c r="W322" s="24">
        <f t="shared" ref="W322:W385" si="65">IFERROR(T322*L322,0)</f>
        <v>5683765608.75</v>
      </c>
      <c r="X322" s="24">
        <f t="shared" ref="X322:X385" si="66">S322*L322</f>
        <v>5683765608.75</v>
      </c>
      <c r="Y322" s="24">
        <f t="shared" ref="Y322:Y385" si="67">IFERROR(W322-U322,0)</f>
        <v>5683765608.75</v>
      </c>
      <c r="Z322" s="24">
        <f t="shared" ref="Z322:Z385" si="68">W322-X322</f>
        <v>0</v>
      </c>
      <c r="AA322" s="25" t="str">
        <f t="shared" ref="AA322:AA385" si="69">IFERROR(W322/U322,"No se realizó gasto en este corte")</f>
        <v>No se realizó gasto en este corte</v>
      </c>
      <c r="AB322" s="26" t="str">
        <f t="shared" ref="AB322:AB385" si="70">IFERROR(
  IF(OR(AA322="",AA322=0),
    "No calculado",
    IF(AA322&gt;1,"Costo eficiente: se está gastando menos de lo presupuestado",
      IF(AA322=1,"Costo según lo presupuestado",
        "Costo ineficiente: se está gastando más de lo presupuestado"))),
"No calculado")</f>
        <v>Costo eficiente: se está gastando menos de lo presupuestado</v>
      </c>
      <c r="AC322" s="26">
        <f t="shared" ref="AC322:AC385" si="71">IFERROR(W322/X322,0)</f>
        <v>1</v>
      </c>
      <c r="AD322" s="26" t="str">
        <f t="shared" ref="AD322:AD385" si="72">IF(OR(AC322="",AC322=0),"Sin Línea Base",
IF(AC322&gt;1,"Proyecto adelantado respecto al cronograma",
IF(AC322=1,"Proyecto a tiempo según lo planificado",
IF(AC322&lt;1,"Proyecto atrasado con respecto al cronograma",
"No calculado"))))</f>
        <v>Proyecto a tiempo según lo planificado</v>
      </c>
      <c r="AE322" s="27">
        <f t="shared" ref="AE322:AE385" si="73">IFERROR(L322/AA322,0)</f>
        <v>0</v>
      </c>
      <c r="AF322" s="27">
        <f t="shared" ref="AF322:AF385" si="74">IFERROR(AE322-L322,0)</f>
        <v>-7578354145</v>
      </c>
      <c r="AG322" s="28" t="str">
        <f>VLOOKUP(Indicador!E310,[1]Diccionario!C$1:AC$150,27,0)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322" s="28">
        <v>1</v>
      </c>
      <c r="AI322" s="28">
        <v>1</v>
      </c>
      <c r="AJ322" s="28"/>
      <c r="AK322" s="28"/>
    </row>
    <row r="323" spans="1:37" ht="18.75" customHeight="1" x14ac:dyDescent="0.25">
      <c r="A323" s="11">
        <v>2026</v>
      </c>
      <c r="B323" s="12" t="s">
        <v>37</v>
      </c>
      <c r="C323" s="15" t="s">
        <v>275</v>
      </c>
      <c r="D323" s="39">
        <v>45747.049514548613</v>
      </c>
      <c r="E323" s="15" t="s">
        <v>276</v>
      </c>
      <c r="F323" s="15" t="s">
        <v>277</v>
      </c>
      <c r="G323" s="15" t="s">
        <v>278</v>
      </c>
      <c r="H323" s="15" t="s">
        <v>279</v>
      </c>
      <c r="I323" s="15" t="s">
        <v>63</v>
      </c>
      <c r="J323" s="15" t="s">
        <v>280</v>
      </c>
      <c r="K323" s="15" t="s">
        <v>45</v>
      </c>
      <c r="L323" s="17">
        <f>VLOOKUP(E323,[1]Diccionario!C$2:AC$150,22,0)</f>
        <v>7578354145</v>
      </c>
      <c r="M323" s="18">
        <f>VLOOKUP(E323,[1]Diccionario!C$2:AC$150,24,0)</f>
        <v>45734</v>
      </c>
      <c r="N323" s="19">
        <f>VLOOKUP(E323,[1]Diccionario!C$2:AC$150,25,0)</f>
        <v>46234</v>
      </c>
      <c r="O323" s="20">
        <f>VLOOKUP(E323,[1]Diccionario!C$2:AC$150,26,0)</f>
        <v>16.43</v>
      </c>
      <c r="P323" s="20">
        <f t="shared" ca="1" si="64"/>
        <v>-4.43</v>
      </c>
      <c r="Q323" s="20">
        <f t="shared" ca="1" si="63"/>
        <v>12</v>
      </c>
      <c r="R323" s="15">
        <v>16</v>
      </c>
      <c r="S323" s="21">
        <v>0.8</v>
      </c>
      <c r="T323" s="21">
        <v>0.8</v>
      </c>
      <c r="U323" s="22"/>
      <c r="V323" s="24"/>
      <c r="W323" s="24">
        <f t="shared" si="65"/>
        <v>6062683316</v>
      </c>
      <c r="X323" s="24">
        <f t="shared" si="66"/>
        <v>6062683316</v>
      </c>
      <c r="Y323" s="24">
        <f t="shared" si="67"/>
        <v>6062683316</v>
      </c>
      <c r="Z323" s="24">
        <f t="shared" si="68"/>
        <v>0</v>
      </c>
      <c r="AA323" s="25" t="str">
        <f t="shared" si="69"/>
        <v>No se realizó gasto en este corte</v>
      </c>
      <c r="AB323" s="26" t="str">
        <f t="shared" si="70"/>
        <v>Costo eficiente: se está gastando menos de lo presupuestado</v>
      </c>
      <c r="AC323" s="26">
        <f t="shared" si="71"/>
        <v>1</v>
      </c>
      <c r="AD323" s="26" t="str">
        <f t="shared" si="72"/>
        <v>Proyecto a tiempo según lo planificado</v>
      </c>
      <c r="AE323" s="27">
        <f t="shared" si="73"/>
        <v>0</v>
      </c>
      <c r="AF323" s="27">
        <f t="shared" si="74"/>
        <v>-7578354145</v>
      </c>
      <c r="AG323" s="28" t="str">
        <f>VLOOKUP(Indicador!E311,[1]Diccionario!C$1:AC$150,27,0)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323" s="28">
        <v>1</v>
      </c>
      <c r="AI323" s="28">
        <v>1</v>
      </c>
      <c r="AJ323" s="28"/>
      <c r="AK323" s="28"/>
    </row>
    <row r="324" spans="1:37" ht="18.75" customHeight="1" x14ac:dyDescent="0.25">
      <c r="A324" s="11">
        <v>2026</v>
      </c>
      <c r="B324" s="12" t="s">
        <v>47</v>
      </c>
      <c r="C324" s="15" t="s">
        <v>275</v>
      </c>
      <c r="D324" s="39">
        <v>45747.049514548613</v>
      </c>
      <c r="E324" s="15" t="s">
        <v>276</v>
      </c>
      <c r="F324" s="15" t="s">
        <v>277</v>
      </c>
      <c r="G324" s="15" t="s">
        <v>278</v>
      </c>
      <c r="H324" s="15" t="s">
        <v>279</v>
      </c>
      <c r="I324" s="15" t="s">
        <v>63</v>
      </c>
      <c r="J324" s="15" t="s">
        <v>280</v>
      </c>
      <c r="K324" s="15" t="s">
        <v>45</v>
      </c>
      <c r="L324" s="17">
        <f>VLOOKUP(E324,[1]Diccionario!C$2:AC$150,22,0)</f>
        <v>7578354145</v>
      </c>
      <c r="M324" s="18">
        <f>VLOOKUP(E324,[1]Diccionario!C$2:AC$150,24,0)</f>
        <v>45734</v>
      </c>
      <c r="N324" s="19">
        <f>VLOOKUP(E324,[1]Diccionario!C$2:AC$150,25,0)</f>
        <v>46234</v>
      </c>
      <c r="O324" s="20">
        <f>VLOOKUP(E324,[1]Diccionario!C$2:AC$150,26,0)</f>
        <v>16.43</v>
      </c>
      <c r="P324" s="20">
        <f t="shared" ca="1" si="64"/>
        <v>-4.43</v>
      </c>
      <c r="Q324" s="20">
        <f t="shared" ca="1" si="63"/>
        <v>12</v>
      </c>
      <c r="R324" s="15">
        <v>16</v>
      </c>
      <c r="S324" s="21">
        <v>0.85</v>
      </c>
      <c r="T324" s="21">
        <v>0.85</v>
      </c>
      <c r="U324" s="22"/>
      <c r="V324" s="24"/>
      <c r="W324" s="24">
        <f t="shared" si="65"/>
        <v>6441601023.25</v>
      </c>
      <c r="X324" s="24">
        <f t="shared" si="66"/>
        <v>6441601023.25</v>
      </c>
      <c r="Y324" s="24">
        <f t="shared" si="67"/>
        <v>6441601023.25</v>
      </c>
      <c r="Z324" s="24">
        <f t="shared" si="68"/>
        <v>0</v>
      </c>
      <c r="AA324" s="25" t="str">
        <f t="shared" si="69"/>
        <v>No se realizó gasto en este corte</v>
      </c>
      <c r="AB324" s="26" t="str">
        <f t="shared" si="70"/>
        <v>Costo eficiente: se está gastando menos de lo presupuestado</v>
      </c>
      <c r="AC324" s="26">
        <f t="shared" si="71"/>
        <v>1</v>
      </c>
      <c r="AD324" s="26" t="str">
        <f t="shared" si="72"/>
        <v>Proyecto a tiempo según lo planificado</v>
      </c>
      <c r="AE324" s="27">
        <f t="shared" si="73"/>
        <v>0</v>
      </c>
      <c r="AF324" s="27">
        <f t="shared" si="74"/>
        <v>-7578354145</v>
      </c>
      <c r="AG324" s="28" t="str">
        <f>VLOOKUP(Indicador!E312,[1]Diccionario!C$1:AC$150,27,0)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324" s="28">
        <v>1</v>
      </c>
      <c r="AI324" s="28">
        <v>1</v>
      </c>
      <c r="AJ324" s="28"/>
      <c r="AK324" s="28"/>
    </row>
    <row r="325" spans="1:37" ht="18.75" customHeight="1" x14ac:dyDescent="0.25">
      <c r="A325" s="11">
        <v>2026</v>
      </c>
      <c r="B325" s="12" t="s">
        <v>48</v>
      </c>
      <c r="C325" s="15" t="s">
        <v>275</v>
      </c>
      <c r="D325" s="39">
        <v>45747.049514548613</v>
      </c>
      <c r="E325" s="15" t="s">
        <v>276</v>
      </c>
      <c r="F325" s="15" t="s">
        <v>277</v>
      </c>
      <c r="G325" s="15" t="s">
        <v>278</v>
      </c>
      <c r="H325" s="15" t="s">
        <v>279</v>
      </c>
      <c r="I325" s="15" t="s">
        <v>63</v>
      </c>
      <c r="J325" s="15" t="s">
        <v>280</v>
      </c>
      <c r="K325" s="15" t="s">
        <v>45</v>
      </c>
      <c r="L325" s="17">
        <f>VLOOKUP(E325,[1]Diccionario!C$2:AC$150,22,0)</f>
        <v>7578354145</v>
      </c>
      <c r="M325" s="18">
        <f>VLOOKUP(E325,[1]Diccionario!C$2:AC$150,24,0)</f>
        <v>45734</v>
      </c>
      <c r="N325" s="19">
        <f>VLOOKUP(E325,[1]Diccionario!C$2:AC$150,25,0)</f>
        <v>46234</v>
      </c>
      <c r="O325" s="20">
        <f>VLOOKUP(E325,[1]Diccionario!C$2:AC$150,26,0)</f>
        <v>16.43</v>
      </c>
      <c r="P325" s="20">
        <f t="shared" ca="1" si="64"/>
        <v>-4.43</v>
      </c>
      <c r="Q325" s="20">
        <f t="shared" ca="1" si="63"/>
        <v>12</v>
      </c>
      <c r="R325" s="15">
        <v>16</v>
      </c>
      <c r="S325" s="21">
        <v>0.87</v>
      </c>
      <c r="T325" s="21">
        <v>0.87</v>
      </c>
      <c r="U325" s="22"/>
      <c r="V325" s="24"/>
      <c r="W325" s="24">
        <f t="shared" si="65"/>
        <v>6593168106.1499996</v>
      </c>
      <c r="X325" s="24">
        <f t="shared" si="66"/>
        <v>6593168106.1499996</v>
      </c>
      <c r="Y325" s="24">
        <f t="shared" si="67"/>
        <v>6593168106.1499996</v>
      </c>
      <c r="Z325" s="24">
        <f t="shared" si="68"/>
        <v>0</v>
      </c>
      <c r="AA325" s="25" t="str">
        <f t="shared" si="69"/>
        <v>No se realizó gasto en este corte</v>
      </c>
      <c r="AB325" s="26" t="str">
        <f t="shared" si="70"/>
        <v>Costo eficiente: se está gastando menos de lo presupuestado</v>
      </c>
      <c r="AC325" s="26">
        <f t="shared" si="71"/>
        <v>1</v>
      </c>
      <c r="AD325" s="26" t="str">
        <f t="shared" si="72"/>
        <v>Proyecto a tiempo según lo planificado</v>
      </c>
      <c r="AE325" s="27">
        <f t="shared" si="73"/>
        <v>0</v>
      </c>
      <c r="AF325" s="27">
        <f t="shared" si="74"/>
        <v>-7578354145</v>
      </c>
      <c r="AG325" s="28" t="str">
        <f>VLOOKUP(Indicador!E313,[1]Diccionario!C$1:AC$150,27,0)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25" s="28">
        <v>1</v>
      </c>
      <c r="AI325" s="28">
        <v>1</v>
      </c>
      <c r="AJ325" s="28"/>
      <c r="AK325" s="28"/>
    </row>
    <row r="326" spans="1:37" ht="18.75" customHeight="1" x14ac:dyDescent="0.25">
      <c r="A326" s="11">
        <v>2026</v>
      </c>
      <c r="B326" s="12" t="s">
        <v>49</v>
      </c>
      <c r="C326" s="15" t="s">
        <v>275</v>
      </c>
      <c r="D326" s="39">
        <v>45747.049514548613</v>
      </c>
      <c r="E326" s="15" t="s">
        <v>276</v>
      </c>
      <c r="F326" s="15" t="s">
        <v>277</v>
      </c>
      <c r="G326" s="15" t="s">
        <v>278</v>
      </c>
      <c r="H326" s="15" t="s">
        <v>279</v>
      </c>
      <c r="I326" s="15" t="s">
        <v>63</v>
      </c>
      <c r="J326" s="15" t="s">
        <v>280</v>
      </c>
      <c r="K326" s="15" t="s">
        <v>45</v>
      </c>
      <c r="L326" s="17">
        <f>VLOOKUP(E326,[1]Diccionario!C$2:AC$150,22,0)</f>
        <v>7578354145</v>
      </c>
      <c r="M326" s="18">
        <f>VLOOKUP(E326,[1]Diccionario!C$2:AC$150,24,0)</f>
        <v>45734</v>
      </c>
      <c r="N326" s="19">
        <f>VLOOKUP(E326,[1]Diccionario!C$2:AC$150,25,0)</f>
        <v>46234</v>
      </c>
      <c r="O326" s="20">
        <f>VLOOKUP(E326,[1]Diccionario!C$2:AC$150,26,0)</f>
        <v>16.43</v>
      </c>
      <c r="P326" s="20">
        <f t="shared" ca="1" si="64"/>
        <v>-4.43</v>
      </c>
      <c r="Q326" s="20">
        <f t="shared" ca="1" si="63"/>
        <v>12</v>
      </c>
      <c r="R326" s="15">
        <v>16</v>
      </c>
      <c r="S326" s="21">
        <v>0.9</v>
      </c>
      <c r="T326" s="21">
        <v>0.9</v>
      </c>
      <c r="U326" s="22"/>
      <c r="V326" s="24"/>
      <c r="W326" s="24">
        <f t="shared" si="65"/>
        <v>6820518730.5</v>
      </c>
      <c r="X326" s="24">
        <f t="shared" si="66"/>
        <v>6820518730.5</v>
      </c>
      <c r="Y326" s="24">
        <f t="shared" si="67"/>
        <v>6820518730.5</v>
      </c>
      <c r="Z326" s="24">
        <f t="shared" si="68"/>
        <v>0</v>
      </c>
      <c r="AA326" s="25" t="str">
        <f t="shared" si="69"/>
        <v>No se realizó gasto en este corte</v>
      </c>
      <c r="AB326" s="26" t="str">
        <f t="shared" si="70"/>
        <v>Costo eficiente: se está gastando menos de lo presupuestado</v>
      </c>
      <c r="AC326" s="26">
        <f t="shared" si="71"/>
        <v>1</v>
      </c>
      <c r="AD326" s="26" t="str">
        <f t="shared" si="72"/>
        <v>Proyecto a tiempo según lo planificado</v>
      </c>
      <c r="AE326" s="27">
        <f t="shared" si="73"/>
        <v>0</v>
      </c>
      <c r="AF326" s="27">
        <f t="shared" si="74"/>
        <v>-7578354145</v>
      </c>
      <c r="AG326" s="28" t="str">
        <f>VLOOKUP(Indicador!E314,[1]Diccionario!C$1:AC$150,27,0)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26" s="28">
        <v>1</v>
      </c>
      <c r="AI326" s="28">
        <v>1</v>
      </c>
      <c r="AJ326" s="28"/>
      <c r="AK326" s="28"/>
    </row>
    <row r="327" spans="1:37" ht="18.75" customHeight="1" x14ac:dyDescent="0.25">
      <c r="A327" s="11">
        <v>2026</v>
      </c>
      <c r="B327" s="12" t="s">
        <v>50</v>
      </c>
      <c r="C327" s="15" t="s">
        <v>275</v>
      </c>
      <c r="D327" s="39">
        <v>45747.049514548613</v>
      </c>
      <c r="E327" s="15" t="s">
        <v>276</v>
      </c>
      <c r="F327" s="15" t="s">
        <v>277</v>
      </c>
      <c r="G327" s="15" t="s">
        <v>278</v>
      </c>
      <c r="H327" s="15" t="s">
        <v>279</v>
      </c>
      <c r="I327" s="15" t="s">
        <v>63</v>
      </c>
      <c r="J327" s="15" t="s">
        <v>280</v>
      </c>
      <c r="K327" s="15" t="s">
        <v>45</v>
      </c>
      <c r="L327" s="17">
        <f>VLOOKUP(E327,[1]Diccionario!C$2:AC$150,22,0)</f>
        <v>7578354145</v>
      </c>
      <c r="M327" s="18">
        <f>VLOOKUP(E327,[1]Diccionario!C$2:AC$150,24,0)</f>
        <v>45734</v>
      </c>
      <c r="N327" s="19">
        <f>VLOOKUP(E327,[1]Diccionario!C$2:AC$150,25,0)</f>
        <v>46234</v>
      </c>
      <c r="O327" s="20">
        <f>VLOOKUP(E327,[1]Diccionario!C$2:AC$150,26,0)</f>
        <v>16.43</v>
      </c>
      <c r="P327" s="20">
        <f t="shared" ca="1" si="64"/>
        <v>-4.43</v>
      </c>
      <c r="Q327" s="20">
        <f t="shared" ca="1" si="63"/>
        <v>12</v>
      </c>
      <c r="R327" s="15">
        <v>16</v>
      </c>
      <c r="S327" s="21">
        <v>0.92</v>
      </c>
      <c r="T327" s="21">
        <v>0.92</v>
      </c>
      <c r="U327" s="22"/>
      <c r="V327" s="24"/>
      <c r="W327" s="24">
        <f t="shared" si="65"/>
        <v>6972085813.4000006</v>
      </c>
      <c r="X327" s="24">
        <f t="shared" si="66"/>
        <v>6972085813.4000006</v>
      </c>
      <c r="Y327" s="24">
        <f t="shared" si="67"/>
        <v>6972085813.4000006</v>
      </c>
      <c r="Z327" s="24">
        <f t="shared" si="68"/>
        <v>0</v>
      </c>
      <c r="AA327" s="25" t="str">
        <f t="shared" si="69"/>
        <v>No se realizó gasto en este corte</v>
      </c>
      <c r="AB327" s="26" t="str">
        <f t="shared" si="70"/>
        <v>Costo eficiente: se está gastando menos de lo presupuestado</v>
      </c>
      <c r="AC327" s="26">
        <f t="shared" si="71"/>
        <v>1</v>
      </c>
      <c r="AD327" s="26" t="str">
        <f t="shared" si="72"/>
        <v>Proyecto a tiempo según lo planificado</v>
      </c>
      <c r="AE327" s="27">
        <f t="shared" si="73"/>
        <v>0</v>
      </c>
      <c r="AF327" s="27">
        <f t="shared" si="74"/>
        <v>-7578354145</v>
      </c>
      <c r="AG327" s="28" t="str">
        <f>VLOOKUP(Indicador!E315,[1]Diccionario!C$1:AC$150,27,0)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27" s="28">
        <v>1</v>
      </c>
      <c r="AI327" s="28">
        <v>1</v>
      </c>
      <c r="AJ327" s="28"/>
      <c r="AK327" s="28"/>
    </row>
    <row r="328" spans="1:37" ht="18.75" customHeight="1" x14ac:dyDescent="0.25">
      <c r="A328" s="11">
        <v>2026</v>
      </c>
      <c r="B328" s="12" t="s">
        <v>51</v>
      </c>
      <c r="C328" s="15" t="s">
        <v>275</v>
      </c>
      <c r="D328" s="39">
        <v>45747.049514548613</v>
      </c>
      <c r="E328" s="15" t="s">
        <v>276</v>
      </c>
      <c r="F328" s="15" t="s">
        <v>277</v>
      </c>
      <c r="G328" s="15" t="s">
        <v>278</v>
      </c>
      <c r="H328" s="15" t="s">
        <v>279</v>
      </c>
      <c r="I328" s="15" t="s">
        <v>63</v>
      </c>
      <c r="J328" s="15" t="s">
        <v>280</v>
      </c>
      <c r="K328" s="15" t="s">
        <v>45</v>
      </c>
      <c r="L328" s="17">
        <f>VLOOKUP(E328,[1]Diccionario!C$2:AC$150,22,0)</f>
        <v>7578354145</v>
      </c>
      <c r="M328" s="18">
        <f>VLOOKUP(E328,[1]Diccionario!C$2:AC$150,24,0)</f>
        <v>45734</v>
      </c>
      <c r="N328" s="19">
        <f>VLOOKUP(E328,[1]Diccionario!C$2:AC$150,25,0)</f>
        <v>46234</v>
      </c>
      <c r="O328" s="20">
        <f>VLOOKUP(E328,[1]Diccionario!C$2:AC$150,26,0)</f>
        <v>16.43</v>
      </c>
      <c r="P328" s="20">
        <f t="shared" ca="1" si="64"/>
        <v>-4.43</v>
      </c>
      <c r="Q328" s="20">
        <f t="shared" ca="1" si="63"/>
        <v>12</v>
      </c>
      <c r="R328" s="15">
        <v>16</v>
      </c>
      <c r="S328" s="21">
        <v>1</v>
      </c>
      <c r="T328" s="21">
        <v>1</v>
      </c>
      <c r="U328" s="22"/>
      <c r="V328" s="24"/>
      <c r="W328" s="24">
        <f t="shared" si="65"/>
        <v>7578354145</v>
      </c>
      <c r="X328" s="24">
        <f t="shared" si="66"/>
        <v>7578354145</v>
      </c>
      <c r="Y328" s="24">
        <f t="shared" si="67"/>
        <v>7578354145</v>
      </c>
      <c r="Z328" s="24">
        <f t="shared" si="68"/>
        <v>0</v>
      </c>
      <c r="AA328" s="25" t="str">
        <f t="shared" si="69"/>
        <v>No se realizó gasto en este corte</v>
      </c>
      <c r="AB328" s="26" t="str">
        <f t="shared" si="70"/>
        <v>Costo eficiente: se está gastando menos de lo presupuestado</v>
      </c>
      <c r="AC328" s="26">
        <f t="shared" si="71"/>
        <v>1</v>
      </c>
      <c r="AD328" s="26" t="str">
        <f t="shared" si="72"/>
        <v>Proyecto a tiempo según lo planificado</v>
      </c>
      <c r="AE328" s="27">
        <f t="shared" si="73"/>
        <v>0</v>
      </c>
      <c r="AF328" s="27">
        <f t="shared" si="74"/>
        <v>-7578354145</v>
      </c>
      <c r="AG328" s="28" t="str">
        <f>VLOOKUP(Indicador!E316,[1]Diccionario!C$1:AC$150,27,0)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28" s="28">
        <v>1</v>
      </c>
      <c r="AI328" s="28">
        <v>1</v>
      </c>
      <c r="AJ328" s="28"/>
      <c r="AK328" s="28"/>
    </row>
    <row r="329" spans="1:37" ht="18.75" customHeight="1" x14ac:dyDescent="0.25">
      <c r="A329" s="11">
        <v>2025</v>
      </c>
      <c r="B329" s="12" t="s">
        <v>55</v>
      </c>
      <c r="C329" s="15" t="s">
        <v>281</v>
      </c>
      <c r="D329" s="39">
        <v>45768.647169212963</v>
      </c>
      <c r="E329" s="15" t="s">
        <v>282</v>
      </c>
      <c r="F329" s="15" t="s">
        <v>151</v>
      </c>
      <c r="G329" s="15" t="s">
        <v>283</v>
      </c>
      <c r="H329" s="15" t="s">
        <v>284</v>
      </c>
      <c r="I329" s="15" t="s">
        <v>63</v>
      </c>
      <c r="J329" s="15" t="s">
        <v>285</v>
      </c>
      <c r="K329" s="15" t="s">
        <v>80</v>
      </c>
      <c r="L329" s="17">
        <f>VLOOKUP(E329,[1]Diccionario!C$2:AC$150,22,0)</f>
        <v>93771886</v>
      </c>
      <c r="M329" s="18">
        <f>VLOOKUP(E329,[1]Diccionario!C$2:AC$150,24,0)</f>
        <v>45931</v>
      </c>
      <c r="N329" s="19">
        <f>VLOOKUP(E329,[1]Diccionario!C$2:AC$150,25,0)</f>
        <v>47756</v>
      </c>
      <c r="O329" s="20">
        <f>VLOOKUP(E329,[1]Diccionario!C$2:AC$150,26,0)</f>
        <v>59.97</v>
      </c>
      <c r="P329" s="20">
        <f t="shared" si="64"/>
        <v>-58.97</v>
      </c>
      <c r="Q329" s="20">
        <v>1</v>
      </c>
      <c r="R329" s="15">
        <v>56</v>
      </c>
      <c r="S329" s="21">
        <v>0.75</v>
      </c>
      <c r="T329" s="21">
        <v>0.75</v>
      </c>
      <c r="U329" s="22"/>
      <c r="V329" s="24"/>
      <c r="W329" s="24">
        <f t="shared" si="65"/>
        <v>70328914.5</v>
      </c>
      <c r="X329" s="24">
        <f t="shared" si="66"/>
        <v>70328914.5</v>
      </c>
      <c r="Y329" s="24">
        <f t="shared" si="67"/>
        <v>70328914.5</v>
      </c>
      <c r="Z329" s="24">
        <f t="shared" si="68"/>
        <v>0</v>
      </c>
      <c r="AA329" s="25" t="str">
        <f t="shared" si="69"/>
        <v>No se realizó gasto en este corte</v>
      </c>
      <c r="AB329" s="26" t="str">
        <f t="shared" si="70"/>
        <v>Costo eficiente: se está gastando menos de lo presupuestado</v>
      </c>
      <c r="AC329" s="26">
        <f t="shared" si="71"/>
        <v>1</v>
      </c>
      <c r="AD329" s="26" t="str">
        <f t="shared" si="72"/>
        <v>Proyecto a tiempo según lo planificado</v>
      </c>
      <c r="AE329" s="27">
        <f t="shared" si="73"/>
        <v>0</v>
      </c>
      <c r="AF329" s="27">
        <f t="shared" si="74"/>
        <v>-93771886</v>
      </c>
      <c r="AG329" s="28" t="str">
        <f>VLOOKUP(Indicador!E553,[1]Diccionario!C$1:AC$150,27,0)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29" s="28">
        <v>1</v>
      </c>
      <c r="AI329" s="28">
        <v>1</v>
      </c>
      <c r="AJ329" s="28"/>
      <c r="AK329" s="28"/>
    </row>
    <row r="330" spans="1:37" ht="18.75" customHeight="1" x14ac:dyDescent="0.25">
      <c r="A330" s="11">
        <v>2025</v>
      </c>
      <c r="B330" s="12" t="s">
        <v>56</v>
      </c>
      <c r="C330" s="15" t="s">
        <v>281</v>
      </c>
      <c r="D330" s="39">
        <v>45768.647169212963</v>
      </c>
      <c r="E330" s="15" t="s">
        <v>282</v>
      </c>
      <c r="F330" s="15" t="s">
        <v>151</v>
      </c>
      <c r="G330" s="15" t="s">
        <v>283</v>
      </c>
      <c r="H330" s="15" t="s">
        <v>284</v>
      </c>
      <c r="I330" s="15" t="s">
        <v>63</v>
      </c>
      <c r="J330" s="15" t="s">
        <v>285</v>
      </c>
      <c r="K330" s="15" t="s">
        <v>80</v>
      </c>
      <c r="L330" s="17">
        <f>VLOOKUP(E330,[1]Diccionario!C$2:AC$150,22,0)</f>
        <v>93771886</v>
      </c>
      <c r="M330" s="18">
        <f>VLOOKUP(E330,[1]Diccionario!C$2:AC$150,24,0)</f>
        <v>45931</v>
      </c>
      <c r="N330" s="19">
        <f>VLOOKUP(E330,[1]Diccionario!C$2:AC$150,25,0)</f>
        <v>47756</v>
      </c>
      <c r="O330" s="20">
        <f>VLOOKUP(E330,[1]Diccionario!C$2:AC$150,26,0)</f>
        <v>59.97</v>
      </c>
      <c r="P330" s="20">
        <f t="shared" si="64"/>
        <v>-57.97</v>
      </c>
      <c r="Q330" s="20">
        <v>2</v>
      </c>
      <c r="R330" s="15">
        <v>56</v>
      </c>
      <c r="S330" s="62">
        <v>0.999</v>
      </c>
      <c r="T330" s="62">
        <v>0.999</v>
      </c>
      <c r="U330" s="22"/>
      <c r="V330" s="24"/>
      <c r="W330" s="24">
        <f t="shared" si="65"/>
        <v>93678114.113999993</v>
      </c>
      <c r="X330" s="24">
        <f t="shared" si="66"/>
        <v>93678114.113999993</v>
      </c>
      <c r="Y330" s="24">
        <f t="shared" si="67"/>
        <v>93678114.113999993</v>
      </c>
      <c r="Z330" s="24">
        <f t="shared" si="68"/>
        <v>0</v>
      </c>
      <c r="AA330" s="25" t="str">
        <f t="shared" si="69"/>
        <v>No se realizó gasto en este corte</v>
      </c>
      <c r="AB330" s="26" t="str">
        <f t="shared" si="70"/>
        <v>Costo eficiente: se está gastando menos de lo presupuestado</v>
      </c>
      <c r="AC330" s="26">
        <f t="shared" si="71"/>
        <v>1</v>
      </c>
      <c r="AD330" s="26" t="str">
        <f t="shared" si="72"/>
        <v>Proyecto a tiempo según lo planificado</v>
      </c>
      <c r="AE330" s="27">
        <f t="shared" si="73"/>
        <v>0</v>
      </c>
      <c r="AF330" s="27">
        <f t="shared" si="74"/>
        <v>-93771886</v>
      </c>
      <c r="AG330" s="28" t="str">
        <f>VLOOKUP(Indicador!E554,[1]Diccionario!C$1:AC$150,27,0)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30" s="28">
        <v>1</v>
      </c>
      <c r="AI330" s="28">
        <v>1</v>
      </c>
      <c r="AJ330" s="28"/>
      <c r="AK330" s="28"/>
    </row>
    <row r="331" spans="1:37" ht="18.75" customHeight="1" x14ac:dyDescent="0.25">
      <c r="A331" s="11">
        <v>2025</v>
      </c>
      <c r="B331" s="12" t="s">
        <v>57</v>
      </c>
      <c r="C331" s="15" t="s">
        <v>281</v>
      </c>
      <c r="D331" s="39">
        <v>45768.647169212963</v>
      </c>
      <c r="E331" s="15" t="s">
        <v>282</v>
      </c>
      <c r="F331" s="15" t="s">
        <v>151</v>
      </c>
      <c r="G331" s="15" t="s">
        <v>283</v>
      </c>
      <c r="H331" s="15" t="s">
        <v>284</v>
      </c>
      <c r="I331" s="15" t="s">
        <v>63</v>
      </c>
      <c r="J331" s="15" t="s">
        <v>285</v>
      </c>
      <c r="K331" s="15" t="s">
        <v>80</v>
      </c>
      <c r="L331" s="17">
        <f>VLOOKUP(E331,[1]Diccionario!C$2:AC$150,22,0)</f>
        <v>93771886</v>
      </c>
      <c r="M331" s="18">
        <f>VLOOKUP(E331,[1]Diccionario!C$2:AC$150,24,0)</f>
        <v>45931</v>
      </c>
      <c r="N331" s="19">
        <f>VLOOKUP(E331,[1]Diccionario!C$2:AC$150,25,0)</f>
        <v>47756</v>
      </c>
      <c r="O331" s="20">
        <f>VLOOKUP(E331,[1]Diccionario!C$2:AC$150,26,0)</f>
        <v>59.97</v>
      </c>
      <c r="P331" s="20">
        <f t="shared" si="64"/>
        <v>-56.97</v>
      </c>
      <c r="Q331" s="20">
        <v>3</v>
      </c>
      <c r="R331" s="15">
        <v>56</v>
      </c>
      <c r="S331" s="62">
        <v>0.999</v>
      </c>
      <c r="T331" s="62">
        <v>0.999</v>
      </c>
      <c r="U331" s="22"/>
      <c r="V331" s="24"/>
      <c r="W331" s="24">
        <f t="shared" si="65"/>
        <v>93678114.113999993</v>
      </c>
      <c r="X331" s="24">
        <f t="shared" si="66"/>
        <v>93678114.113999993</v>
      </c>
      <c r="Y331" s="24">
        <f t="shared" si="67"/>
        <v>93678114.113999993</v>
      </c>
      <c r="Z331" s="24">
        <f t="shared" si="68"/>
        <v>0</v>
      </c>
      <c r="AA331" s="25" t="str">
        <f t="shared" si="69"/>
        <v>No se realizó gasto en este corte</v>
      </c>
      <c r="AB331" s="26" t="str">
        <f t="shared" si="70"/>
        <v>Costo eficiente: se está gastando menos de lo presupuestado</v>
      </c>
      <c r="AC331" s="26">
        <f t="shared" si="71"/>
        <v>1</v>
      </c>
      <c r="AD331" s="26" t="str">
        <f t="shared" si="72"/>
        <v>Proyecto a tiempo según lo planificado</v>
      </c>
      <c r="AE331" s="27">
        <f t="shared" si="73"/>
        <v>0</v>
      </c>
      <c r="AF331" s="27">
        <f t="shared" si="74"/>
        <v>-93771886</v>
      </c>
      <c r="AG331" s="28" t="str">
        <f>VLOOKUP(Indicador!E555,[1]Diccionario!C$1:AC$150,27,0)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31" s="28">
        <v>1</v>
      </c>
      <c r="AI331" s="28">
        <v>1</v>
      </c>
      <c r="AJ331" s="28"/>
      <c r="AK331" s="28"/>
    </row>
    <row r="332" spans="1:37" ht="18.75" customHeight="1" x14ac:dyDescent="0.25">
      <c r="A332" s="11">
        <v>2026</v>
      </c>
      <c r="B332" s="12" t="s">
        <v>37</v>
      </c>
      <c r="C332" s="15" t="s">
        <v>281</v>
      </c>
      <c r="D332" s="39">
        <v>45768.647169212963</v>
      </c>
      <c r="E332" s="15" t="s">
        <v>282</v>
      </c>
      <c r="F332" s="15" t="s">
        <v>151</v>
      </c>
      <c r="G332" s="15" t="s">
        <v>283</v>
      </c>
      <c r="H332" s="15" t="s">
        <v>284</v>
      </c>
      <c r="I332" s="15" t="s">
        <v>63</v>
      </c>
      <c r="J332" s="15" t="s">
        <v>285</v>
      </c>
      <c r="K332" s="15" t="s">
        <v>80</v>
      </c>
      <c r="L332" s="17">
        <f>VLOOKUP(E332,[1]Diccionario!C$2:AC$150,22,0)</f>
        <v>93771886</v>
      </c>
      <c r="M332" s="18">
        <f>VLOOKUP(E332,[1]Diccionario!C$2:AC$150,24,0)</f>
        <v>45931</v>
      </c>
      <c r="N332" s="19">
        <f>VLOOKUP(E332,[1]Diccionario!C$2:AC$150,25,0)</f>
        <v>47756</v>
      </c>
      <c r="O332" s="20">
        <f>VLOOKUP(E332,[1]Diccionario!C$2:AC$150,26,0)</f>
        <v>59.97</v>
      </c>
      <c r="P332" s="20">
        <f t="shared" si="64"/>
        <v>-55.97</v>
      </c>
      <c r="Q332" s="20">
        <v>4</v>
      </c>
      <c r="R332" s="15">
        <v>56</v>
      </c>
      <c r="S332" s="62">
        <v>0.999</v>
      </c>
      <c r="T332" s="21"/>
      <c r="U332" s="22"/>
      <c r="V332" s="24"/>
      <c r="W332" s="24">
        <f t="shared" si="65"/>
        <v>0</v>
      </c>
      <c r="X332" s="24">
        <f t="shared" si="66"/>
        <v>93678114.113999993</v>
      </c>
      <c r="Y332" s="24">
        <f t="shared" si="67"/>
        <v>0</v>
      </c>
      <c r="Z332" s="24">
        <f t="shared" si="68"/>
        <v>-93678114.113999993</v>
      </c>
      <c r="AA332" s="25" t="str">
        <f t="shared" si="69"/>
        <v>No se realizó gasto en este corte</v>
      </c>
      <c r="AB332" s="26" t="str">
        <f t="shared" si="70"/>
        <v>Costo eficiente: se está gastando menos de lo presupuestado</v>
      </c>
      <c r="AC332" s="26">
        <f t="shared" si="71"/>
        <v>0</v>
      </c>
      <c r="AD332" s="26" t="str">
        <f t="shared" si="72"/>
        <v>Sin Línea Base</v>
      </c>
      <c r="AE332" s="27">
        <f t="shared" si="73"/>
        <v>0</v>
      </c>
      <c r="AF332" s="27">
        <f t="shared" si="74"/>
        <v>-93771886</v>
      </c>
      <c r="AG332" s="28" t="str">
        <f>VLOOKUP(Indicador!E556,[1]Diccionario!C$1:AC$150,27,0)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32" s="28">
        <v>1</v>
      </c>
      <c r="AI332" s="28">
        <v>1</v>
      </c>
      <c r="AJ332" s="28"/>
      <c r="AK332" s="28"/>
    </row>
    <row r="333" spans="1:37" ht="18.75" customHeight="1" x14ac:dyDescent="0.25">
      <c r="A333" s="11">
        <v>2026</v>
      </c>
      <c r="B333" s="12" t="s">
        <v>47</v>
      </c>
      <c r="C333" s="15" t="s">
        <v>281</v>
      </c>
      <c r="D333" s="39">
        <v>45768.647169212963</v>
      </c>
      <c r="E333" s="15" t="s">
        <v>282</v>
      </c>
      <c r="F333" s="15" t="s">
        <v>151</v>
      </c>
      <c r="G333" s="15" t="s">
        <v>283</v>
      </c>
      <c r="H333" s="15" t="s">
        <v>284</v>
      </c>
      <c r="I333" s="15" t="s">
        <v>63</v>
      </c>
      <c r="J333" s="15" t="s">
        <v>285</v>
      </c>
      <c r="K333" s="15" t="s">
        <v>80</v>
      </c>
      <c r="L333" s="17">
        <f>VLOOKUP(E333,[1]Diccionario!C$2:AC$150,22,0)</f>
        <v>93771886</v>
      </c>
      <c r="M333" s="18">
        <f>VLOOKUP(E333,[1]Diccionario!C$2:AC$150,24,0)</f>
        <v>45931</v>
      </c>
      <c r="N333" s="19">
        <f>VLOOKUP(E333,[1]Diccionario!C$2:AC$150,25,0)</f>
        <v>47756</v>
      </c>
      <c r="O333" s="20">
        <f>VLOOKUP(E333,[1]Diccionario!C$2:AC$150,26,0)</f>
        <v>59.97</v>
      </c>
      <c r="P333" s="20">
        <f t="shared" si="64"/>
        <v>-54.97</v>
      </c>
      <c r="Q333" s="20">
        <v>5</v>
      </c>
      <c r="R333" s="15">
        <v>56</v>
      </c>
      <c r="S333" s="62">
        <v>0.999</v>
      </c>
      <c r="T333" s="21"/>
      <c r="U333" s="22"/>
      <c r="V333" s="24"/>
      <c r="W333" s="24">
        <f t="shared" si="65"/>
        <v>0</v>
      </c>
      <c r="X333" s="24">
        <f t="shared" si="66"/>
        <v>93678114.113999993</v>
      </c>
      <c r="Y333" s="24">
        <f t="shared" si="67"/>
        <v>0</v>
      </c>
      <c r="Z333" s="24">
        <f t="shared" si="68"/>
        <v>-93678114.113999993</v>
      </c>
      <c r="AA333" s="25" t="str">
        <f t="shared" si="69"/>
        <v>No se realizó gasto en este corte</v>
      </c>
      <c r="AB333" s="26" t="str">
        <f t="shared" si="70"/>
        <v>Costo eficiente: se está gastando menos de lo presupuestado</v>
      </c>
      <c r="AC333" s="26">
        <f t="shared" si="71"/>
        <v>0</v>
      </c>
      <c r="AD333" s="26" t="str">
        <f t="shared" si="72"/>
        <v>Sin Línea Base</v>
      </c>
      <c r="AE333" s="27">
        <f t="shared" si="73"/>
        <v>0</v>
      </c>
      <c r="AF333" s="27">
        <f t="shared" si="74"/>
        <v>-93771886</v>
      </c>
      <c r="AG333" s="28" t="str">
        <f>VLOOKUP(Indicador!E557,[1]Diccionario!C$1:AC$150,27,0)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33" s="28">
        <v>1</v>
      </c>
      <c r="AI333" s="28">
        <v>1</v>
      </c>
      <c r="AJ333" s="28"/>
      <c r="AK333" s="28"/>
    </row>
    <row r="334" spans="1:37" ht="18.75" customHeight="1" x14ac:dyDescent="0.25">
      <c r="A334" s="11">
        <v>2026</v>
      </c>
      <c r="B334" s="12" t="s">
        <v>48</v>
      </c>
      <c r="C334" s="15" t="s">
        <v>281</v>
      </c>
      <c r="D334" s="39">
        <v>45768.647169212963</v>
      </c>
      <c r="E334" s="15" t="s">
        <v>282</v>
      </c>
      <c r="F334" s="15" t="s">
        <v>151</v>
      </c>
      <c r="G334" s="15" t="s">
        <v>283</v>
      </c>
      <c r="H334" s="15" t="s">
        <v>284</v>
      </c>
      <c r="I334" s="15" t="s">
        <v>63</v>
      </c>
      <c r="J334" s="15" t="s">
        <v>285</v>
      </c>
      <c r="K334" s="15" t="s">
        <v>80</v>
      </c>
      <c r="L334" s="17">
        <f>VLOOKUP(E334,[1]Diccionario!C$2:AC$150,22,0)</f>
        <v>93771886</v>
      </c>
      <c r="M334" s="18">
        <f>VLOOKUP(E334,[1]Diccionario!C$2:AC$150,24,0)</f>
        <v>45931</v>
      </c>
      <c r="N334" s="19">
        <f>VLOOKUP(E334,[1]Diccionario!C$2:AC$150,25,0)</f>
        <v>47756</v>
      </c>
      <c r="O334" s="20">
        <f>VLOOKUP(E334,[1]Diccionario!C$2:AC$150,26,0)</f>
        <v>59.97</v>
      </c>
      <c r="P334" s="20">
        <f t="shared" si="64"/>
        <v>-53.97</v>
      </c>
      <c r="Q334" s="20">
        <v>6</v>
      </c>
      <c r="R334" s="15">
        <v>56</v>
      </c>
      <c r="S334" s="62">
        <v>0.999</v>
      </c>
      <c r="T334" s="21"/>
      <c r="U334" s="22"/>
      <c r="V334" s="24"/>
      <c r="W334" s="24">
        <f t="shared" si="65"/>
        <v>0</v>
      </c>
      <c r="X334" s="24">
        <f t="shared" si="66"/>
        <v>93678114.113999993</v>
      </c>
      <c r="Y334" s="24">
        <f t="shared" si="67"/>
        <v>0</v>
      </c>
      <c r="Z334" s="24">
        <f t="shared" si="68"/>
        <v>-93678114.113999993</v>
      </c>
      <c r="AA334" s="25" t="str">
        <f t="shared" si="69"/>
        <v>No se realizó gasto en este corte</v>
      </c>
      <c r="AB334" s="26" t="str">
        <f t="shared" si="70"/>
        <v>Costo eficiente: se está gastando menos de lo presupuestado</v>
      </c>
      <c r="AC334" s="26">
        <f t="shared" si="71"/>
        <v>0</v>
      </c>
      <c r="AD334" s="26" t="str">
        <f t="shared" si="72"/>
        <v>Sin Línea Base</v>
      </c>
      <c r="AE334" s="27">
        <f t="shared" si="73"/>
        <v>0</v>
      </c>
      <c r="AF334" s="27">
        <f t="shared" si="74"/>
        <v>-93771886</v>
      </c>
      <c r="AG334" s="28" t="str">
        <f>VLOOKUP(Indicador!E558,[1]Diccionario!C$1:AC$150,27,0)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34" s="28">
        <v>1</v>
      </c>
      <c r="AI334" s="28">
        <v>1</v>
      </c>
      <c r="AJ334" s="28"/>
      <c r="AK334" s="28"/>
    </row>
    <row r="335" spans="1:37" ht="18.75" customHeight="1" x14ac:dyDescent="0.25">
      <c r="A335" s="11">
        <v>2026</v>
      </c>
      <c r="B335" s="12" t="s">
        <v>49</v>
      </c>
      <c r="C335" s="15" t="s">
        <v>281</v>
      </c>
      <c r="D335" s="39">
        <v>45768.647169212963</v>
      </c>
      <c r="E335" s="15" t="s">
        <v>282</v>
      </c>
      <c r="F335" s="15" t="s">
        <v>151</v>
      </c>
      <c r="G335" s="15" t="s">
        <v>283</v>
      </c>
      <c r="H335" s="15" t="s">
        <v>284</v>
      </c>
      <c r="I335" s="15" t="s">
        <v>63</v>
      </c>
      <c r="J335" s="15" t="s">
        <v>285</v>
      </c>
      <c r="K335" s="15" t="s">
        <v>80</v>
      </c>
      <c r="L335" s="17">
        <f>VLOOKUP(E335,[1]Diccionario!C$2:AC$150,22,0)</f>
        <v>93771886</v>
      </c>
      <c r="M335" s="18">
        <f>VLOOKUP(E335,[1]Diccionario!C$2:AC$150,24,0)</f>
        <v>45931</v>
      </c>
      <c r="N335" s="19">
        <f>VLOOKUP(E335,[1]Diccionario!C$2:AC$150,25,0)</f>
        <v>47756</v>
      </c>
      <c r="O335" s="20">
        <f>VLOOKUP(E335,[1]Diccionario!C$2:AC$150,26,0)</f>
        <v>59.97</v>
      </c>
      <c r="P335" s="20">
        <f t="shared" si="64"/>
        <v>-52.97</v>
      </c>
      <c r="Q335" s="20">
        <v>7</v>
      </c>
      <c r="R335" s="15">
        <v>56</v>
      </c>
      <c r="S335" s="62">
        <v>0.999</v>
      </c>
      <c r="T335" s="21"/>
      <c r="U335" s="22"/>
      <c r="V335" s="24"/>
      <c r="W335" s="24">
        <f t="shared" si="65"/>
        <v>0</v>
      </c>
      <c r="X335" s="24">
        <f t="shared" si="66"/>
        <v>93678114.113999993</v>
      </c>
      <c r="Y335" s="24">
        <f t="shared" si="67"/>
        <v>0</v>
      </c>
      <c r="Z335" s="24">
        <f t="shared" si="68"/>
        <v>-93678114.113999993</v>
      </c>
      <c r="AA335" s="25" t="str">
        <f t="shared" si="69"/>
        <v>No se realizó gasto en este corte</v>
      </c>
      <c r="AB335" s="26" t="str">
        <f t="shared" si="70"/>
        <v>Costo eficiente: se está gastando menos de lo presupuestado</v>
      </c>
      <c r="AC335" s="26">
        <f t="shared" si="71"/>
        <v>0</v>
      </c>
      <c r="AD335" s="26" t="str">
        <f t="shared" si="72"/>
        <v>Sin Línea Base</v>
      </c>
      <c r="AE335" s="27">
        <f t="shared" si="73"/>
        <v>0</v>
      </c>
      <c r="AF335" s="27">
        <f t="shared" si="74"/>
        <v>-93771886</v>
      </c>
      <c r="AG335" s="28" t="str">
        <f>VLOOKUP(Indicador!E559,[1]Diccionario!C$1:AC$150,27,0)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35" s="28">
        <v>1</v>
      </c>
      <c r="AI335" s="28">
        <v>1</v>
      </c>
      <c r="AJ335" s="28"/>
      <c r="AK335" s="28"/>
    </row>
    <row r="336" spans="1:37" ht="18.75" customHeight="1" x14ac:dyDescent="0.25">
      <c r="A336" s="11">
        <v>2026</v>
      </c>
      <c r="B336" s="12" t="s">
        <v>50</v>
      </c>
      <c r="C336" s="15" t="s">
        <v>281</v>
      </c>
      <c r="D336" s="39">
        <v>45768.647169212963</v>
      </c>
      <c r="E336" s="15" t="s">
        <v>282</v>
      </c>
      <c r="F336" s="15" t="s">
        <v>151</v>
      </c>
      <c r="G336" s="15" t="s">
        <v>283</v>
      </c>
      <c r="H336" s="15" t="s">
        <v>284</v>
      </c>
      <c r="I336" s="15" t="s">
        <v>63</v>
      </c>
      <c r="J336" s="15" t="s">
        <v>285</v>
      </c>
      <c r="K336" s="15" t="s">
        <v>80</v>
      </c>
      <c r="L336" s="17">
        <f>VLOOKUP(E336,[1]Diccionario!C$2:AC$150,22,0)</f>
        <v>93771886</v>
      </c>
      <c r="M336" s="18">
        <f>VLOOKUP(E336,[1]Diccionario!C$2:AC$150,24,0)</f>
        <v>45931</v>
      </c>
      <c r="N336" s="19">
        <f>VLOOKUP(E336,[1]Diccionario!C$2:AC$150,25,0)</f>
        <v>47756</v>
      </c>
      <c r="O336" s="20">
        <f>VLOOKUP(E336,[1]Diccionario!C$2:AC$150,26,0)</f>
        <v>59.97</v>
      </c>
      <c r="P336" s="20">
        <f t="shared" si="64"/>
        <v>-51.97</v>
      </c>
      <c r="Q336" s="20">
        <v>8</v>
      </c>
      <c r="R336" s="15">
        <v>56</v>
      </c>
      <c r="S336" s="62">
        <v>0.999</v>
      </c>
      <c r="T336" s="21"/>
      <c r="U336" s="22"/>
      <c r="V336" s="24"/>
      <c r="W336" s="24">
        <f t="shared" si="65"/>
        <v>0</v>
      </c>
      <c r="X336" s="24">
        <f t="shared" si="66"/>
        <v>93678114.113999993</v>
      </c>
      <c r="Y336" s="24">
        <f t="shared" si="67"/>
        <v>0</v>
      </c>
      <c r="Z336" s="24">
        <f t="shared" si="68"/>
        <v>-93678114.113999993</v>
      </c>
      <c r="AA336" s="25" t="str">
        <f t="shared" si="69"/>
        <v>No se realizó gasto en este corte</v>
      </c>
      <c r="AB336" s="26" t="str">
        <f t="shared" si="70"/>
        <v>Costo eficiente: se está gastando menos de lo presupuestado</v>
      </c>
      <c r="AC336" s="26">
        <f t="shared" si="71"/>
        <v>0</v>
      </c>
      <c r="AD336" s="26" t="str">
        <f t="shared" si="72"/>
        <v>Sin Línea Base</v>
      </c>
      <c r="AE336" s="27">
        <f t="shared" si="73"/>
        <v>0</v>
      </c>
      <c r="AF336" s="27">
        <f t="shared" si="74"/>
        <v>-93771886</v>
      </c>
      <c r="AG336" s="28" t="str">
        <f>VLOOKUP(Indicador!E560,[1]Diccionario!C$1:AC$150,27,0)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36" s="28">
        <v>1</v>
      </c>
      <c r="AI336" s="28">
        <v>1</v>
      </c>
      <c r="AJ336" s="28"/>
      <c r="AK336" s="28"/>
    </row>
    <row r="337" spans="1:37" ht="18.75" customHeight="1" x14ac:dyDescent="0.25">
      <c r="A337" s="11">
        <v>2026</v>
      </c>
      <c r="B337" s="12" t="s">
        <v>51</v>
      </c>
      <c r="C337" s="15" t="s">
        <v>281</v>
      </c>
      <c r="D337" s="39">
        <v>45768.647169212963</v>
      </c>
      <c r="E337" s="15" t="s">
        <v>282</v>
      </c>
      <c r="F337" s="15" t="s">
        <v>151</v>
      </c>
      <c r="G337" s="15" t="s">
        <v>283</v>
      </c>
      <c r="H337" s="15" t="s">
        <v>284</v>
      </c>
      <c r="I337" s="15" t="s">
        <v>63</v>
      </c>
      <c r="J337" s="15" t="s">
        <v>285</v>
      </c>
      <c r="K337" s="15" t="s">
        <v>80</v>
      </c>
      <c r="L337" s="17">
        <f>VLOOKUP(E337,[1]Diccionario!C$2:AC$150,22,0)</f>
        <v>93771886</v>
      </c>
      <c r="M337" s="18">
        <f>VLOOKUP(E337,[1]Diccionario!C$2:AC$150,24,0)</f>
        <v>45931</v>
      </c>
      <c r="N337" s="19">
        <f>VLOOKUP(E337,[1]Diccionario!C$2:AC$150,25,0)</f>
        <v>47756</v>
      </c>
      <c r="O337" s="20">
        <f>VLOOKUP(E337,[1]Diccionario!C$2:AC$150,26,0)</f>
        <v>59.97</v>
      </c>
      <c r="P337" s="20">
        <f t="shared" si="64"/>
        <v>-50.97</v>
      </c>
      <c r="Q337" s="20">
        <v>9</v>
      </c>
      <c r="R337" s="15">
        <v>56</v>
      </c>
      <c r="S337" s="62">
        <v>0.999</v>
      </c>
      <c r="T337" s="21"/>
      <c r="U337" s="22"/>
      <c r="V337" s="24"/>
      <c r="W337" s="24">
        <f t="shared" si="65"/>
        <v>0</v>
      </c>
      <c r="X337" s="24">
        <f t="shared" si="66"/>
        <v>93678114.113999993</v>
      </c>
      <c r="Y337" s="24">
        <f t="shared" si="67"/>
        <v>0</v>
      </c>
      <c r="Z337" s="24">
        <f t="shared" si="68"/>
        <v>-93678114.113999993</v>
      </c>
      <c r="AA337" s="25" t="str">
        <f t="shared" si="69"/>
        <v>No se realizó gasto en este corte</v>
      </c>
      <c r="AB337" s="26" t="str">
        <f t="shared" si="70"/>
        <v>Costo eficiente: se está gastando menos de lo presupuestado</v>
      </c>
      <c r="AC337" s="26">
        <f t="shared" si="71"/>
        <v>0</v>
      </c>
      <c r="AD337" s="26" t="str">
        <f t="shared" si="72"/>
        <v>Sin Línea Base</v>
      </c>
      <c r="AE337" s="27">
        <f t="shared" si="73"/>
        <v>0</v>
      </c>
      <c r="AF337" s="27">
        <f t="shared" si="74"/>
        <v>-93771886</v>
      </c>
      <c r="AG337" s="28" t="str">
        <f>VLOOKUP(Indicador!E561,[1]Diccionario!C$1:AC$150,27,0)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37" s="28">
        <v>1</v>
      </c>
      <c r="AI337" s="28">
        <v>1</v>
      </c>
      <c r="AJ337" s="28"/>
      <c r="AK337" s="28"/>
    </row>
    <row r="338" spans="1:37" ht="18.75" customHeight="1" x14ac:dyDescent="0.25">
      <c r="A338" s="11">
        <v>2026</v>
      </c>
      <c r="B338" s="12" t="s">
        <v>52</v>
      </c>
      <c r="C338" s="15" t="s">
        <v>281</v>
      </c>
      <c r="D338" s="39">
        <v>45768.647169212963</v>
      </c>
      <c r="E338" s="15" t="s">
        <v>282</v>
      </c>
      <c r="F338" s="15" t="s">
        <v>151</v>
      </c>
      <c r="G338" s="15" t="s">
        <v>283</v>
      </c>
      <c r="H338" s="15" t="s">
        <v>284</v>
      </c>
      <c r="I338" s="15" t="s">
        <v>63</v>
      </c>
      <c r="J338" s="15" t="s">
        <v>285</v>
      </c>
      <c r="K338" s="15" t="s">
        <v>80</v>
      </c>
      <c r="L338" s="17">
        <f>VLOOKUP(E338,[1]Diccionario!C$2:AC$150,22,0)</f>
        <v>93771886</v>
      </c>
      <c r="M338" s="18">
        <f>VLOOKUP(E338,[1]Diccionario!C$2:AC$150,24,0)</f>
        <v>45931</v>
      </c>
      <c r="N338" s="19">
        <f>VLOOKUP(E338,[1]Diccionario!C$2:AC$150,25,0)</f>
        <v>47756</v>
      </c>
      <c r="O338" s="20">
        <f>VLOOKUP(E338,[1]Diccionario!C$2:AC$150,26,0)</f>
        <v>59.97</v>
      </c>
      <c r="P338" s="20">
        <f t="shared" si="64"/>
        <v>-49.97</v>
      </c>
      <c r="Q338" s="20">
        <v>10</v>
      </c>
      <c r="R338" s="15">
        <v>56</v>
      </c>
      <c r="S338" s="62">
        <v>0.999</v>
      </c>
      <c r="T338" s="21"/>
      <c r="U338" s="22"/>
      <c r="V338" s="24"/>
      <c r="W338" s="24">
        <f t="shared" si="65"/>
        <v>0</v>
      </c>
      <c r="X338" s="24">
        <f t="shared" si="66"/>
        <v>93678114.113999993</v>
      </c>
      <c r="Y338" s="24">
        <f t="shared" si="67"/>
        <v>0</v>
      </c>
      <c r="Z338" s="24">
        <f t="shared" si="68"/>
        <v>-93678114.113999993</v>
      </c>
      <c r="AA338" s="25" t="str">
        <f t="shared" si="69"/>
        <v>No se realizó gasto en este corte</v>
      </c>
      <c r="AB338" s="26" t="str">
        <f t="shared" si="70"/>
        <v>Costo eficiente: se está gastando menos de lo presupuestado</v>
      </c>
      <c r="AC338" s="26">
        <f t="shared" si="71"/>
        <v>0</v>
      </c>
      <c r="AD338" s="26" t="str">
        <f t="shared" si="72"/>
        <v>Sin Línea Base</v>
      </c>
      <c r="AE338" s="27">
        <f t="shared" si="73"/>
        <v>0</v>
      </c>
      <c r="AF338" s="27">
        <f t="shared" si="74"/>
        <v>-93771886</v>
      </c>
      <c r="AG338" s="28" t="str">
        <f>VLOOKUP(Indicador!E562,[1]Diccionario!C$1:AC$150,27,0)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38" s="28">
        <v>1</v>
      </c>
      <c r="AI338" s="28">
        <v>1</v>
      </c>
      <c r="AJ338" s="28"/>
      <c r="AK338" s="28"/>
    </row>
    <row r="339" spans="1:37" ht="18.75" customHeight="1" x14ac:dyDescent="0.25">
      <c r="A339" s="11">
        <v>2026</v>
      </c>
      <c r="B339" s="12" t="s">
        <v>53</v>
      </c>
      <c r="C339" s="15" t="s">
        <v>281</v>
      </c>
      <c r="D339" s="39">
        <v>45768.647169212963</v>
      </c>
      <c r="E339" s="15" t="s">
        <v>282</v>
      </c>
      <c r="F339" s="15" t="s">
        <v>151</v>
      </c>
      <c r="G339" s="15" t="s">
        <v>283</v>
      </c>
      <c r="H339" s="15" t="s">
        <v>284</v>
      </c>
      <c r="I339" s="15" t="s">
        <v>63</v>
      </c>
      <c r="J339" s="15" t="s">
        <v>285</v>
      </c>
      <c r="K339" s="15" t="s">
        <v>80</v>
      </c>
      <c r="L339" s="17">
        <f>VLOOKUP(E339,[1]Diccionario!C$2:AC$150,22,0)</f>
        <v>93771886</v>
      </c>
      <c r="M339" s="18">
        <f>VLOOKUP(E339,[1]Diccionario!C$2:AC$150,24,0)</f>
        <v>45931</v>
      </c>
      <c r="N339" s="19">
        <f>VLOOKUP(E339,[1]Diccionario!C$2:AC$150,25,0)</f>
        <v>47756</v>
      </c>
      <c r="O339" s="20">
        <f>VLOOKUP(E339,[1]Diccionario!C$2:AC$150,26,0)</f>
        <v>59.97</v>
      </c>
      <c r="P339" s="20">
        <f t="shared" si="64"/>
        <v>-48.97</v>
      </c>
      <c r="Q339" s="20">
        <v>11</v>
      </c>
      <c r="R339" s="15">
        <v>56</v>
      </c>
      <c r="S339" s="62">
        <v>0.999</v>
      </c>
      <c r="T339" s="21"/>
      <c r="U339" s="22"/>
      <c r="V339" s="24"/>
      <c r="W339" s="24">
        <f t="shared" si="65"/>
        <v>0</v>
      </c>
      <c r="X339" s="24">
        <f t="shared" si="66"/>
        <v>93678114.113999993</v>
      </c>
      <c r="Y339" s="24">
        <f t="shared" si="67"/>
        <v>0</v>
      </c>
      <c r="Z339" s="24">
        <f t="shared" si="68"/>
        <v>-93678114.113999993</v>
      </c>
      <c r="AA339" s="25" t="str">
        <f t="shared" si="69"/>
        <v>No se realizó gasto en este corte</v>
      </c>
      <c r="AB339" s="26" t="str">
        <f t="shared" si="70"/>
        <v>Costo eficiente: se está gastando menos de lo presupuestado</v>
      </c>
      <c r="AC339" s="26">
        <f t="shared" si="71"/>
        <v>0</v>
      </c>
      <c r="AD339" s="26" t="str">
        <f t="shared" si="72"/>
        <v>Sin Línea Base</v>
      </c>
      <c r="AE339" s="27">
        <f t="shared" si="73"/>
        <v>0</v>
      </c>
      <c r="AF339" s="27">
        <f t="shared" si="74"/>
        <v>-93771886</v>
      </c>
      <c r="AG339" s="28" t="str">
        <f>VLOOKUP(Indicador!E563,[1]Diccionario!C$1:AC$150,27,0)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39" s="28">
        <v>1</v>
      </c>
      <c r="AI339" s="28">
        <v>1</v>
      </c>
      <c r="AJ339" s="28"/>
      <c r="AK339" s="28"/>
    </row>
    <row r="340" spans="1:37" ht="18.75" customHeight="1" x14ac:dyDescent="0.25">
      <c r="A340" s="11">
        <v>2026</v>
      </c>
      <c r="B340" s="12" t="s">
        <v>54</v>
      </c>
      <c r="C340" s="15" t="s">
        <v>281</v>
      </c>
      <c r="D340" s="39">
        <v>45768.647169212963</v>
      </c>
      <c r="E340" s="15" t="s">
        <v>282</v>
      </c>
      <c r="F340" s="15" t="s">
        <v>151</v>
      </c>
      <c r="G340" s="15" t="s">
        <v>283</v>
      </c>
      <c r="H340" s="15" t="s">
        <v>284</v>
      </c>
      <c r="I340" s="15" t="s">
        <v>63</v>
      </c>
      <c r="J340" s="15" t="s">
        <v>285</v>
      </c>
      <c r="K340" s="15" t="s">
        <v>80</v>
      </c>
      <c r="L340" s="17">
        <f>VLOOKUP(E340,[1]Diccionario!C$2:AC$150,22,0)</f>
        <v>93771886</v>
      </c>
      <c r="M340" s="18">
        <f>VLOOKUP(E340,[1]Diccionario!C$2:AC$150,24,0)</f>
        <v>45931</v>
      </c>
      <c r="N340" s="19">
        <f>VLOOKUP(E340,[1]Diccionario!C$2:AC$150,25,0)</f>
        <v>47756</v>
      </c>
      <c r="O340" s="20">
        <f>VLOOKUP(E340,[1]Diccionario!C$2:AC$150,26,0)</f>
        <v>59.97</v>
      </c>
      <c r="P340" s="20">
        <f t="shared" si="64"/>
        <v>-47.97</v>
      </c>
      <c r="Q340" s="20">
        <v>12</v>
      </c>
      <c r="R340" s="15">
        <v>56</v>
      </c>
      <c r="S340" s="62">
        <v>0.999</v>
      </c>
      <c r="T340" s="21"/>
      <c r="U340" s="22"/>
      <c r="V340" s="24"/>
      <c r="W340" s="24">
        <f t="shared" si="65"/>
        <v>0</v>
      </c>
      <c r="X340" s="24">
        <f t="shared" si="66"/>
        <v>93678114.113999993</v>
      </c>
      <c r="Y340" s="24">
        <f t="shared" si="67"/>
        <v>0</v>
      </c>
      <c r="Z340" s="24">
        <f t="shared" si="68"/>
        <v>-93678114.113999993</v>
      </c>
      <c r="AA340" s="25" t="str">
        <f t="shared" si="69"/>
        <v>No se realizó gasto en este corte</v>
      </c>
      <c r="AB340" s="26" t="str">
        <f t="shared" si="70"/>
        <v>Costo eficiente: se está gastando menos de lo presupuestado</v>
      </c>
      <c r="AC340" s="26">
        <f t="shared" si="71"/>
        <v>0</v>
      </c>
      <c r="AD340" s="26" t="str">
        <f t="shared" si="72"/>
        <v>Sin Línea Base</v>
      </c>
      <c r="AE340" s="27">
        <f t="shared" si="73"/>
        <v>0</v>
      </c>
      <c r="AF340" s="27">
        <f t="shared" si="74"/>
        <v>-93771886</v>
      </c>
      <c r="AG340" s="28" t="str">
        <f>VLOOKUP(Indicador!E564,[1]Diccionario!C$1:AC$150,27,0)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40" s="28">
        <v>1</v>
      </c>
      <c r="AI340" s="28">
        <v>1</v>
      </c>
      <c r="AJ340" s="28"/>
      <c r="AK340" s="28"/>
    </row>
    <row r="341" spans="1:37" ht="18.75" customHeight="1" x14ac:dyDescent="0.25">
      <c r="A341" s="11">
        <v>2026</v>
      </c>
      <c r="B341" s="12" t="s">
        <v>55</v>
      </c>
      <c r="C341" s="15" t="s">
        <v>281</v>
      </c>
      <c r="D341" s="39">
        <v>45768.647169212963</v>
      </c>
      <c r="E341" s="15" t="s">
        <v>282</v>
      </c>
      <c r="F341" s="15" t="s">
        <v>151</v>
      </c>
      <c r="G341" s="15" t="s">
        <v>283</v>
      </c>
      <c r="H341" s="15" t="s">
        <v>284</v>
      </c>
      <c r="I341" s="15" t="s">
        <v>63</v>
      </c>
      <c r="J341" s="15" t="s">
        <v>285</v>
      </c>
      <c r="K341" s="15" t="s">
        <v>80</v>
      </c>
      <c r="L341" s="17">
        <f>VLOOKUP(E341,[1]Diccionario!C$2:AC$150,22,0)</f>
        <v>93771886</v>
      </c>
      <c r="M341" s="18">
        <f>VLOOKUP(E341,[1]Diccionario!C$2:AC$150,24,0)</f>
        <v>45931</v>
      </c>
      <c r="N341" s="19">
        <f>VLOOKUP(E341,[1]Diccionario!C$2:AC$150,25,0)</f>
        <v>47756</v>
      </c>
      <c r="O341" s="20">
        <f>VLOOKUP(E341,[1]Diccionario!C$2:AC$150,26,0)</f>
        <v>59.97</v>
      </c>
      <c r="P341" s="20">
        <f t="shared" si="64"/>
        <v>-46.97</v>
      </c>
      <c r="Q341" s="20">
        <v>13</v>
      </c>
      <c r="R341" s="15">
        <v>56</v>
      </c>
      <c r="S341" s="62">
        <v>0.999</v>
      </c>
      <c r="T341" s="21"/>
      <c r="U341" s="22"/>
      <c r="V341" s="24"/>
      <c r="W341" s="24">
        <f t="shared" si="65"/>
        <v>0</v>
      </c>
      <c r="X341" s="24">
        <f t="shared" si="66"/>
        <v>93678114.113999993</v>
      </c>
      <c r="Y341" s="24">
        <f t="shared" si="67"/>
        <v>0</v>
      </c>
      <c r="Z341" s="24">
        <f t="shared" si="68"/>
        <v>-93678114.113999993</v>
      </c>
      <c r="AA341" s="25" t="str">
        <f t="shared" si="69"/>
        <v>No se realizó gasto en este corte</v>
      </c>
      <c r="AB341" s="26" t="str">
        <f t="shared" si="70"/>
        <v>Costo eficiente: se está gastando menos de lo presupuestado</v>
      </c>
      <c r="AC341" s="26">
        <f t="shared" si="71"/>
        <v>0</v>
      </c>
      <c r="AD341" s="26" t="str">
        <f t="shared" si="72"/>
        <v>Sin Línea Base</v>
      </c>
      <c r="AE341" s="27">
        <f t="shared" si="73"/>
        <v>0</v>
      </c>
      <c r="AF341" s="27">
        <f t="shared" si="74"/>
        <v>-93771886</v>
      </c>
      <c r="AG341" s="28" t="str">
        <f>VLOOKUP(Indicador!E565,[1]Diccionario!C$1:AC$150,27,0)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41" s="28">
        <v>1</v>
      </c>
      <c r="AI341" s="28">
        <v>1</v>
      </c>
      <c r="AJ341" s="28"/>
      <c r="AK341" s="28"/>
    </row>
    <row r="342" spans="1:37" ht="18.75" customHeight="1" x14ac:dyDescent="0.25">
      <c r="A342" s="11">
        <v>2026</v>
      </c>
      <c r="B342" s="12" t="s">
        <v>56</v>
      </c>
      <c r="C342" s="15" t="s">
        <v>281</v>
      </c>
      <c r="D342" s="39">
        <v>45768.647169212963</v>
      </c>
      <c r="E342" s="15" t="s">
        <v>282</v>
      </c>
      <c r="F342" s="15" t="s">
        <v>151</v>
      </c>
      <c r="G342" s="15" t="s">
        <v>283</v>
      </c>
      <c r="H342" s="15" t="s">
        <v>284</v>
      </c>
      <c r="I342" s="15" t="s">
        <v>63</v>
      </c>
      <c r="J342" s="15" t="s">
        <v>285</v>
      </c>
      <c r="K342" s="15" t="s">
        <v>80</v>
      </c>
      <c r="L342" s="17">
        <f>VLOOKUP(E342,[1]Diccionario!C$2:AC$150,22,0)</f>
        <v>93771886</v>
      </c>
      <c r="M342" s="18">
        <f>VLOOKUP(E342,[1]Diccionario!C$2:AC$150,24,0)</f>
        <v>45931</v>
      </c>
      <c r="N342" s="19">
        <f>VLOOKUP(E342,[1]Diccionario!C$2:AC$150,25,0)</f>
        <v>47756</v>
      </c>
      <c r="O342" s="20">
        <f>VLOOKUP(E342,[1]Diccionario!C$2:AC$150,26,0)</f>
        <v>59.97</v>
      </c>
      <c r="P342" s="20">
        <f t="shared" si="64"/>
        <v>-45.97</v>
      </c>
      <c r="Q342" s="20">
        <v>14</v>
      </c>
      <c r="R342" s="15">
        <v>56</v>
      </c>
      <c r="S342" s="62">
        <v>0.999</v>
      </c>
      <c r="T342" s="21"/>
      <c r="U342" s="22"/>
      <c r="V342" s="24"/>
      <c r="W342" s="24">
        <f t="shared" si="65"/>
        <v>0</v>
      </c>
      <c r="X342" s="24">
        <f t="shared" si="66"/>
        <v>93678114.113999993</v>
      </c>
      <c r="Y342" s="24">
        <f t="shared" si="67"/>
        <v>0</v>
      </c>
      <c r="Z342" s="24">
        <f t="shared" si="68"/>
        <v>-93678114.113999993</v>
      </c>
      <c r="AA342" s="25" t="str">
        <f t="shared" si="69"/>
        <v>No se realizó gasto en este corte</v>
      </c>
      <c r="AB342" s="26" t="str">
        <f t="shared" si="70"/>
        <v>Costo eficiente: se está gastando menos de lo presupuestado</v>
      </c>
      <c r="AC342" s="26">
        <f t="shared" si="71"/>
        <v>0</v>
      </c>
      <c r="AD342" s="26" t="str">
        <f t="shared" si="72"/>
        <v>Sin Línea Base</v>
      </c>
      <c r="AE342" s="27">
        <f t="shared" si="73"/>
        <v>0</v>
      </c>
      <c r="AF342" s="27">
        <f t="shared" si="74"/>
        <v>-93771886</v>
      </c>
      <c r="AG342" s="28" t="str">
        <f>VLOOKUP(Indicador!E566,[1]Diccionario!C$1:AC$150,27,0)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42" s="28">
        <v>1</v>
      </c>
      <c r="AI342" s="28">
        <v>1</v>
      </c>
      <c r="AJ342" s="28"/>
      <c r="AK342" s="28"/>
    </row>
    <row r="343" spans="1:37" ht="18.75" customHeight="1" x14ac:dyDescent="0.25">
      <c r="A343" s="11">
        <v>2026</v>
      </c>
      <c r="B343" s="12" t="s">
        <v>57</v>
      </c>
      <c r="C343" s="15" t="s">
        <v>281</v>
      </c>
      <c r="D343" s="39">
        <v>45768.647169212963</v>
      </c>
      <c r="E343" s="15" t="s">
        <v>282</v>
      </c>
      <c r="F343" s="15" t="s">
        <v>151</v>
      </c>
      <c r="G343" s="15" t="s">
        <v>283</v>
      </c>
      <c r="H343" s="15" t="s">
        <v>284</v>
      </c>
      <c r="I343" s="15" t="s">
        <v>63</v>
      </c>
      <c r="J343" s="15" t="s">
        <v>285</v>
      </c>
      <c r="K343" s="15" t="s">
        <v>80</v>
      </c>
      <c r="L343" s="17">
        <f>VLOOKUP(E343,[1]Diccionario!C$2:AC$150,22,0)</f>
        <v>93771886</v>
      </c>
      <c r="M343" s="18">
        <f>VLOOKUP(E343,[1]Diccionario!C$2:AC$150,24,0)</f>
        <v>45931</v>
      </c>
      <c r="N343" s="19">
        <f>VLOOKUP(E343,[1]Diccionario!C$2:AC$150,25,0)</f>
        <v>47756</v>
      </c>
      <c r="O343" s="20">
        <f>VLOOKUP(E343,[1]Diccionario!C$2:AC$150,26,0)</f>
        <v>59.97</v>
      </c>
      <c r="P343" s="20">
        <f t="shared" si="64"/>
        <v>-44.97</v>
      </c>
      <c r="Q343" s="20">
        <v>15</v>
      </c>
      <c r="R343" s="15">
        <v>56</v>
      </c>
      <c r="S343" s="62">
        <v>0.999</v>
      </c>
      <c r="T343" s="21"/>
      <c r="U343" s="22"/>
      <c r="V343" s="24"/>
      <c r="W343" s="24">
        <f t="shared" si="65"/>
        <v>0</v>
      </c>
      <c r="X343" s="24">
        <f t="shared" si="66"/>
        <v>93678114.113999993</v>
      </c>
      <c r="Y343" s="24">
        <f t="shared" si="67"/>
        <v>0</v>
      </c>
      <c r="Z343" s="24">
        <f t="shared" si="68"/>
        <v>-93678114.113999993</v>
      </c>
      <c r="AA343" s="25" t="str">
        <f t="shared" si="69"/>
        <v>No se realizó gasto en este corte</v>
      </c>
      <c r="AB343" s="26" t="str">
        <f t="shared" si="70"/>
        <v>Costo eficiente: se está gastando menos de lo presupuestado</v>
      </c>
      <c r="AC343" s="26">
        <f t="shared" si="71"/>
        <v>0</v>
      </c>
      <c r="AD343" s="26" t="str">
        <f t="shared" si="72"/>
        <v>Sin Línea Base</v>
      </c>
      <c r="AE343" s="27">
        <f t="shared" si="73"/>
        <v>0</v>
      </c>
      <c r="AF343" s="27">
        <f t="shared" si="74"/>
        <v>-93771886</v>
      </c>
      <c r="AG343" s="28" t="str">
        <f>VLOOKUP(Indicador!E567,[1]Diccionario!C$1:AC$150,27,0)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43" s="28">
        <v>1</v>
      </c>
      <c r="AI343" s="28">
        <v>1</v>
      </c>
      <c r="AJ343" s="28"/>
      <c r="AK343" s="28"/>
    </row>
    <row r="344" spans="1:37" ht="18.75" customHeight="1" x14ac:dyDescent="0.25">
      <c r="A344" s="11">
        <v>2027</v>
      </c>
      <c r="B344" s="12" t="s">
        <v>37</v>
      </c>
      <c r="C344" s="15" t="s">
        <v>281</v>
      </c>
      <c r="D344" s="39">
        <v>45768.647169212963</v>
      </c>
      <c r="E344" s="15" t="s">
        <v>282</v>
      </c>
      <c r="F344" s="15" t="s">
        <v>151</v>
      </c>
      <c r="G344" s="15" t="s">
        <v>283</v>
      </c>
      <c r="H344" s="15" t="s">
        <v>284</v>
      </c>
      <c r="I344" s="15" t="s">
        <v>63</v>
      </c>
      <c r="J344" s="15" t="s">
        <v>285</v>
      </c>
      <c r="K344" s="15" t="s">
        <v>80</v>
      </c>
      <c r="L344" s="17">
        <f>VLOOKUP(E344,[1]Diccionario!C$2:AC$150,22,0)</f>
        <v>93771886</v>
      </c>
      <c r="M344" s="18">
        <f>VLOOKUP(E344,[1]Diccionario!C$2:AC$150,24,0)</f>
        <v>45931</v>
      </c>
      <c r="N344" s="19">
        <f>VLOOKUP(E344,[1]Diccionario!C$2:AC$150,25,0)</f>
        <v>47756</v>
      </c>
      <c r="O344" s="20">
        <f>VLOOKUP(E344,[1]Diccionario!C$2:AC$150,26,0)</f>
        <v>59.97</v>
      </c>
      <c r="P344" s="20">
        <f t="shared" si="64"/>
        <v>-43.97</v>
      </c>
      <c r="Q344" s="20">
        <v>16</v>
      </c>
      <c r="R344" s="15">
        <v>56</v>
      </c>
      <c r="S344" s="62">
        <v>0.999</v>
      </c>
      <c r="T344" s="21"/>
      <c r="U344" s="22"/>
      <c r="V344" s="24"/>
      <c r="W344" s="24">
        <f t="shared" si="65"/>
        <v>0</v>
      </c>
      <c r="X344" s="24">
        <f t="shared" si="66"/>
        <v>93678114.113999993</v>
      </c>
      <c r="Y344" s="24">
        <f t="shared" si="67"/>
        <v>0</v>
      </c>
      <c r="Z344" s="24">
        <f t="shared" si="68"/>
        <v>-93678114.113999993</v>
      </c>
      <c r="AA344" s="25" t="str">
        <f t="shared" si="69"/>
        <v>No se realizó gasto en este corte</v>
      </c>
      <c r="AB344" s="26" t="str">
        <f t="shared" si="70"/>
        <v>Costo eficiente: se está gastando menos de lo presupuestado</v>
      </c>
      <c r="AC344" s="26">
        <f t="shared" si="71"/>
        <v>0</v>
      </c>
      <c r="AD344" s="26" t="str">
        <f t="shared" si="72"/>
        <v>Sin Línea Base</v>
      </c>
      <c r="AE344" s="27">
        <f t="shared" si="73"/>
        <v>0</v>
      </c>
      <c r="AF344" s="27">
        <f t="shared" si="74"/>
        <v>-93771886</v>
      </c>
      <c r="AG344" s="28" t="str">
        <f>VLOOKUP(Indicador!E568,[1]Diccionario!C$1:AC$150,27,0)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44" s="28">
        <v>1</v>
      </c>
      <c r="AI344" s="28">
        <v>1</v>
      </c>
      <c r="AJ344" s="28"/>
      <c r="AK344" s="28"/>
    </row>
    <row r="345" spans="1:37" ht="18.75" customHeight="1" x14ac:dyDescent="0.25">
      <c r="A345" s="11">
        <v>2027</v>
      </c>
      <c r="B345" s="12" t="s">
        <v>47</v>
      </c>
      <c r="C345" s="15" t="s">
        <v>281</v>
      </c>
      <c r="D345" s="39">
        <v>45768.647169212963</v>
      </c>
      <c r="E345" s="15" t="s">
        <v>282</v>
      </c>
      <c r="F345" s="15" t="s">
        <v>151</v>
      </c>
      <c r="G345" s="15" t="s">
        <v>283</v>
      </c>
      <c r="H345" s="15" t="s">
        <v>284</v>
      </c>
      <c r="I345" s="15" t="s">
        <v>63</v>
      </c>
      <c r="J345" s="15" t="s">
        <v>285</v>
      </c>
      <c r="K345" s="15" t="s">
        <v>80</v>
      </c>
      <c r="L345" s="17">
        <f>VLOOKUP(E345,[1]Diccionario!C$2:AC$150,22,0)</f>
        <v>93771886</v>
      </c>
      <c r="M345" s="18">
        <f>VLOOKUP(E345,[1]Diccionario!C$2:AC$150,24,0)</f>
        <v>45931</v>
      </c>
      <c r="N345" s="19">
        <f>VLOOKUP(E345,[1]Diccionario!C$2:AC$150,25,0)</f>
        <v>47756</v>
      </c>
      <c r="O345" s="20">
        <f>VLOOKUP(E345,[1]Diccionario!C$2:AC$150,26,0)</f>
        <v>59.97</v>
      </c>
      <c r="P345" s="20">
        <f t="shared" si="64"/>
        <v>-42.97</v>
      </c>
      <c r="Q345" s="20">
        <v>17</v>
      </c>
      <c r="R345" s="15">
        <v>56</v>
      </c>
      <c r="S345" s="62">
        <v>0.999</v>
      </c>
      <c r="T345" s="21"/>
      <c r="U345" s="22"/>
      <c r="V345" s="24"/>
      <c r="W345" s="24">
        <f t="shared" si="65"/>
        <v>0</v>
      </c>
      <c r="X345" s="24">
        <f t="shared" si="66"/>
        <v>93678114.113999993</v>
      </c>
      <c r="Y345" s="24">
        <f t="shared" si="67"/>
        <v>0</v>
      </c>
      <c r="Z345" s="24">
        <f t="shared" si="68"/>
        <v>-93678114.113999993</v>
      </c>
      <c r="AA345" s="25" t="str">
        <f t="shared" si="69"/>
        <v>No se realizó gasto en este corte</v>
      </c>
      <c r="AB345" s="26" t="str">
        <f t="shared" si="70"/>
        <v>Costo eficiente: se está gastando menos de lo presupuestado</v>
      </c>
      <c r="AC345" s="26">
        <f t="shared" si="71"/>
        <v>0</v>
      </c>
      <c r="AD345" s="26" t="str">
        <f t="shared" si="72"/>
        <v>Sin Línea Base</v>
      </c>
      <c r="AE345" s="27">
        <f t="shared" si="73"/>
        <v>0</v>
      </c>
      <c r="AF345" s="27">
        <f t="shared" si="74"/>
        <v>-93771886</v>
      </c>
      <c r="AG345" s="28" t="str">
        <f>VLOOKUP(Indicador!E569,[1]Diccionario!C$1:AC$150,27,0)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45" s="28">
        <v>1</v>
      </c>
      <c r="AI345" s="28">
        <v>1</v>
      </c>
      <c r="AJ345" s="28"/>
      <c r="AK345" s="28"/>
    </row>
    <row r="346" spans="1:37" ht="18.75" customHeight="1" x14ac:dyDescent="0.25">
      <c r="A346" s="11">
        <v>2027</v>
      </c>
      <c r="B346" s="12" t="s">
        <v>48</v>
      </c>
      <c r="C346" s="15" t="s">
        <v>281</v>
      </c>
      <c r="D346" s="39">
        <v>45768.647169212963</v>
      </c>
      <c r="E346" s="15" t="s">
        <v>282</v>
      </c>
      <c r="F346" s="15" t="s">
        <v>151</v>
      </c>
      <c r="G346" s="15" t="s">
        <v>283</v>
      </c>
      <c r="H346" s="15" t="s">
        <v>284</v>
      </c>
      <c r="I346" s="15" t="s">
        <v>63</v>
      </c>
      <c r="J346" s="15" t="s">
        <v>285</v>
      </c>
      <c r="K346" s="15" t="s">
        <v>80</v>
      </c>
      <c r="L346" s="17">
        <f>VLOOKUP(E346,[1]Diccionario!C$2:AC$150,22,0)</f>
        <v>93771886</v>
      </c>
      <c r="M346" s="18">
        <f>VLOOKUP(E346,[1]Diccionario!C$2:AC$150,24,0)</f>
        <v>45931</v>
      </c>
      <c r="N346" s="19">
        <f>VLOOKUP(E346,[1]Diccionario!C$2:AC$150,25,0)</f>
        <v>47756</v>
      </c>
      <c r="O346" s="20">
        <f>VLOOKUP(E346,[1]Diccionario!C$2:AC$150,26,0)</f>
        <v>59.97</v>
      </c>
      <c r="P346" s="20">
        <f t="shared" si="64"/>
        <v>-41.97</v>
      </c>
      <c r="Q346" s="20">
        <v>18</v>
      </c>
      <c r="R346" s="15">
        <v>56</v>
      </c>
      <c r="S346" s="62">
        <v>0.999</v>
      </c>
      <c r="T346" s="21"/>
      <c r="U346" s="22"/>
      <c r="V346" s="24"/>
      <c r="W346" s="24">
        <f t="shared" si="65"/>
        <v>0</v>
      </c>
      <c r="X346" s="24">
        <f t="shared" si="66"/>
        <v>93678114.113999993</v>
      </c>
      <c r="Y346" s="24">
        <f t="shared" si="67"/>
        <v>0</v>
      </c>
      <c r="Z346" s="24">
        <f t="shared" si="68"/>
        <v>-93678114.113999993</v>
      </c>
      <c r="AA346" s="25" t="str">
        <f t="shared" si="69"/>
        <v>No se realizó gasto en este corte</v>
      </c>
      <c r="AB346" s="26" t="str">
        <f t="shared" si="70"/>
        <v>Costo eficiente: se está gastando menos de lo presupuestado</v>
      </c>
      <c r="AC346" s="26">
        <f t="shared" si="71"/>
        <v>0</v>
      </c>
      <c r="AD346" s="26" t="str">
        <f t="shared" si="72"/>
        <v>Sin Línea Base</v>
      </c>
      <c r="AE346" s="27">
        <f t="shared" si="73"/>
        <v>0</v>
      </c>
      <c r="AF346" s="27">
        <f t="shared" si="74"/>
        <v>-93771886</v>
      </c>
      <c r="AG346" s="28" t="str">
        <f>VLOOKUP(Indicador!E570,[1]Diccionario!C$1:AC$150,27,0)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46" s="28">
        <v>1</v>
      </c>
      <c r="AI346" s="28">
        <v>1</v>
      </c>
      <c r="AJ346" s="28"/>
      <c r="AK346" s="28"/>
    </row>
    <row r="347" spans="1:37" ht="18.75" customHeight="1" x14ac:dyDescent="0.25">
      <c r="A347" s="11">
        <v>2027</v>
      </c>
      <c r="B347" s="12" t="s">
        <v>49</v>
      </c>
      <c r="C347" s="15" t="s">
        <v>281</v>
      </c>
      <c r="D347" s="39">
        <v>45768.647169212963</v>
      </c>
      <c r="E347" s="15" t="s">
        <v>282</v>
      </c>
      <c r="F347" s="15" t="s">
        <v>151</v>
      </c>
      <c r="G347" s="15" t="s">
        <v>283</v>
      </c>
      <c r="H347" s="15" t="s">
        <v>284</v>
      </c>
      <c r="I347" s="15" t="s">
        <v>63</v>
      </c>
      <c r="J347" s="15" t="s">
        <v>285</v>
      </c>
      <c r="K347" s="15" t="s">
        <v>80</v>
      </c>
      <c r="L347" s="17">
        <f>VLOOKUP(E347,[1]Diccionario!C$2:AC$150,22,0)</f>
        <v>93771886</v>
      </c>
      <c r="M347" s="18">
        <f>VLOOKUP(E347,[1]Diccionario!C$2:AC$150,24,0)</f>
        <v>45931</v>
      </c>
      <c r="N347" s="19">
        <f>VLOOKUP(E347,[1]Diccionario!C$2:AC$150,25,0)</f>
        <v>47756</v>
      </c>
      <c r="O347" s="20">
        <f>VLOOKUP(E347,[1]Diccionario!C$2:AC$150,26,0)</f>
        <v>59.97</v>
      </c>
      <c r="P347" s="20">
        <f t="shared" si="64"/>
        <v>-40.97</v>
      </c>
      <c r="Q347" s="20">
        <v>19</v>
      </c>
      <c r="R347" s="15">
        <v>56</v>
      </c>
      <c r="S347" s="62">
        <v>0.999</v>
      </c>
      <c r="T347" s="21"/>
      <c r="U347" s="22"/>
      <c r="V347" s="24"/>
      <c r="W347" s="24">
        <f t="shared" si="65"/>
        <v>0</v>
      </c>
      <c r="X347" s="24">
        <f t="shared" si="66"/>
        <v>93678114.113999993</v>
      </c>
      <c r="Y347" s="24">
        <f t="shared" si="67"/>
        <v>0</v>
      </c>
      <c r="Z347" s="24">
        <f t="shared" si="68"/>
        <v>-93678114.113999993</v>
      </c>
      <c r="AA347" s="25" t="str">
        <f t="shared" si="69"/>
        <v>No se realizó gasto en este corte</v>
      </c>
      <c r="AB347" s="26" t="str">
        <f t="shared" si="70"/>
        <v>Costo eficiente: se está gastando menos de lo presupuestado</v>
      </c>
      <c r="AC347" s="26">
        <f t="shared" si="71"/>
        <v>0</v>
      </c>
      <c r="AD347" s="26" t="str">
        <f t="shared" si="72"/>
        <v>Sin Línea Base</v>
      </c>
      <c r="AE347" s="27">
        <f t="shared" si="73"/>
        <v>0</v>
      </c>
      <c r="AF347" s="27">
        <f t="shared" si="74"/>
        <v>-93771886</v>
      </c>
      <c r="AG347" s="28" t="str">
        <f>VLOOKUP(Indicador!E571,[1]Diccionario!C$1:AC$150,27,0)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47" s="28">
        <v>1</v>
      </c>
      <c r="AI347" s="28">
        <v>1</v>
      </c>
      <c r="AJ347" s="28"/>
      <c r="AK347" s="28"/>
    </row>
    <row r="348" spans="1:37" ht="18.75" customHeight="1" x14ac:dyDescent="0.25">
      <c r="A348" s="11">
        <v>2027</v>
      </c>
      <c r="B348" s="12" t="s">
        <v>50</v>
      </c>
      <c r="C348" s="15" t="s">
        <v>281</v>
      </c>
      <c r="D348" s="39">
        <v>45768.647169212963</v>
      </c>
      <c r="E348" s="15" t="s">
        <v>282</v>
      </c>
      <c r="F348" s="15" t="s">
        <v>151</v>
      </c>
      <c r="G348" s="15" t="s">
        <v>283</v>
      </c>
      <c r="H348" s="15" t="s">
        <v>284</v>
      </c>
      <c r="I348" s="15" t="s">
        <v>63</v>
      </c>
      <c r="J348" s="15" t="s">
        <v>285</v>
      </c>
      <c r="K348" s="15" t="s">
        <v>80</v>
      </c>
      <c r="L348" s="17">
        <f>VLOOKUP(E348,[1]Diccionario!C$2:AC$150,22,0)</f>
        <v>93771886</v>
      </c>
      <c r="M348" s="18">
        <f>VLOOKUP(E348,[1]Diccionario!C$2:AC$150,24,0)</f>
        <v>45931</v>
      </c>
      <c r="N348" s="19">
        <f>VLOOKUP(E348,[1]Diccionario!C$2:AC$150,25,0)</f>
        <v>47756</v>
      </c>
      <c r="O348" s="20">
        <f>VLOOKUP(E348,[1]Diccionario!C$2:AC$150,26,0)</f>
        <v>59.97</v>
      </c>
      <c r="P348" s="20">
        <f t="shared" si="64"/>
        <v>-39.97</v>
      </c>
      <c r="Q348" s="20">
        <v>20</v>
      </c>
      <c r="R348" s="15">
        <v>56</v>
      </c>
      <c r="S348" s="62">
        <v>0.999</v>
      </c>
      <c r="T348" s="21"/>
      <c r="U348" s="22"/>
      <c r="V348" s="24"/>
      <c r="W348" s="24">
        <f t="shared" si="65"/>
        <v>0</v>
      </c>
      <c r="X348" s="24">
        <f t="shared" si="66"/>
        <v>93678114.113999993</v>
      </c>
      <c r="Y348" s="24">
        <f t="shared" si="67"/>
        <v>0</v>
      </c>
      <c r="Z348" s="24">
        <f t="shared" si="68"/>
        <v>-93678114.113999993</v>
      </c>
      <c r="AA348" s="25" t="str">
        <f t="shared" si="69"/>
        <v>No se realizó gasto en este corte</v>
      </c>
      <c r="AB348" s="26" t="str">
        <f t="shared" si="70"/>
        <v>Costo eficiente: se está gastando menos de lo presupuestado</v>
      </c>
      <c r="AC348" s="26">
        <f t="shared" si="71"/>
        <v>0</v>
      </c>
      <c r="AD348" s="26" t="str">
        <f t="shared" si="72"/>
        <v>Sin Línea Base</v>
      </c>
      <c r="AE348" s="27">
        <f t="shared" si="73"/>
        <v>0</v>
      </c>
      <c r="AF348" s="27">
        <f t="shared" si="74"/>
        <v>-93771886</v>
      </c>
      <c r="AG348" s="28" t="str">
        <f>VLOOKUP(Indicador!E572,[1]Diccionario!C$1:AC$150,27,0)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48" s="28">
        <v>1</v>
      </c>
      <c r="AI348" s="28">
        <v>1</v>
      </c>
      <c r="AJ348" s="28"/>
      <c r="AK348" s="28"/>
    </row>
    <row r="349" spans="1:37" ht="18.75" customHeight="1" x14ac:dyDescent="0.25">
      <c r="A349" s="11">
        <v>2027</v>
      </c>
      <c r="B349" s="12" t="s">
        <v>51</v>
      </c>
      <c r="C349" s="15" t="s">
        <v>281</v>
      </c>
      <c r="D349" s="39">
        <v>45768.647169212963</v>
      </c>
      <c r="E349" s="15" t="s">
        <v>282</v>
      </c>
      <c r="F349" s="15" t="s">
        <v>151</v>
      </c>
      <c r="G349" s="15" t="s">
        <v>283</v>
      </c>
      <c r="H349" s="15" t="s">
        <v>284</v>
      </c>
      <c r="I349" s="15" t="s">
        <v>63</v>
      </c>
      <c r="J349" s="15" t="s">
        <v>285</v>
      </c>
      <c r="K349" s="15" t="s">
        <v>80</v>
      </c>
      <c r="L349" s="17">
        <f>VLOOKUP(E349,[1]Diccionario!C$2:AC$150,22,0)</f>
        <v>93771886</v>
      </c>
      <c r="M349" s="18">
        <f>VLOOKUP(E349,[1]Diccionario!C$2:AC$150,24,0)</f>
        <v>45931</v>
      </c>
      <c r="N349" s="19">
        <f>VLOOKUP(E349,[1]Diccionario!C$2:AC$150,25,0)</f>
        <v>47756</v>
      </c>
      <c r="O349" s="20">
        <f>VLOOKUP(E349,[1]Diccionario!C$2:AC$150,26,0)</f>
        <v>59.97</v>
      </c>
      <c r="P349" s="20">
        <f t="shared" si="64"/>
        <v>-38.97</v>
      </c>
      <c r="Q349" s="20">
        <v>21</v>
      </c>
      <c r="R349" s="15">
        <v>56</v>
      </c>
      <c r="S349" s="62">
        <v>0.999</v>
      </c>
      <c r="T349" s="21"/>
      <c r="U349" s="22"/>
      <c r="V349" s="24"/>
      <c r="W349" s="24">
        <f t="shared" si="65"/>
        <v>0</v>
      </c>
      <c r="X349" s="24">
        <f t="shared" si="66"/>
        <v>93678114.113999993</v>
      </c>
      <c r="Y349" s="24">
        <f t="shared" si="67"/>
        <v>0</v>
      </c>
      <c r="Z349" s="24">
        <f t="shared" si="68"/>
        <v>-93678114.113999993</v>
      </c>
      <c r="AA349" s="25" t="str">
        <f t="shared" si="69"/>
        <v>No se realizó gasto en este corte</v>
      </c>
      <c r="AB349" s="26" t="str">
        <f t="shared" si="70"/>
        <v>Costo eficiente: se está gastando menos de lo presupuestado</v>
      </c>
      <c r="AC349" s="26">
        <f t="shared" si="71"/>
        <v>0</v>
      </c>
      <c r="AD349" s="26" t="str">
        <f t="shared" si="72"/>
        <v>Sin Línea Base</v>
      </c>
      <c r="AE349" s="27">
        <f t="shared" si="73"/>
        <v>0</v>
      </c>
      <c r="AF349" s="27">
        <f t="shared" si="74"/>
        <v>-93771886</v>
      </c>
      <c r="AG349" s="28" t="str">
        <f>VLOOKUP(Indicador!E573,[1]Diccionario!C$1:AC$150,27,0)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49" s="28">
        <v>1</v>
      </c>
      <c r="AI349" s="28">
        <v>1</v>
      </c>
      <c r="AJ349" s="28"/>
      <c r="AK349" s="28"/>
    </row>
    <row r="350" spans="1:37" ht="18.75" customHeight="1" x14ac:dyDescent="0.25">
      <c r="A350" s="11">
        <v>2027</v>
      </c>
      <c r="B350" s="12" t="s">
        <v>52</v>
      </c>
      <c r="C350" s="15" t="s">
        <v>281</v>
      </c>
      <c r="D350" s="39">
        <v>45768.647169212963</v>
      </c>
      <c r="E350" s="15" t="s">
        <v>282</v>
      </c>
      <c r="F350" s="15" t="s">
        <v>151</v>
      </c>
      <c r="G350" s="15" t="s">
        <v>283</v>
      </c>
      <c r="H350" s="15" t="s">
        <v>284</v>
      </c>
      <c r="I350" s="15" t="s">
        <v>63</v>
      </c>
      <c r="J350" s="15" t="s">
        <v>285</v>
      </c>
      <c r="K350" s="15" t="s">
        <v>80</v>
      </c>
      <c r="L350" s="17">
        <f>VLOOKUP(E350,[1]Diccionario!C$2:AC$150,22,0)</f>
        <v>93771886</v>
      </c>
      <c r="M350" s="18">
        <f>VLOOKUP(E350,[1]Diccionario!C$2:AC$150,24,0)</f>
        <v>45931</v>
      </c>
      <c r="N350" s="19">
        <f>VLOOKUP(E350,[1]Diccionario!C$2:AC$150,25,0)</f>
        <v>47756</v>
      </c>
      <c r="O350" s="20">
        <f>VLOOKUP(E350,[1]Diccionario!C$2:AC$150,26,0)</f>
        <v>59.97</v>
      </c>
      <c r="P350" s="20">
        <f t="shared" si="64"/>
        <v>-37.97</v>
      </c>
      <c r="Q350" s="20">
        <v>22</v>
      </c>
      <c r="R350" s="15">
        <v>56</v>
      </c>
      <c r="S350" s="62">
        <v>0.999</v>
      </c>
      <c r="T350" s="21"/>
      <c r="U350" s="22"/>
      <c r="V350" s="24"/>
      <c r="W350" s="24">
        <f t="shared" si="65"/>
        <v>0</v>
      </c>
      <c r="X350" s="24">
        <f t="shared" si="66"/>
        <v>93678114.113999993</v>
      </c>
      <c r="Y350" s="24">
        <f t="shared" si="67"/>
        <v>0</v>
      </c>
      <c r="Z350" s="24">
        <f t="shared" si="68"/>
        <v>-93678114.113999993</v>
      </c>
      <c r="AA350" s="25" t="str">
        <f t="shared" si="69"/>
        <v>No se realizó gasto en este corte</v>
      </c>
      <c r="AB350" s="26" t="str">
        <f t="shared" si="70"/>
        <v>Costo eficiente: se está gastando menos de lo presupuestado</v>
      </c>
      <c r="AC350" s="26">
        <f t="shared" si="71"/>
        <v>0</v>
      </c>
      <c r="AD350" s="26" t="str">
        <f t="shared" si="72"/>
        <v>Sin Línea Base</v>
      </c>
      <c r="AE350" s="27">
        <f t="shared" si="73"/>
        <v>0</v>
      </c>
      <c r="AF350" s="27">
        <f t="shared" si="74"/>
        <v>-93771886</v>
      </c>
      <c r="AG350" s="28" t="str">
        <f>VLOOKUP(Indicador!E574,[1]Diccionario!C$1:AC$150,27,0)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50" s="28">
        <v>1</v>
      </c>
      <c r="AI350" s="28">
        <v>1</v>
      </c>
      <c r="AJ350" s="28"/>
      <c r="AK350" s="28"/>
    </row>
    <row r="351" spans="1:37" ht="18.75" customHeight="1" x14ac:dyDescent="0.25">
      <c r="A351" s="11">
        <v>2027</v>
      </c>
      <c r="B351" s="12" t="s">
        <v>53</v>
      </c>
      <c r="C351" s="15" t="s">
        <v>281</v>
      </c>
      <c r="D351" s="39">
        <v>45768.647169212963</v>
      </c>
      <c r="E351" s="15" t="s">
        <v>282</v>
      </c>
      <c r="F351" s="15" t="s">
        <v>151</v>
      </c>
      <c r="G351" s="15" t="s">
        <v>283</v>
      </c>
      <c r="H351" s="15" t="s">
        <v>284</v>
      </c>
      <c r="I351" s="15" t="s">
        <v>63</v>
      </c>
      <c r="J351" s="15" t="s">
        <v>285</v>
      </c>
      <c r="K351" s="15" t="s">
        <v>80</v>
      </c>
      <c r="L351" s="17">
        <f>VLOOKUP(E351,[1]Diccionario!C$2:AC$150,22,0)</f>
        <v>93771886</v>
      </c>
      <c r="M351" s="18">
        <f>VLOOKUP(E351,[1]Diccionario!C$2:AC$150,24,0)</f>
        <v>45931</v>
      </c>
      <c r="N351" s="19">
        <f>VLOOKUP(E351,[1]Diccionario!C$2:AC$150,25,0)</f>
        <v>47756</v>
      </c>
      <c r="O351" s="20">
        <f>VLOOKUP(E351,[1]Diccionario!C$2:AC$150,26,0)</f>
        <v>59.97</v>
      </c>
      <c r="P351" s="20">
        <f t="shared" si="64"/>
        <v>-36.97</v>
      </c>
      <c r="Q351" s="20">
        <v>23</v>
      </c>
      <c r="R351" s="15">
        <v>56</v>
      </c>
      <c r="S351" s="62">
        <v>0.999</v>
      </c>
      <c r="T351" s="21"/>
      <c r="U351" s="22"/>
      <c r="V351" s="24"/>
      <c r="W351" s="24">
        <f t="shared" si="65"/>
        <v>0</v>
      </c>
      <c r="X351" s="24">
        <f t="shared" si="66"/>
        <v>93678114.113999993</v>
      </c>
      <c r="Y351" s="24">
        <f t="shared" si="67"/>
        <v>0</v>
      </c>
      <c r="Z351" s="24">
        <f t="shared" si="68"/>
        <v>-93678114.113999993</v>
      </c>
      <c r="AA351" s="25" t="str">
        <f t="shared" si="69"/>
        <v>No se realizó gasto en este corte</v>
      </c>
      <c r="AB351" s="26" t="str">
        <f t="shared" si="70"/>
        <v>Costo eficiente: se está gastando menos de lo presupuestado</v>
      </c>
      <c r="AC351" s="26">
        <f t="shared" si="71"/>
        <v>0</v>
      </c>
      <c r="AD351" s="26" t="str">
        <f t="shared" si="72"/>
        <v>Sin Línea Base</v>
      </c>
      <c r="AE351" s="27">
        <f t="shared" si="73"/>
        <v>0</v>
      </c>
      <c r="AF351" s="27">
        <f t="shared" si="74"/>
        <v>-93771886</v>
      </c>
      <c r="AG351" s="28" t="str">
        <f>VLOOKUP(Indicador!E575,[1]Diccionario!C$1:AC$150,27,0)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51" s="28">
        <v>1</v>
      </c>
      <c r="AI351" s="28">
        <v>1</v>
      </c>
      <c r="AJ351" s="28"/>
      <c r="AK351" s="28"/>
    </row>
    <row r="352" spans="1:37" ht="18.75" customHeight="1" x14ac:dyDescent="0.25">
      <c r="A352" s="11">
        <v>2027</v>
      </c>
      <c r="B352" s="12" t="s">
        <v>54</v>
      </c>
      <c r="C352" s="15" t="s">
        <v>281</v>
      </c>
      <c r="D352" s="39">
        <v>45768.647169212963</v>
      </c>
      <c r="E352" s="15" t="s">
        <v>282</v>
      </c>
      <c r="F352" s="15" t="s">
        <v>151</v>
      </c>
      <c r="G352" s="15" t="s">
        <v>283</v>
      </c>
      <c r="H352" s="15" t="s">
        <v>284</v>
      </c>
      <c r="I352" s="15" t="s">
        <v>63</v>
      </c>
      <c r="J352" s="15" t="s">
        <v>285</v>
      </c>
      <c r="K352" s="15" t="s">
        <v>80</v>
      </c>
      <c r="L352" s="17">
        <f>VLOOKUP(E352,[1]Diccionario!C$2:AC$150,22,0)</f>
        <v>93771886</v>
      </c>
      <c r="M352" s="18">
        <f>VLOOKUP(E352,[1]Diccionario!C$2:AC$150,24,0)</f>
        <v>45931</v>
      </c>
      <c r="N352" s="19">
        <f>VLOOKUP(E352,[1]Diccionario!C$2:AC$150,25,0)</f>
        <v>47756</v>
      </c>
      <c r="O352" s="20">
        <f>VLOOKUP(E352,[1]Diccionario!C$2:AC$150,26,0)</f>
        <v>59.97</v>
      </c>
      <c r="P352" s="20">
        <f t="shared" si="64"/>
        <v>-35.97</v>
      </c>
      <c r="Q352" s="20">
        <v>24</v>
      </c>
      <c r="R352" s="15">
        <v>56</v>
      </c>
      <c r="S352" s="62">
        <v>0.999</v>
      </c>
      <c r="T352" s="21"/>
      <c r="U352" s="22"/>
      <c r="V352" s="24"/>
      <c r="W352" s="24">
        <f t="shared" si="65"/>
        <v>0</v>
      </c>
      <c r="X352" s="24">
        <f t="shared" si="66"/>
        <v>93678114.113999993</v>
      </c>
      <c r="Y352" s="24">
        <f t="shared" si="67"/>
        <v>0</v>
      </c>
      <c r="Z352" s="24">
        <f t="shared" si="68"/>
        <v>-93678114.113999993</v>
      </c>
      <c r="AA352" s="25" t="str">
        <f t="shared" si="69"/>
        <v>No se realizó gasto en este corte</v>
      </c>
      <c r="AB352" s="26" t="str">
        <f t="shared" si="70"/>
        <v>Costo eficiente: se está gastando menos de lo presupuestado</v>
      </c>
      <c r="AC352" s="26">
        <f t="shared" si="71"/>
        <v>0</v>
      </c>
      <c r="AD352" s="26" t="str">
        <f t="shared" si="72"/>
        <v>Sin Línea Base</v>
      </c>
      <c r="AE352" s="27">
        <f t="shared" si="73"/>
        <v>0</v>
      </c>
      <c r="AF352" s="27">
        <f t="shared" si="74"/>
        <v>-93771886</v>
      </c>
      <c r="AG352" s="28" t="str">
        <f>VLOOKUP(Indicador!E576,[1]Diccionario!C$1:AC$150,27,0)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52" s="28">
        <v>1</v>
      </c>
      <c r="AI352" s="28">
        <v>1</v>
      </c>
      <c r="AJ352" s="28"/>
      <c r="AK352" s="28"/>
    </row>
    <row r="353" spans="1:37" ht="18.75" customHeight="1" x14ac:dyDescent="0.25">
      <c r="A353" s="11">
        <v>2027</v>
      </c>
      <c r="B353" s="12" t="s">
        <v>55</v>
      </c>
      <c r="C353" s="15" t="s">
        <v>281</v>
      </c>
      <c r="D353" s="39">
        <v>45768.647169212963</v>
      </c>
      <c r="E353" s="15" t="s">
        <v>282</v>
      </c>
      <c r="F353" s="15" t="s">
        <v>151</v>
      </c>
      <c r="G353" s="15" t="s">
        <v>283</v>
      </c>
      <c r="H353" s="15" t="s">
        <v>284</v>
      </c>
      <c r="I353" s="15" t="s">
        <v>63</v>
      </c>
      <c r="J353" s="15" t="s">
        <v>285</v>
      </c>
      <c r="K353" s="15" t="s">
        <v>80</v>
      </c>
      <c r="L353" s="17">
        <f>VLOOKUP(E353,[1]Diccionario!C$2:AC$150,22,0)</f>
        <v>93771886</v>
      </c>
      <c r="M353" s="18">
        <f>VLOOKUP(E353,[1]Diccionario!C$2:AC$150,24,0)</f>
        <v>45931</v>
      </c>
      <c r="N353" s="19">
        <f>VLOOKUP(E353,[1]Diccionario!C$2:AC$150,25,0)</f>
        <v>47756</v>
      </c>
      <c r="O353" s="20">
        <f>VLOOKUP(E353,[1]Diccionario!C$2:AC$150,26,0)</f>
        <v>59.97</v>
      </c>
      <c r="P353" s="20">
        <f t="shared" si="64"/>
        <v>-34.97</v>
      </c>
      <c r="Q353" s="20">
        <v>25</v>
      </c>
      <c r="R353" s="15">
        <v>56</v>
      </c>
      <c r="S353" s="62">
        <v>0.999</v>
      </c>
      <c r="T353" s="21"/>
      <c r="U353" s="22"/>
      <c r="V353" s="24"/>
      <c r="W353" s="24">
        <f t="shared" si="65"/>
        <v>0</v>
      </c>
      <c r="X353" s="24">
        <f t="shared" si="66"/>
        <v>93678114.113999993</v>
      </c>
      <c r="Y353" s="24">
        <f t="shared" si="67"/>
        <v>0</v>
      </c>
      <c r="Z353" s="24">
        <f t="shared" si="68"/>
        <v>-93678114.113999993</v>
      </c>
      <c r="AA353" s="25" t="str">
        <f t="shared" si="69"/>
        <v>No se realizó gasto en este corte</v>
      </c>
      <c r="AB353" s="26" t="str">
        <f t="shared" si="70"/>
        <v>Costo eficiente: se está gastando menos de lo presupuestado</v>
      </c>
      <c r="AC353" s="26">
        <f t="shared" si="71"/>
        <v>0</v>
      </c>
      <c r="AD353" s="26" t="str">
        <f t="shared" si="72"/>
        <v>Sin Línea Base</v>
      </c>
      <c r="AE353" s="27">
        <f t="shared" si="73"/>
        <v>0</v>
      </c>
      <c r="AF353" s="27">
        <f t="shared" si="74"/>
        <v>-93771886</v>
      </c>
      <c r="AG353" s="28" t="str">
        <f>VLOOKUP(Indicador!E577,[1]Diccionario!C$1:AC$150,27,0)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53" s="28">
        <v>1</v>
      </c>
      <c r="AI353" s="28">
        <v>1</v>
      </c>
      <c r="AJ353" s="28"/>
      <c r="AK353" s="28"/>
    </row>
    <row r="354" spans="1:37" ht="18.75" customHeight="1" x14ac:dyDescent="0.25">
      <c r="A354" s="11">
        <v>2027</v>
      </c>
      <c r="B354" s="12" t="s">
        <v>56</v>
      </c>
      <c r="C354" s="15" t="s">
        <v>281</v>
      </c>
      <c r="D354" s="39">
        <v>45768.647169212963</v>
      </c>
      <c r="E354" s="15" t="s">
        <v>282</v>
      </c>
      <c r="F354" s="15" t="s">
        <v>151</v>
      </c>
      <c r="G354" s="15" t="s">
        <v>283</v>
      </c>
      <c r="H354" s="15" t="s">
        <v>284</v>
      </c>
      <c r="I354" s="15" t="s">
        <v>63</v>
      </c>
      <c r="J354" s="15" t="s">
        <v>285</v>
      </c>
      <c r="K354" s="15" t="s">
        <v>80</v>
      </c>
      <c r="L354" s="17">
        <f>VLOOKUP(E354,[1]Diccionario!C$2:AC$150,22,0)</f>
        <v>93771886</v>
      </c>
      <c r="M354" s="18">
        <f>VLOOKUP(E354,[1]Diccionario!C$2:AC$150,24,0)</f>
        <v>45931</v>
      </c>
      <c r="N354" s="19">
        <f>VLOOKUP(E354,[1]Diccionario!C$2:AC$150,25,0)</f>
        <v>47756</v>
      </c>
      <c r="O354" s="20">
        <f>VLOOKUP(E354,[1]Diccionario!C$2:AC$150,26,0)</f>
        <v>59.97</v>
      </c>
      <c r="P354" s="20">
        <f t="shared" si="64"/>
        <v>-33.97</v>
      </c>
      <c r="Q354" s="20">
        <v>26</v>
      </c>
      <c r="R354" s="15">
        <v>56</v>
      </c>
      <c r="S354" s="62">
        <v>0.999</v>
      </c>
      <c r="T354" s="21"/>
      <c r="U354" s="22"/>
      <c r="V354" s="24"/>
      <c r="W354" s="24">
        <f t="shared" si="65"/>
        <v>0</v>
      </c>
      <c r="X354" s="24">
        <f t="shared" si="66"/>
        <v>93678114.113999993</v>
      </c>
      <c r="Y354" s="24">
        <f t="shared" si="67"/>
        <v>0</v>
      </c>
      <c r="Z354" s="24">
        <f t="shared" si="68"/>
        <v>-93678114.113999993</v>
      </c>
      <c r="AA354" s="25" t="str">
        <f t="shared" si="69"/>
        <v>No se realizó gasto en este corte</v>
      </c>
      <c r="AB354" s="26" t="str">
        <f t="shared" si="70"/>
        <v>Costo eficiente: se está gastando menos de lo presupuestado</v>
      </c>
      <c r="AC354" s="26">
        <f t="shared" si="71"/>
        <v>0</v>
      </c>
      <c r="AD354" s="26" t="str">
        <f t="shared" si="72"/>
        <v>Sin Línea Base</v>
      </c>
      <c r="AE354" s="27">
        <f t="shared" si="73"/>
        <v>0</v>
      </c>
      <c r="AF354" s="27">
        <f t="shared" si="74"/>
        <v>-93771886</v>
      </c>
      <c r="AG354" s="28" t="str">
        <f>VLOOKUP(Indicador!E578,[1]Diccionario!C$1:AC$150,27,0)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54" s="28">
        <v>1</v>
      </c>
      <c r="AI354" s="28">
        <v>1</v>
      </c>
      <c r="AJ354" s="28"/>
      <c r="AK354" s="28"/>
    </row>
    <row r="355" spans="1:37" ht="18.75" customHeight="1" x14ac:dyDescent="0.25">
      <c r="A355" s="11">
        <v>2027</v>
      </c>
      <c r="B355" s="12" t="s">
        <v>57</v>
      </c>
      <c r="C355" s="15" t="s">
        <v>281</v>
      </c>
      <c r="D355" s="39">
        <v>45768.647169212963</v>
      </c>
      <c r="E355" s="15" t="s">
        <v>282</v>
      </c>
      <c r="F355" s="15" t="s">
        <v>151</v>
      </c>
      <c r="G355" s="15" t="s">
        <v>283</v>
      </c>
      <c r="H355" s="15" t="s">
        <v>284</v>
      </c>
      <c r="I355" s="15" t="s">
        <v>63</v>
      </c>
      <c r="J355" s="15" t="s">
        <v>285</v>
      </c>
      <c r="K355" s="15" t="s">
        <v>80</v>
      </c>
      <c r="L355" s="17">
        <f>VLOOKUP(E355,[1]Diccionario!C$2:AC$150,22,0)</f>
        <v>93771886</v>
      </c>
      <c r="M355" s="18">
        <f>VLOOKUP(E355,[1]Diccionario!C$2:AC$150,24,0)</f>
        <v>45931</v>
      </c>
      <c r="N355" s="19">
        <f>VLOOKUP(E355,[1]Diccionario!C$2:AC$150,25,0)</f>
        <v>47756</v>
      </c>
      <c r="O355" s="20">
        <f>VLOOKUP(E355,[1]Diccionario!C$2:AC$150,26,0)</f>
        <v>59.97</v>
      </c>
      <c r="P355" s="20">
        <f t="shared" si="64"/>
        <v>-32.97</v>
      </c>
      <c r="Q355" s="20">
        <v>27</v>
      </c>
      <c r="R355" s="15">
        <v>56</v>
      </c>
      <c r="S355" s="62">
        <v>0.999</v>
      </c>
      <c r="T355" s="21"/>
      <c r="U355" s="22"/>
      <c r="V355" s="24"/>
      <c r="W355" s="24">
        <f t="shared" si="65"/>
        <v>0</v>
      </c>
      <c r="X355" s="24">
        <f t="shared" si="66"/>
        <v>93678114.113999993</v>
      </c>
      <c r="Y355" s="24">
        <f t="shared" si="67"/>
        <v>0</v>
      </c>
      <c r="Z355" s="24">
        <f t="shared" si="68"/>
        <v>-93678114.113999993</v>
      </c>
      <c r="AA355" s="25" t="str">
        <f t="shared" si="69"/>
        <v>No se realizó gasto en este corte</v>
      </c>
      <c r="AB355" s="26" t="str">
        <f t="shared" si="70"/>
        <v>Costo eficiente: se está gastando menos de lo presupuestado</v>
      </c>
      <c r="AC355" s="26">
        <f t="shared" si="71"/>
        <v>0</v>
      </c>
      <c r="AD355" s="26" t="str">
        <f t="shared" si="72"/>
        <v>Sin Línea Base</v>
      </c>
      <c r="AE355" s="27">
        <f t="shared" si="73"/>
        <v>0</v>
      </c>
      <c r="AF355" s="27">
        <f t="shared" si="74"/>
        <v>-93771886</v>
      </c>
      <c r="AG355" s="28" t="str">
        <f>VLOOKUP(Indicador!E579,[1]Diccionario!C$1:AC$150,27,0)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55" s="28">
        <v>1</v>
      </c>
      <c r="AI355" s="28">
        <v>1</v>
      </c>
      <c r="AJ355" s="28"/>
      <c r="AK355" s="28"/>
    </row>
    <row r="356" spans="1:37" ht="18.75" customHeight="1" x14ac:dyDescent="0.25">
      <c r="A356" s="11">
        <v>2028</v>
      </c>
      <c r="B356" s="12" t="s">
        <v>37</v>
      </c>
      <c r="C356" s="15" t="s">
        <v>281</v>
      </c>
      <c r="D356" s="39">
        <v>45768.647169212963</v>
      </c>
      <c r="E356" s="15" t="s">
        <v>282</v>
      </c>
      <c r="F356" s="15" t="s">
        <v>151</v>
      </c>
      <c r="G356" s="15" t="s">
        <v>283</v>
      </c>
      <c r="H356" s="15" t="s">
        <v>284</v>
      </c>
      <c r="I356" s="15" t="s">
        <v>63</v>
      </c>
      <c r="J356" s="15" t="s">
        <v>285</v>
      </c>
      <c r="K356" s="15" t="s">
        <v>80</v>
      </c>
      <c r="L356" s="17">
        <f>VLOOKUP(E356,[1]Diccionario!C$2:AC$150,22,0)</f>
        <v>93771886</v>
      </c>
      <c r="M356" s="18">
        <f>VLOOKUP(E356,[1]Diccionario!C$2:AC$150,24,0)</f>
        <v>45931</v>
      </c>
      <c r="N356" s="19">
        <f>VLOOKUP(E356,[1]Diccionario!C$2:AC$150,25,0)</f>
        <v>47756</v>
      </c>
      <c r="O356" s="20">
        <f>VLOOKUP(E356,[1]Diccionario!C$2:AC$150,26,0)</f>
        <v>59.97</v>
      </c>
      <c r="P356" s="20">
        <f t="shared" si="64"/>
        <v>-31.97</v>
      </c>
      <c r="Q356" s="20">
        <v>28</v>
      </c>
      <c r="R356" s="15">
        <v>56</v>
      </c>
      <c r="S356" s="62">
        <v>0.999</v>
      </c>
      <c r="T356" s="21"/>
      <c r="U356" s="22"/>
      <c r="V356" s="24"/>
      <c r="W356" s="24">
        <f t="shared" si="65"/>
        <v>0</v>
      </c>
      <c r="X356" s="24">
        <f t="shared" si="66"/>
        <v>93678114.113999993</v>
      </c>
      <c r="Y356" s="24">
        <f t="shared" si="67"/>
        <v>0</v>
      </c>
      <c r="Z356" s="24">
        <f t="shared" si="68"/>
        <v>-93678114.113999993</v>
      </c>
      <c r="AA356" s="25" t="str">
        <f t="shared" si="69"/>
        <v>No se realizó gasto en este corte</v>
      </c>
      <c r="AB356" s="26" t="str">
        <f t="shared" si="70"/>
        <v>Costo eficiente: se está gastando menos de lo presupuestado</v>
      </c>
      <c r="AC356" s="26">
        <f t="shared" si="71"/>
        <v>0</v>
      </c>
      <c r="AD356" s="26" t="str">
        <f t="shared" si="72"/>
        <v>Sin Línea Base</v>
      </c>
      <c r="AE356" s="27">
        <f t="shared" si="73"/>
        <v>0</v>
      </c>
      <c r="AF356" s="27">
        <f t="shared" si="74"/>
        <v>-93771886</v>
      </c>
      <c r="AG356" s="28" t="str">
        <f>VLOOKUP(Indicador!E580,[1]Diccionario!C$1:AC$150,27,0)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56" s="28">
        <v>1</v>
      </c>
      <c r="AI356" s="28">
        <v>1</v>
      </c>
      <c r="AJ356" s="28"/>
      <c r="AK356" s="28"/>
    </row>
    <row r="357" spans="1:37" ht="18.75" customHeight="1" x14ac:dyDescent="0.25">
      <c r="A357" s="11">
        <v>2028</v>
      </c>
      <c r="B357" s="12" t="s">
        <v>47</v>
      </c>
      <c r="C357" s="15" t="s">
        <v>281</v>
      </c>
      <c r="D357" s="39">
        <v>45768.647169212963</v>
      </c>
      <c r="E357" s="15" t="s">
        <v>282</v>
      </c>
      <c r="F357" s="15" t="s">
        <v>151</v>
      </c>
      <c r="G357" s="15" t="s">
        <v>283</v>
      </c>
      <c r="H357" s="15" t="s">
        <v>284</v>
      </c>
      <c r="I357" s="15" t="s">
        <v>63</v>
      </c>
      <c r="J357" s="15" t="s">
        <v>285</v>
      </c>
      <c r="K357" s="15" t="s">
        <v>80</v>
      </c>
      <c r="L357" s="17">
        <f>VLOOKUP(E357,[1]Diccionario!C$2:AC$150,22,0)</f>
        <v>93771886</v>
      </c>
      <c r="M357" s="18">
        <f>VLOOKUP(E357,[1]Diccionario!C$2:AC$150,24,0)</f>
        <v>45931</v>
      </c>
      <c r="N357" s="19">
        <f>VLOOKUP(E357,[1]Diccionario!C$2:AC$150,25,0)</f>
        <v>47756</v>
      </c>
      <c r="O357" s="20">
        <f>VLOOKUP(E357,[1]Diccionario!C$2:AC$150,26,0)</f>
        <v>59.97</v>
      </c>
      <c r="P357" s="20">
        <f t="shared" si="64"/>
        <v>-30.97</v>
      </c>
      <c r="Q357" s="20">
        <v>29</v>
      </c>
      <c r="R357" s="15">
        <v>56</v>
      </c>
      <c r="S357" s="62">
        <v>0.999</v>
      </c>
      <c r="T357" s="21"/>
      <c r="U357" s="22"/>
      <c r="V357" s="24"/>
      <c r="W357" s="24">
        <f t="shared" si="65"/>
        <v>0</v>
      </c>
      <c r="X357" s="24">
        <f t="shared" si="66"/>
        <v>93678114.113999993</v>
      </c>
      <c r="Y357" s="24">
        <f t="shared" si="67"/>
        <v>0</v>
      </c>
      <c r="Z357" s="24">
        <f t="shared" si="68"/>
        <v>-93678114.113999993</v>
      </c>
      <c r="AA357" s="25" t="str">
        <f t="shared" si="69"/>
        <v>No se realizó gasto en este corte</v>
      </c>
      <c r="AB357" s="26" t="str">
        <f t="shared" si="70"/>
        <v>Costo eficiente: se está gastando menos de lo presupuestado</v>
      </c>
      <c r="AC357" s="26">
        <f t="shared" si="71"/>
        <v>0</v>
      </c>
      <c r="AD357" s="26" t="str">
        <f t="shared" si="72"/>
        <v>Sin Línea Base</v>
      </c>
      <c r="AE357" s="27">
        <f t="shared" si="73"/>
        <v>0</v>
      </c>
      <c r="AF357" s="27">
        <f t="shared" si="74"/>
        <v>-93771886</v>
      </c>
      <c r="AG357" s="28" t="str">
        <f>VLOOKUP(Indicador!E581,[1]Diccionario!C$1:AC$150,27,0)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57" s="28">
        <v>1</v>
      </c>
      <c r="AI357" s="28">
        <v>1</v>
      </c>
      <c r="AJ357" s="28"/>
      <c r="AK357" s="28"/>
    </row>
    <row r="358" spans="1:37" ht="18.75" customHeight="1" x14ac:dyDescent="0.25">
      <c r="A358" s="11">
        <v>2028</v>
      </c>
      <c r="B358" s="12" t="s">
        <v>48</v>
      </c>
      <c r="C358" s="15" t="s">
        <v>281</v>
      </c>
      <c r="D358" s="39">
        <v>45768.647169212963</v>
      </c>
      <c r="E358" s="15" t="s">
        <v>282</v>
      </c>
      <c r="F358" s="15" t="s">
        <v>151</v>
      </c>
      <c r="G358" s="15" t="s">
        <v>283</v>
      </c>
      <c r="H358" s="15" t="s">
        <v>284</v>
      </c>
      <c r="I358" s="15" t="s">
        <v>63</v>
      </c>
      <c r="J358" s="15" t="s">
        <v>285</v>
      </c>
      <c r="K358" s="15" t="s">
        <v>80</v>
      </c>
      <c r="L358" s="17">
        <f>VLOOKUP(E358,[1]Diccionario!C$2:AC$150,22,0)</f>
        <v>93771886</v>
      </c>
      <c r="M358" s="18">
        <f>VLOOKUP(E358,[1]Diccionario!C$2:AC$150,24,0)</f>
        <v>45931</v>
      </c>
      <c r="N358" s="19">
        <f>VLOOKUP(E358,[1]Diccionario!C$2:AC$150,25,0)</f>
        <v>47756</v>
      </c>
      <c r="O358" s="20">
        <f>VLOOKUP(E358,[1]Diccionario!C$2:AC$150,26,0)</f>
        <v>59.97</v>
      </c>
      <c r="P358" s="20">
        <f t="shared" si="64"/>
        <v>-29.97</v>
      </c>
      <c r="Q358" s="20">
        <v>30</v>
      </c>
      <c r="R358" s="15">
        <v>56</v>
      </c>
      <c r="S358" s="62">
        <v>0.999</v>
      </c>
      <c r="T358" s="21"/>
      <c r="U358" s="22"/>
      <c r="V358" s="24"/>
      <c r="W358" s="24">
        <f t="shared" si="65"/>
        <v>0</v>
      </c>
      <c r="X358" s="24">
        <f t="shared" si="66"/>
        <v>93678114.113999993</v>
      </c>
      <c r="Y358" s="24">
        <f t="shared" si="67"/>
        <v>0</v>
      </c>
      <c r="Z358" s="24">
        <f t="shared" si="68"/>
        <v>-93678114.113999993</v>
      </c>
      <c r="AA358" s="25" t="str">
        <f t="shared" si="69"/>
        <v>No se realizó gasto en este corte</v>
      </c>
      <c r="AB358" s="26" t="str">
        <f t="shared" si="70"/>
        <v>Costo eficiente: se está gastando menos de lo presupuestado</v>
      </c>
      <c r="AC358" s="26">
        <f t="shared" si="71"/>
        <v>0</v>
      </c>
      <c r="AD358" s="26" t="str">
        <f t="shared" si="72"/>
        <v>Sin Línea Base</v>
      </c>
      <c r="AE358" s="27">
        <f t="shared" si="73"/>
        <v>0</v>
      </c>
      <c r="AF358" s="27">
        <f t="shared" si="74"/>
        <v>-93771886</v>
      </c>
      <c r="AG358" s="28" t="str">
        <f>VLOOKUP(Indicador!E582,[1]Diccionario!C$1:AC$150,27,0)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58" s="28">
        <v>1</v>
      </c>
      <c r="AI358" s="28">
        <v>1</v>
      </c>
      <c r="AJ358" s="28"/>
      <c r="AK358" s="28"/>
    </row>
    <row r="359" spans="1:37" ht="18.75" customHeight="1" x14ac:dyDescent="0.25">
      <c r="A359" s="11">
        <v>2028</v>
      </c>
      <c r="B359" s="12" t="s">
        <v>49</v>
      </c>
      <c r="C359" s="15" t="s">
        <v>281</v>
      </c>
      <c r="D359" s="39">
        <v>45768.647169212963</v>
      </c>
      <c r="E359" s="15" t="s">
        <v>282</v>
      </c>
      <c r="F359" s="15" t="s">
        <v>151</v>
      </c>
      <c r="G359" s="15" t="s">
        <v>283</v>
      </c>
      <c r="H359" s="15" t="s">
        <v>284</v>
      </c>
      <c r="I359" s="15" t="s">
        <v>63</v>
      </c>
      <c r="J359" s="15" t="s">
        <v>285</v>
      </c>
      <c r="K359" s="15" t="s">
        <v>80</v>
      </c>
      <c r="L359" s="17">
        <f>VLOOKUP(E359,[1]Diccionario!C$2:AC$150,22,0)</f>
        <v>93771886</v>
      </c>
      <c r="M359" s="18">
        <f>VLOOKUP(E359,[1]Diccionario!C$2:AC$150,24,0)</f>
        <v>45931</v>
      </c>
      <c r="N359" s="19">
        <f>VLOOKUP(E359,[1]Diccionario!C$2:AC$150,25,0)</f>
        <v>47756</v>
      </c>
      <c r="O359" s="20">
        <f>VLOOKUP(E359,[1]Diccionario!C$2:AC$150,26,0)</f>
        <v>59.97</v>
      </c>
      <c r="P359" s="20">
        <f t="shared" si="64"/>
        <v>-28.97</v>
      </c>
      <c r="Q359" s="20">
        <v>31</v>
      </c>
      <c r="R359" s="15">
        <v>56</v>
      </c>
      <c r="S359" s="62">
        <v>0.999</v>
      </c>
      <c r="T359" s="21"/>
      <c r="U359" s="22"/>
      <c r="V359" s="24"/>
      <c r="W359" s="24">
        <f t="shared" si="65"/>
        <v>0</v>
      </c>
      <c r="X359" s="24">
        <f t="shared" si="66"/>
        <v>93678114.113999993</v>
      </c>
      <c r="Y359" s="24">
        <f t="shared" si="67"/>
        <v>0</v>
      </c>
      <c r="Z359" s="24">
        <f t="shared" si="68"/>
        <v>-93678114.113999993</v>
      </c>
      <c r="AA359" s="25" t="str">
        <f t="shared" si="69"/>
        <v>No se realizó gasto en este corte</v>
      </c>
      <c r="AB359" s="26" t="str">
        <f t="shared" si="70"/>
        <v>Costo eficiente: se está gastando menos de lo presupuestado</v>
      </c>
      <c r="AC359" s="26">
        <f t="shared" si="71"/>
        <v>0</v>
      </c>
      <c r="AD359" s="26" t="str">
        <f t="shared" si="72"/>
        <v>Sin Línea Base</v>
      </c>
      <c r="AE359" s="27">
        <f t="shared" si="73"/>
        <v>0</v>
      </c>
      <c r="AF359" s="27">
        <f t="shared" si="74"/>
        <v>-93771886</v>
      </c>
      <c r="AG359" s="28" t="str">
        <f>VLOOKUP(Indicador!E583,[1]Diccionario!C$1:AC$150,27,0)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59" s="28">
        <v>1</v>
      </c>
      <c r="AI359" s="28">
        <v>1</v>
      </c>
      <c r="AJ359" s="28"/>
      <c r="AK359" s="28"/>
    </row>
    <row r="360" spans="1:37" ht="18.75" customHeight="1" x14ac:dyDescent="0.25">
      <c r="A360" s="11">
        <v>2028</v>
      </c>
      <c r="B360" s="12" t="s">
        <v>50</v>
      </c>
      <c r="C360" s="15" t="s">
        <v>281</v>
      </c>
      <c r="D360" s="39">
        <v>45768.647169212963</v>
      </c>
      <c r="E360" s="15" t="s">
        <v>282</v>
      </c>
      <c r="F360" s="15" t="s">
        <v>151</v>
      </c>
      <c r="G360" s="15" t="s">
        <v>283</v>
      </c>
      <c r="H360" s="15" t="s">
        <v>284</v>
      </c>
      <c r="I360" s="15" t="s">
        <v>63</v>
      </c>
      <c r="J360" s="15" t="s">
        <v>285</v>
      </c>
      <c r="K360" s="15" t="s">
        <v>80</v>
      </c>
      <c r="L360" s="17">
        <f>VLOOKUP(E360,[1]Diccionario!C$2:AC$150,22,0)</f>
        <v>93771886</v>
      </c>
      <c r="M360" s="18">
        <f>VLOOKUP(E360,[1]Diccionario!C$2:AC$150,24,0)</f>
        <v>45931</v>
      </c>
      <c r="N360" s="19">
        <f>VLOOKUP(E360,[1]Diccionario!C$2:AC$150,25,0)</f>
        <v>47756</v>
      </c>
      <c r="O360" s="20">
        <f>VLOOKUP(E360,[1]Diccionario!C$2:AC$150,26,0)</f>
        <v>59.97</v>
      </c>
      <c r="P360" s="20">
        <f t="shared" si="64"/>
        <v>-27.97</v>
      </c>
      <c r="Q360" s="20">
        <v>32</v>
      </c>
      <c r="R360" s="15">
        <v>56</v>
      </c>
      <c r="S360" s="62">
        <v>0.999</v>
      </c>
      <c r="T360" s="21"/>
      <c r="U360" s="22"/>
      <c r="V360" s="24"/>
      <c r="W360" s="24">
        <f t="shared" si="65"/>
        <v>0</v>
      </c>
      <c r="X360" s="24">
        <f t="shared" si="66"/>
        <v>93678114.113999993</v>
      </c>
      <c r="Y360" s="24">
        <f t="shared" si="67"/>
        <v>0</v>
      </c>
      <c r="Z360" s="24">
        <f t="shared" si="68"/>
        <v>-93678114.113999993</v>
      </c>
      <c r="AA360" s="25" t="str">
        <f t="shared" si="69"/>
        <v>No se realizó gasto en este corte</v>
      </c>
      <c r="AB360" s="26" t="str">
        <f t="shared" si="70"/>
        <v>Costo eficiente: se está gastando menos de lo presupuestado</v>
      </c>
      <c r="AC360" s="26">
        <f t="shared" si="71"/>
        <v>0</v>
      </c>
      <c r="AD360" s="26" t="str">
        <f t="shared" si="72"/>
        <v>Sin Línea Base</v>
      </c>
      <c r="AE360" s="27">
        <f t="shared" si="73"/>
        <v>0</v>
      </c>
      <c r="AF360" s="27">
        <f t="shared" si="74"/>
        <v>-93771886</v>
      </c>
      <c r="AG360" s="28" t="str">
        <f>VLOOKUP(Indicador!E584,[1]Diccionario!C$1:AC$150,27,0)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60" s="28">
        <v>1</v>
      </c>
      <c r="AI360" s="28">
        <v>1</v>
      </c>
      <c r="AJ360" s="28"/>
      <c r="AK360" s="28"/>
    </row>
    <row r="361" spans="1:37" ht="18.75" customHeight="1" x14ac:dyDescent="0.25">
      <c r="A361" s="11">
        <v>2028</v>
      </c>
      <c r="B361" s="12" t="s">
        <v>51</v>
      </c>
      <c r="C361" s="15" t="s">
        <v>281</v>
      </c>
      <c r="D361" s="39">
        <v>45768.647169212963</v>
      </c>
      <c r="E361" s="15" t="s">
        <v>282</v>
      </c>
      <c r="F361" s="15" t="s">
        <v>151</v>
      </c>
      <c r="G361" s="15" t="s">
        <v>283</v>
      </c>
      <c r="H361" s="15" t="s">
        <v>284</v>
      </c>
      <c r="I361" s="15" t="s">
        <v>63</v>
      </c>
      <c r="J361" s="15" t="s">
        <v>285</v>
      </c>
      <c r="K361" s="15" t="s">
        <v>80</v>
      </c>
      <c r="L361" s="17">
        <f>VLOOKUP(E361,[1]Diccionario!C$2:AC$150,22,0)</f>
        <v>93771886</v>
      </c>
      <c r="M361" s="18">
        <f>VLOOKUP(E361,[1]Diccionario!C$2:AC$150,24,0)</f>
        <v>45931</v>
      </c>
      <c r="N361" s="19">
        <f>VLOOKUP(E361,[1]Diccionario!C$2:AC$150,25,0)</f>
        <v>47756</v>
      </c>
      <c r="O361" s="20">
        <f>VLOOKUP(E361,[1]Diccionario!C$2:AC$150,26,0)</f>
        <v>59.97</v>
      </c>
      <c r="P361" s="20">
        <f t="shared" si="64"/>
        <v>-26.97</v>
      </c>
      <c r="Q361" s="20">
        <v>33</v>
      </c>
      <c r="R361" s="15">
        <v>56</v>
      </c>
      <c r="S361" s="62">
        <v>0.999</v>
      </c>
      <c r="T361" s="21"/>
      <c r="U361" s="22"/>
      <c r="V361" s="24"/>
      <c r="W361" s="24">
        <f t="shared" si="65"/>
        <v>0</v>
      </c>
      <c r="X361" s="24">
        <f t="shared" si="66"/>
        <v>93678114.113999993</v>
      </c>
      <c r="Y361" s="24">
        <f t="shared" si="67"/>
        <v>0</v>
      </c>
      <c r="Z361" s="24">
        <f t="shared" si="68"/>
        <v>-93678114.113999993</v>
      </c>
      <c r="AA361" s="25" t="str">
        <f t="shared" si="69"/>
        <v>No se realizó gasto en este corte</v>
      </c>
      <c r="AB361" s="26" t="str">
        <f t="shared" si="70"/>
        <v>Costo eficiente: se está gastando menos de lo presupuestado</v>
      </c>
      <c r="AC361" s="26">
        <f t="shared" si="71"/>
        <v>0</v>
      </c>
      <c r="AD361" s="26" t="str">
        <f t="shared" si="72"/>
        <v>Sin Línea Base</v>
      </c>
      <c r="AE361" s="27">
        <f t="shared" si="73"/>
        <v>0</v>
      </c>
      <c r="AF361" s="27">
        <f t="shared" si="74"/>
        <v>-93771886</v>
      </c>
      <c r="AG361" s="28" t="str">
        <f>VLOOKUP(Indicador!E585,[1]Diccionario!C$1:AC$150,27,0)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361" s="28">
        <v>1</v>
      </c>
      <c r="AI361" s="28">
        <v>1</v>
      </c>
      <c r="AJ361" s="28"/>
      <c r="AK361" s="28"/>
    </row>
    <row r="362" spans="1:37" ht="18.75" customHeight="1" x14ac:dyDescent="0.25">
      <c r="A362" s="11">
        <v>2028</v>
      </c>
      <c r="B362" s="12" t="s">
        <v>52</v>
      </c>
      <c r="C362" s="15" t="s">
        <v>281</v>
      </c>
      <c r="D362" s="39">
        <v>45768.647169212963</v>
      </c>
      <c r="E362" s="15" t="s">
        <v>282</v>
      </c>
      <c r="F362" s="15" t="s">
        <v>151</v>
      </c>
      <c r="G362" s="15" t="s">
        <v>283</v>
      </c>
      <c r="H362" s="15" t="s">
        <v>284</v>
      </c>
      <c r="I362" s="15" t="s">
        <v>63</v>
      </c>
      <c r="J362" s="15" t="s">
        <v>285</v>
      </c>
      <c r="K362" s="15" t="s">
        <v>80</v>
      </c>
      <c r="L362" s="17">
        <f>VLOOKUP(E362,[1]Diccionario!C$2:AC$150,22,0)</f>
        <v>93771886</v>
      </c>
      <c r="M362" s="18">
        <f>VLOOKUP(E362,[1]Diccionario!C$2:AC$150,24,0)</f>
        <v>45931</v>
      </c>
      <c r="N362" s="19">
        <f>VLOOKUP(E362,[1]Diccionario!C$2:AC$150,25,0)</f>
        <v>47756</v>
      </c>
      <c r="O362" s="20">
        <f>VLOOKUP(E362,[1]Diccionario!C$2:AC$150,26,0)</f>
        <v>59.97</v>
      </c>
      <c r="P362" s="20">
        <f t="shared" si="64"/>
        <v>-25.97</v>
      </c>
      <c r="Q362" s="20">
        <v>34</v>
      </c>
      <c r="R362" s="15">
        <v>56</v>
      </c>
      <c r="S362" s="62">
        <v>0.999</v>
      </c>
      <c r="T362" s="21"/>
      <c r="U362" s="22"/>
      <c r="V362" s="24"/>
      <c r="W362" s="24">
        <f t="shared" si="65"/>
        <v>0</v>
      </c>
      <c r="X362" s="24">
        <f t="shared" si="66"/>
        <v>93678114.113999993</v>
      </c>
      <c r="Y362" s="24">
        <f t="shared" si="67"/>
        <v>0</v>
      </c>
      <c r="Z362" s="24">
        <f t="shared" si="68"/>
        <v>-93678114.113999993</v>
      </c>
      <c r="AA362" s="25" t="str">
        <f t="shared" si="69"/>
        <v>No se realizó gasto en este corte</v>
      </c>
      <c r="AB362" s="26" t="str">
        <f t="shared" si="70"/>
        <v>Costo eficiente: se está gastando menos de lo presupuestado</v>
      </c>
      <c r="AC362" s="26">
        <f t="shared" si="71"/>
        <v>0</v>
      </c>
      <c r="AD362" s="26" t="str">
        <f t="shared" si="72"/>
        <v>Sin Línea Base</v>
      </c>
      <c r="AE362" s="27">
        <f t="shared" si="73"/>
        <v>0</v>
      </c>
      <c r="AF362" s="27">
        <f t="shared" si="74"/>
        <v>-93771886</v>
      </c>
      <c r="AG362" s="28" t="str">
        <f>VLOOKUP(Indicador!E586,[1]Diccionario!C$1:AC$150,27,0)</f>
        <v>https://growdatasas.sharepoint.com/:x:/r/sites/Gestiondocumental/Administrativa/GD/Financiera/_layouts/15/Doc.aspx?sourcedoc=%7B538AADB9-4832-4502-992B-5493EC06C9DB%7D&amp;file=250905%20ERA%20MODELO%20FINANCIERO%20REFERENCIA%20V7.5.xlsm&amp;action=default&amp;mobileredirect=true</v>
      </c>
      <c r="AH362" s="28">
        <v>1</v>
      </c>
      <c r="AI362" s="28">
        <v>1</v>
      </c>
      <c r="AJ362" s="28"/>
      <c r="AK362" s="28"/>
    </row>
    <row r="363" spans="1:37" ht="18.75" customHeight="1" x14ac:dyDescent="0.25">
      <c r="A363" s="11">
        <v>2028</v>
      </c>
      <c r="B363" s="12" t="s">
        <v>53</v>
      </c>
      <c r="C363" s="15" t="s">
        <v>281</v>
      </c>
      <c r="D363" s="39">
        <v>45768.647169212963</v>
      </c>
      <c r="E363" s="15" t="s">
        <v>282</v>
      </c>
      <c r="F363" s="15" t="s">
        <v>151</v>
      </c>
      <c r="G363" s="15" t="s">
        <v>283</v>
      </c>
      <c r="H363" s="15" t="s">
        <v>284</v>
      </c>
      <c r="I363" s="15" t="s">
        <v>63</v>
      </c>
      <c r="J363" s="15" t="s">
        <v>285</v>
      </c>
      <c r="K363" s="15" t="s">
        <v>80</v>
      </c>
      <c r="L363" s="17">
        <f>VLOOKUP(E363,[1]Diccionario!C$2:AC$150,22,0)</f>
        <v>93771886</v>
      </c>
      <c r="M363" s="18">
        <f>VLOOKUP(E363,[1]Diccionario!C$2:AC$150,24,0)</f>
        <v>45931</v>
      </c>
      <c r="N363" s="19">
        <f>VLOOKUP(E363,[1]Diccionario!C$2:AC$150,25,0)</f>
        <v>47756</v>
      </c>
      <c r="O363" s="20">
        <f>VLOOKUP(E363,[1]Diccionario!C$2:AC$150,26,0)</f>
        <v>59.97</v>
      </c>
      <c r="P363" s="20">
        <f t="shared" si="64"/>
        <v>-24.97</v>
      </c>
      <c r="Q363" s="20">
        <v>35</v>
      </c>
      <c r="R363" s="15">
        <v>56</v>
      </c>
      <c r="S363" s="62">
        <v>0.999</v>
      </c>
      <c r="T363" s="21"/>
      <c r="U363" s="22"/>
      <c r="V363" s="24"/>
      <c r="W363" s="24">
        <f t="shared" si="65"/>
        <v>0</v>
      </c>
      <c r="X363" s="24">
        <f t="shared" si="66"/>
        <v>93678114.113999993</v>
      </c>
      <c r="Y363" s="24">
        <f t="shared" si="67"/>
        <v>0</v>
      </c>
      <c r="Z363" s="24">
        <f t="shared" si="68"/>
        <v>-93678114.113999993</v>
      </c>
      <c r="AA363" s="25" t="str">
        <f t="shared" si="69"/>
        <v>No se realizó gasto en este corte</v>
      </c>
      <c r="AB363" s="26" t="str">
        <f t="shared" si="70"/>
        <v>Costo eficiente: se está gastando menos de lo presupuestado</v>
      </c>
      <c r="AC363" s="26">
        <f t="shared" si="71"/>
        <v>0</v>
      </c>
      <c r="AD363" s="26" t="str">
        <f t="shared" si="72"/>
        <v>Sin Línea Base</v>
      </c>
      <c r="AE363" s="27">
        <f t="shared" si="73"/>
        <v>0</v>
      </c>
      <c r="AF363" s="27">
        <f t="shared" si="74"/>
        <v>-93771886</v>
      </c>
      <c r="AG363" s="28" t="str">
        <f>VLOOKUP(Indicador!E587,[1]Diccionario!C$1:AC$150,27,0)</f>
        <v>https://growdatasas.sharepoint.com/:x:/r/sites/Gestiondocumental/Administrativa/GD/Financiera/_layouts/15/Doc.aspx?sourcedoc=%7B538AADB9-4832-4502-992B-5493EC06C9DB%7D&amp;file=250905%20ERA%20MODELO%20FINANCIERO%20REFERENCIA%20V7.5.xlsm&amp;action=default&amp;mobileredirect=true</v>
      </c>
      <c r="AH363" s="28">
        <v>1</v>
      </c>
      <c r="AI363" s="28">
        <v>1</v>
      </c>
      <c r="AJ363" s="28"/>
      <c r="AK363" s="28"/>
    </row>
    <row r="364" spans="1:37" ht="18.75" customHeight="1" x14ac:dyDescent="0.25">
      <c r="A364" s="11">
        <v>2028</v>
      </c>
      <c r="B364" s="12" t="s">
        <v>54</v>
      </c>
      <c r="C364" s="15" t="s">
        <v>281</v>
      </c>
      <c r="D364" s="39">
        <v>45768.647169212963</v>
      </c>
      <c r="E364" s="15" t="s">
        <v>282</v>
      </c>
      <c r="F364" s="15" t="s">
        <v>151</v>
      </c>
      <c r="G364" s="15" t="s">
        <v>283</v>
      </c>
      <c r="H364" s="15" t="s">
        <v>284</v>
      </c>
      <c r="I364" s="15" t="s">
        <v>63</v>
      </c>
      <c r="J364" s="15" t="s">
        <v>285</v>
      </c>
      <c r="K364" s="15" t="s">
        <v>80</v>
      </c>
      <c r="L364" s="17">
        <f>VLOOKUP(E364,[1]Diccionario!C$2:AC$150,22,0)</f>
        <v>93771886</v>
      </c>
      <c r="M364" s="18">
        <f>VLOOKUP(E364,[1]Diccionario!C$2:AC$150,24,0)</f>
        <v>45931</v>
      </c>
      <c r="N364" s="19">
        <f>VLOOKUP(E364,[1]Diccionario!C$2:AC$150,25,0)</f>
        <v>47756</v>
      </c>
      <c r="O364" s="20">
        <f>VLOOKUP(E364,[1]Diccionario!C$2:AC$150,26,0)</f>
        <v>59.97</v>
      </c>
      <c r="P364" s="20">
        <f t="shared" si="64"/>
        <v>-23.97</v>
      </c>
      <c r="Q364" s="20">
        <v>36</v>
      </c>
      <c r="R364" s="15">
        <v>56</v>
      </c>
      <c r="S364" s="62">
        <v>0.999</v>
      </c>
      <c r="T364" s="21"/>
      <c r="U364" s="22"/>
      <c r="V364" s="24"/>
      <c r="W364" s="24">
        <f t="shared" si="65"/>
        <v>0</v>
      </c>
      <c r="X364" s="24">
        <f t="shared" si="66"/>
        <v>93678114.113999993</v>
      </c>
      <c r="Y364" s="24">
        <f t="shared" si="67"/>
        <v>0</v>
      </c>
      <c r="Z364" s="24">
        <f t="shared" si="68"/>
        <v>-93678114.113999993</v>
      </c>
      <c r="AA364" s="25" t="str">
        <f t="shared" si="69"/>
        <v>No se realizó gasto en este corte</v>
      </c>
      <c r="AB364" s="26" t="str">
        <f t="shared" si="70"/>
        <v>Costo eficiente: se está gastando menos de lo presupuestado</v>
      </c>
      <c r="AC364" s="26">
        <f t="shared" si="71"/>
        <v>0</v>
      </c>
      <c r="AD364" s="26" t="str">
        <f t="shared" si="72"/>
        <v>Sin Línea Base</v>
      </c>
      <c r="AE364" s="27">
        <f t="shared" si="73"/>
        <v>0</v>
      </c>
      <c r="AF364" s="27">
        <f t="shared" si="74"/>
        <v>-93771886</v>
      </c>
      <c r="AG364" s="28" t="str">
        <f>VLOOKUP(Indicador!E588,[1]Diccionario!C$1:AC$150,27,0)</f>
        <v>https://growdatasas.sharepoint.com/:x:/r/sites/Gestiondocumental/Administrativa/GD/Financiera/_layouts/15/Doc.aspx?sourcedoc=%7B538AADB9-4832-4502-992B-5493EC06C9DB%7D&amp;file=250905%20ERA%20MODELO%20FINANCIERO%20REFERENCIA%20V7.5.xlsm&amp;action=default&amp;mobileredirect=true</v>
      </c>
      <c r="AH364" s="28">
        <v>1</v>
      </c>
      <c r="AI364" s="28">
        <v>1</v>
      </c>
      <c r="AJ364" s="28"/>
      <c r="AK364" s="28"/>
    </row>
    <row r="365" spans="1:37" ht="18.75" customHeight="1" x14ac:dyDescent="0.25">
      <c r="A365" s="11">
        <v>2028</v>
      </c>
      <c r="B365" s="12" t="s">
        <v>55</v>
      </c>
      <c r="C365" s="15" t="s">
        <v>281</v>
      </c>
      <c r="D365" s="39">
        <v>45768.647169212963</v>
      </c>
      <c r="E365" s="15" t="s">
        <v>282</v>
      </c>
      <c r="F365" s="15" t="s">
        <v>151</v>
      </c>
      <c r="G365" s="15" t="s">
        <v>283</v>
      </c>
      <c r="H365" s="15" t="s">
        <v>284</v>
      </c>
      <c r="I365" s="15" t="s">
        <v>63</v>
      </c>
      <c r="J365" s="15" t="s">
        <v>285</v>
      </c>
      <c r="K365" s="15" t="s">
        <v>80</v>
      </c>
      <c r="L365" s="17">
        <f>VLOOKUP(E365,[1]Diccionario!C$2:AC$150,22,0)</f>
        <v>93771886</v>
      </c>
      <c r="M365" s="18">
        <f>VLOOKUP(E365,[1]Diccionario!C$2:AC$150,24,0)</f>
        <v>45931</v>
      </c>
      <c r="N365" s="19">
        <f>VLOOKUP(E365,[1]Diccionario!C$2:AC$150,25,0)</f>
        <v>47756</v>
      </c>
      <c r="O365" s="20">
        <f>VLOOKUP(E365,[1]Diccionario!C$2:AC$150,26,0)</f>
        <v>59.97</v>
      </c>
      <c r="P365" s="20">
        <f t="shared" si="64"/>
        <v>-22.97</v>
      </c>
      <c r="Q365" s="20">
        <v>37</v>
      </c>
      <c r="R365" s="15">
        <v>56</v>
      </c>
      <c r="S365" s="62">
        <v>0.999</v>
      </c>
      <c r="T365" s="21"/>
      <c r="U365" s="22"/>
      <c r="V365" s="24"/>
      <c r="W365" s="24">
        <f t="shared" si="65"/>
        <v>0</v>
      </c>
      <c r="X365" s="24">
        <f t="shared" si="66"/>
        <v>93678114.113999993</v>
      </c>
      <c r="Y365" s="24">
        <f t="shared" si="67"/>
        <v>0</v>
      </c>
      <c r="Z365" s="24">
        <f t="shared" si="68"/>
        <v>-93678114.113999993</v>
      </c>
      <c r="AA365" s="25" t="str">
        <f t="shared" si="69"/>
        <v>No se realizó gasto en este corte</v>
      </c>
      <c r="AB365" s="26" t="str">
        <f t="shared" si="70"/>
        <v>Costo eficiente: se está gastando menos de lo presupuestado</v>
      </c>
      <c r="AC365" s="26">
        <f t="shared" si="71"/>
        <v>0</v>
      </c>
      <c r="AD365" s="26" t="str">
        <f t="shared" si="72"/>
        <v>Sin Línea Base</v>
      </c>
      <c r="AE365" s="27">
        <f t="shared" si="73"/>
        <v>0</v>
      </c>
      <c r="AF365" s="27">
        <f t="shared" si="74"/>
        <v>-93771886</v>
      </c>
      <c r="AG365" s="28" t="str">
        <f>VLOOKUP(Indicador!E589,[1]Diccionario!C$1:AC$150,27,0)</f>
        <v>https://growdatasas.sharepoint.com/:x:/r/sites/Gestiondocumental/Administrativa/GD/Financiera/_layouts/15/Doc.aspx?sourcedoc=%7B538AADB9-4832-4502-992B-5493EC06C9DB%7D&amp;file=250905%20ERA%20MODELO%20FINANCIERO%20REFERENCIA%20V7.5.xlsm&amp;action=default&amp;mobileredirect=true</v>
      </c>
      <c r="AH365" s="28">
        <v>1</v>
      </c>
      <c r="AI365" s="28">
        <v>1</v>
      </c>
      <c r="AJ365" s="28"/>
      <c r="AK365" s="28"/>
    </row>
    <row r="366" spans="1:37" ht="18.75" customHeight="1" x14ac:dyDescent="0.25">
      <c r="A366" s="11">
        <v>2028</v>
      </c>
      <c r="B366" s="12" t="s">
        <v>56</v>
      </c>
      <c r="C366" s="15" t="s">
        <v>281</v>
      </c>
      <c r="D366" s="39">
        <v>45768.647169212963</v>
      </c>
      <c r="E366" s="15" t="s">
        <v>282</v>
      </c>
      <c r="F366" s="15" t="s">
        <v>151</v>
      </c>
      <c r="G366" s="15" t="s">
        <v>283</v>
      </c>
      <c r="H366" s="15" t="s">
        <v>284</v>
      </c>
      <c r="I366" s="15" t="s">
        <v>63</v>
      </c>
      <c r="J366" s="15" t="s">
        <v>285</v>
      </c>
      <c r="K366" s="15" t="s">
        <v>80</v>
      </c>
      <c r="L366" s="17">
        <f>VLOOKUP(E366,[1]Diccionario!C$2:AC$150,22,0)</f>
        <v>93771886</v>
      </c>
      <c r="M366" s="18">
        <f>VLOOKUP(E366,[1]Diccionario!C$2:AC$150,24,0)</f>
        <v>45931</v>
      </c>
      <c r="N366" s="19">
        <f>VLOOKUP(E366,[1]Diccionario!C$2:AC$150,25,0)</f>
        <v>47756</v>
      </c>
      <c r="O366" s="20">
        <f>VLOOKUP(E366,[1]Diccionario!C$2:AC$150,26,0)</f>
        <v>59.97</v>
      </c>
      <c r="P366" s="20">
        <f t="shared" si="64"/>
        <v>-21.97</v>
      </c>
      <c r="Q366" s="20">
        <v>38</v>
      </c>
      <c r="R366" s="15">
        <v>56</v>
      </c>
      <c r="S366" s="62">
        <v>0.999</v>
      </c>
      <c r="T366" s="21"/>
      <c r="U366" s="22"/>
      <c r="V366" s="24"/>
      <c r="W366" s="24">
        <f t="shared" si="65"/>
        <v>0</v>
      </c>
      <c r="X366" s="24">
        <f t="shared" si="66"/>
        <v>93678114.113999993</v>
      </c>
      <c r="Y366" s="24">
        <f t="shared" si="67"/>
        <v>0</v>
      </c>
      <c r="Z366" s="24">
        <f t="shared" si="68"/>
        <v>-93678114.113999993</v>
      </c>
      <c r="AA366" s="25" t="str">
        <f t="shared" si="69"/>
        <v>No se realizó gasto en este corte</v>
      </c>
      <c r="AB366" s="26" t="str">
        <f t="shared" si="70"/>
        <v>Costo eficiente: se está gastando menos de lo presupuestado</v>
      </c>
      <c r="AC366" s="26">
        <f t="shared" si="71"/>
        <v>0</v>
      </c>
      <c r="AD366" s="26" t="str">
        <f t="shared" si="72"/>
        <v>Sin Línea Base</v>
      </c>
      <c r="AE366" s="27">
        <f t="shared" si="73"/>
        <v>0</v>
      </c>
      <c r="AF366" s="27">
        <f t="shared" si="74"/>
        <v>-93771886</v>
      </c>
      <c r="AG366" s="28" t="str">
        <f>VLOOKUP(Indicador!E590,[1]Diccionario!C$1:AC$150,27,0)</f>
        <v>https://growdatasas.sharepoint.com/:x:/r/sites/Gestiondocumental/Administrativa/GD/Financiera/_layouts/15/Doc.aspx?sourcedoc=%7B538AADB9-4832-4502-992B-5493EC06C9DB%7D&amp;file=250905%20ERA%20MODELO%20FINANCIERO%20REFERENCIA%20V7.5.xlsm&amp;action=default&amp;mobileredirect=true</v>
      </c>
      <c r="AH366" s="28">
        <v>1</v>
      </c>
      <c r="AI366" s="28">
        <v>1</v>
      </c>
      <c r="AJ366" s="28"/>
      <c r="AK366" s="28"/>
    </row>
    <row r="367" spans="1:37" ht="18.75" customHeight="1" x14ac:dyDescent="0.25">
      <c r="A367" s="11">
        <v>2028</v>
      </c>
      <c r="B367" s="12" t="s">
        <v>57</v>
      </c>
      <c r="C367" s="15" t="s">
        <v>281</v>
      </c>
      <c r="D367" s="39">
        <v>45768.647169212963</v>
      </c>
      <c r="E367" s="15" t="s">
        <v>282</v>
      </c>
      <c r="F367" s="15" t="s">
        <v>151</v>
      </c>
      <c r="G367" s="15" t="s">
        <v>283</v>
      </c>
      <c r="H367" s="15" t="s">
        <v>284</v>
      </c>
      <c r="I367" s="15" t="s">
        <v>63</v>
      </c>
      <c r="J367" s="15" t="s">
        <v>285</v>
      </c>
      <c r="K367" s="15" t="s">
        <v>80</v>
      </c>
      <c r="L367" s="17">
        <f>VLOOKUP(E367,[1]Diccionario!C$2:AC$150,22,0)</f>
        <v>93771886</v>
      </c>
      <c r="M367" s="18">
        <f>VLOOKUP(E367,[1]Diccionario!C$2:AC$150,24,0)</f>
        <v>45931</v>
      </c>
      <c r="N367" s="19">
        <f>VLOOKUP(E367,[1]Diccionario!C$2:AC$150,25,0)</f>
        <v>47756</v>
      </c>
      <c r="O367" s="20">
        <f>VLOOKUP(E367,[1]Diccionario!C$2:AC$150,26,0)</f>
        <v>59.97</v>
      </c>
      <c r="P367" s="20">
        <f t="shared" si="64"/>
        <v>-20.97</v>
      </c>
      <c r="Q367" s="20">
        <v>39</v>
      </c>
      <c r="R367" s="15">
        <v>56</v>
      </c>
      <c r="S367" s="62">
        <v>0.999</v>
      </c>
      <c r="T367" s="21"/>
      <c r="U367" s="22"/>
      <c r="V367" s="24"/>
      <c r="W367" s="24">
        <f t="shared" si="65"/>
        <v>0</v>
      </c>
      <c r="X367" s="24">
        <f t="shared" si="66"/>
        <v>93678114.113999993</v>
      </c>
      <c r="Y367" s="24">
        <f t="shared" si="67"/>
        <v>0</v>
      </c>
      <c r="Z367" s="24">
        <f t="shared" si="68"/>
        <v>-93678114.113999993</v>
      </c>
      <c r="AA367" s="25" t="str">
        <f t="shared" si="69"/>
        <v>No se realizó gasto en este corte</v>
      </c>
      <c r="AB367" s="26" t="str">
        <f t="shared" si="70"/>
        <v>Costo eficiente: se está gastando menos de lo presupuestado</v>
      </c>
      <c r="AC367" s="26">
        <f t="shared" si="71"/>
        <v>0</v>
      </c>
      <c r="AD367" s="26" t="str">
        <f t="shared" si="72"/>
        <v>Sin Línea Base</v>
      </c>
      <c r="AE367" s="27">
        <f t="shared" si="73"/>
        <v>0</v>
      </c>
      <c r="AF367" s="27">
        <f t="shared" si="74"/>
        <v>-93771886</v>
      </c>
      <c r="AG367" s="28" t="str">
        <f>VLOOKUP(Indicador!E591,[1]Diccionario!C$1:AC$150,27,0)</f>
        <v>https://growdatasas.sharepoint.com/:x:/r/sites/Gestiondocumental/Administrativa/GD/Financiera/_layouts/15/Doc.aspx?sourcedoc=%7B538AADB9-4832-4502-992B-5493EC06C9DB%7D&amp;file=250905%20ERA%20MODELO%20FINANCIERO%20REFERENCIA%20V7.5.xlsm&amp;action=default&amp;mobileredirect=true</v>
      </c>
      <c r="AH367" s="28">
        <v>1</v>
      </c>
      <c r="AI367" s="28">
        <v>1</v>
      </c>
      <c r="AJ367" s="28"/>
      <c r="AK367" s="28"/>
    </row>
    <row r="368" spans="1:37" ht="18.75" customHeight="1" x14ac:dyDescent="0.25">
      <c r="A368" s="11">
        <v>2029</v>
      </c>
      <c r="B368" s="12" t="s">
        <v>37</v>
      </c>
      <c r="C368" s="15" t="s">
        <v>281</v>
      </c>
      <c r="D368" s="39">
        <v>45768.647169212963</v>
      </c>
      <c r="E368" s="15" t="s">
        <v>282</v>
      </c>
      <c r="F368" s="15" t="s">
        <v>151</v>
      </c>
      <c r="G368" s="15" t="s">
        <v>283</v>
      </c>
      <c r="H368" s="15" t="s">
        <v>284</v>
      </c>
      <c r="I368" s="15" t="s">
        <v>63</v>
      </c>
      <c r="J368" s="15" t="s">
        <v>285</v>
      </c>
      <c r="K368" s="15" t="s">
        <v>80</v>
      </c>
      <c r="L368" s="17">
        <f>VLOOKUP(E368,[1]Diccionario!C$2:AC$150,22,0)</f>
        <v>93771886</v>
      </c>
      <c r="M368" s="18">
        <f>VLOOKUP(E368,[1]Diccionario!C$2:AC$150,24,0)</f>
        <v>45931</v>
      </c>
      <c r="N368" s="19">
        <f>VLOOKUP(E368,[1]Diccionario!C$2:AC$150,25,0)</f>
        <v>47756</v>
      </c>
      <c r="O368" s="20">
        <f>VLOOKUP(E368,[1]Diccionario!C$2:AC$150,26,0)</f>
        <v>59.97</v>
      </c>
      <c r="P368" s="20">
        <f t="shared" si="64"/>
        <v>-19.97</v>
      </c>
      <c r="Q368" s="20">
        <v>40</v>
      </c>
      <c r="R368" s="15">
        <v>56</v>
      </c>
      <c r="S368" s="62">
        <v>0.999</v>
      </c>
      <c r="T368" s="21"/>
      <c r="U368" s="22"/>
      <c r="V368" s="24"/>
      <c r="W368" s="24">
        <f t="shared" si="65"/>
        <v>0</v>
      </c>
      <c r="X368" s="24">
        <f t="shared" si="66"/>
        <v>93678114.113999993</v>
      </c>
      <c r="Y368" s="24">
        <f t="shared" si="67"/>
        <v>0</v>
      </c>
      <c r="Z368" s="24">
        <f t="shared" si="68"/>
        <v>-93678114.113999993</v>
      </c>
      <c r="AA368" s="25" t="str">
        <f t="shared" si="69"/>
        <v>No se realizó gasto en este corte</v>
      </c>
      <c r="AB368" s="26" t="str">
        <f t="shared" si="70"/>
        <v>Costo eficiente: se está gastando menos de lo presupuestado</v>
      </c>
      <c r="AC368" s="26">
        <f t="shared" si="71"/>
        <v>0</v>
      </c>
      <c r="AD368" s="26" t="str">
        <f t="shared" si="72"/>
        <v>Sin Línea Base</v>
      </c>
      <c r="AE368" s="27">
        <f t="shared" si="73"/>
        <v>0</v>
      </c>
      <c r="AF368" s="27">
        <f t="shared" si="74"/>
        <v>-93771886</v>
      </c>
      <c r="AG368" s="28" t="str">
        <f>VLOOKUP(Indicador!E592,[1]Diccionario!C$1:AC$150,27,0)</f>
        <v>https://growdatasas.sharepoint.com/:x:/r/sites/Gestiondocumental/Administrativa/GD/Financiera/_layouts/15/Doc.aspx?sourcedoc=%7B538AADB9-4832-4502-992B-5493EC06C9DB%7D&amp;file=250905%20ERA%20MODELO%20FINANCIERO%20REFERENCIA%20V7.5.xlsm&amp;action=default&amp;mobileredirect=true</v>
      </c>
      <c r="AH368" s="28">
        <v>1</v>
      </c>
      <c r="AI368" s="28">
        <v>1</v>
      </c>
      <c r="AJ368" s="28"/>
      <c r="AK368" s="28"/>
    </row>
    <row r="369" spans="1:37" ht="18.75" customHeight="1" x14ac:dyDescent="0.25">
      <c r="A369" s="11">
        <v>2029</v>
      </c>
      <c r="B369" s="12" t="s">
        <v>47</v>
      </c>
      <c r="C369" s="15" t="s">
        <v>281</v>
      </c>
      <c r="D369" s="39">
        <v>45768.647169212963</v>
      </c>
      <c r="E369" s="15" t="s">
        <v>282</v>
      </c>
      <c r="F369" s="15" t="s">
        <v>151</v>
      </c>
      <c r="G369" s="15" t="s">
        <v>283</v>
      </c>
      <c r="H369" s="15" t="s">
        <v>284</v>
      </c>
      <c r="I369" s="15" t="s">
        <v>63</v>
      </c>
      <c r="J369" s="15" t="s">
        <v>285</v>
      </c>
      <c r="K369" s="15" t="s">
        <v>80</v>
      </c>
      <c r="L369" s="17">
        <f>VLOOKUP(E369,[1]Diccionario!C$2:AC$150,22,0)</f>
        <v>93771886</v>
      </c>
      <c r="M369" s="18">
        <f>VLOOKUP(E369,[1]Diccionario!C$2:AC$150,24,0)</f>
        <v>45931</v>
      </c>
      <c r="N369" s="19">
        <f>VLOOKUP(E369,[1]Diccionario!C$2:AC$150,25,0)</f>
        <v>47756</v>
      </c>
      <c r="O369" s="20">
        <f>VLOOKUP(E369,[1]Diccionario!C$2:AC$150,26,0)</f>
        <v>59.97</v>
      </c>
      <c r="P369" s="20">
        <f t="shared" si="64"/>
        <v>-18.97</v>
      </c>
      <c r="Q369" s="20">
        <v>41</v>
      </c>
      <c r="R369" s="15">
        <v>56</v>
      </c>
      <c r="S369" s="62">
        <v>0.999</v>
      </c>
      <c r="T369" s="21"/>
      <c r="U369" s="22"/>
      <c r="V369" s="24"/>
      <c r="W369" s="24">
        <f t="shared" si="65"/>
        <v>0</v>
      </c>
      <c r="X369" s="24">
        <f t="shared" si="66"/>
        <v>93678114.113999993</v>
      </c>
      <c r="Y369" s="24">
        <f t="shared" si="67"/>
        <v>0</v>
      </c>
      <c r="Z369" s="24">
        <f t="shared" si="68"/>
        <v>-93678114.113999993</v>
      </c>
      <c r="AA369" s="25" t="str">
        <f t="shared" si="69"/>
        <v>No se realizó gasto en este corte</v>
      </c>
      <c r="AB369" s="26" t="str">
        <f t="shared" si="70"/>
        <v>Costo eficiente: se está gastando menos de lo presupuestado</v>
      </c>
      <c r="AC369" s="26">
        <f t="shared" si="71"/>
        <v>0</v>
      </c>
      <c r="AD369" s="26" t="str">
        <f t="shared" si="72"/>
        <v>Sin Línea Base</v>
      </c>
      <c r="AE369" s="27">
        <f t="shared" si="73"/>
        <v>0</v>
      </c>
      <c r="AF369" s="27">
        <f t="shared" si="74"/>
        <v>-93771886</v>
      </c>
      <c r="AG369" s="28" t="str">
        <f>VLOOKUP(Indicador!E593,[1]Diccionario!C$1:AC$150,27,0)</f>
        <v>https://growdatasas.sharepoint.com/:x:/r/sites/Gestiondocumental/Administrativa/GD/Financiera/_layouts/15/Doc.aspx?sourcedoc=%7B538AADB9-4832-4502-992B-5493EC06C9DB%7D&amp;file=250905%20ERA%20MODELO%20FINANCIERO%20REFERENCIA%20V7.5.xlsm&amp;action=default&amp;mobileredirect=true</v>
      </c>
      <c r="AH369" s="28">
        <v>1</v>
      </c>
      <c r="AI369" s="28">
        <v>1</v>
      </c>
      <c r="AJ369" s="28"/>
      <c r="AK369" s="28"/>
    </row>
    <row r="370" spans="1:37" ht="18.75" customHeight="1" x14ac:dyDescent="0.25">
      <c r="A370" s="11">
        <v>2029</v>
      </c>
      <c r="B370" s="12" t="s">
        <v>48</v>
      </c>
      <c r="C370" s="15" t="s">
        <v>281</v>
      </c>
      <c r="D370" s="39">
        <v>45768.647169212963</v>
      </c>
      <c r="E370" s="15" t="s">
        <v>282</v>
      </c>
      <c r="F370" s="15" t="s">
        <v>151</v>
      </c>
      <c r="G370" s="15" t="s">
        <v>283</v>
      </c>
      <c r="H370" s="15" t="s">
        <v>284</v>
      </c>
      <c r="I370" s="15" t="s">
        <v>63</v>
      </c>
      <c r="J370" s="15" t="s">
        <v>285</v>
      </c>
      <c r="K370" s="15" t="s">
        <v>80</v>
      </c>
      <c r="L370" s="17">
        <f>VLOOKUP(E370,[1]Diccionario!C$2:AC$150,22,0)</f>
        <v>93771886</v>
      </c>
      <c r="M370" s="18">
        <f>VLOOKUP(E370,[1]Diccionario!C$2:AC$150,24,0)</f>
        <v>45931</v>
      </c>
      <c r="N370" s="19">
        <f>VLOOKUP(E370,[1]Diccionario!C$2:AC$150,25,0)</f>
        <v>47756</v>
      </c>
      <c r="O370" s="20">
        <f>VLOOKUP(E370,[1]Diccionario!C$2:AC$150,26,0)</f>
        <v>59.97</v>
      </c>
      <c r="P370" s="20">
        <f t="shared" si="64"/>
        <v>-17.97</v>
      </c>
      <c r="Q370" s="20">
        <v>42</v>
      </c>
      <c r="R370" s="15">
        <v>56</v>
      </c>
      <c r="S370" s="62">
        <v>0.999</v>
      </c>
      <c r="T370" s="21"/>
      <c r="U370" s="22"/>
      <c r="V370" s="24"/>
      <c r="W370" s="24">
        <f t="shared" si="65"/>
        <v>0</v>
      </c>
      <c r="X370" s="24">
        <f t="shared" si="66"/>
        <v>93678114.113999993</v>
      </c>
      <c r="Y370" s="24">
        <f t="shared" si="67"/>
        <v>0</v>
      </c>
      <c r="Z370" s="24">
        <f t="shared" si="68"/>
        <v>-93678114.113999993</v>
      </c>
      <c r="AA370" s="25" t="str">
        <f t="shared" si="69"/>
        <v>No se realizó gasto en este corte</v>
      </c>
      <c r="AB370" s="26" t="str">
        <f t="shared" si="70"/>
        <v>Costo eficiente: se está gastando menos de lo presupuestado</v>
      </c>
      <c r="AC370" s="26">
        <f t="shared" si="71"/>
        <v>0</v>
      </c>
      <c r="AD370" s="26" t="str">
        <f t="shared" si="72"/>
        <v>Sin Línea Base</v>
      </c>
      <c r="AE370" s="27">
        <f t="shared" si="73"/>
        <v>0</v>
      </c>
      <c r="AF370" s="27">
        <f t="shared" si="74"/>
        <v>-93771886</v>
      </c>
      <c r="AG370" s="28" t="str">
        <f>VLOOKUP(Indicador!E594,[1]Diccionario!C$1:AC$150,27,0)</f>
        <v>https://growdatasas.sharepoint.com/:x:/r/sites/Gestiondocumental/Administrativa/GD/Financiera/_layouts/15/Doc.aspx?sourcedoc=%7B538AADB9-4832-4502-992B-5493EC06C9DB%7D&amp;file=250905%20ERA%20MODELO%20FINANCIERO%20REFERENCIA%20V7.5.xlsm&amp;action=default&amp;mobileredirect=true</v>
      </c>
      <c r="AH370" s="28">
        <v>1</v>
      </c>
      <c r="AI370" s="28">
        <v>1</v>
      </c>
      <c r="AJ370" s="28"/>
      <c r="AK370" s="28"/>
    </row>
    <row r="371" spans="1:37" ht="18.75" customHeight="1" x14ac:dyDescent="0.25">
      <c r="A371" s="11">
        <v>2029</v>
      </c>
      <c r="B371" s="12" t="s">
        <v>49</v>
      </c>
      <c r="C371" s="15" t="s">
        <v>281</v>
      </c>
      <c r="D371" s="39">
        <v>45768.647169212963</v>
      </c>
      <c r="E371" s="15" t="s">
        <v>282</v>
      </c>
      <c r="F371" s="15" t="s">
        <v>151</v>
      </c>
      <c r="G371" s="15" t="s">
        <v>283</v>
      </c>
      <c r="H371" s="15" t="s">
        <v>284</v>
      </c>
      <c r="I371" s="15" t="s">
        <v>63</v>
      </c>
      <c r="J371" s="15" t="s">
        <v>285</v>
      </c>
      <c r="K371" s="15" t="s">
        <v>80</v>
      </c>
      <c r="L371" s="17">
        <f>VLOOKUP(E371,[1]Diccionario!C$2:AC$150,22,0)</f>
        <v>93771886</v>
      </c>
      <c r="M371" s="18">
        <f>VLOOKUP(E371,[1]Diccionario!C$2:AC$150,24,0)</f>
        <v>45931</v>
      </c>
      <c r="N371" s="19">
        <f>VLOOKUP(E371,[1]Diccionario!C$2:AC$150,25,0)</f>
        <v>47756</v>
      </c>
      <c r="O371" s="20">
        <f>VLOOKUP(E371,[1]Diccionario!C$2:AC$150,26,0)</f>
        <v>59.97</v>
      </c>
      <c r="P371" s="20">
        <f t="shared" si="64"/>
        <v>-16.97</v>
      </c>
      <c r="Q371" s="20">
        <v>43</v>
      </c>
      <c r="R371" s="15">
        <v>56</v>
      </c>
      <c r="S371" s="62">
        <v>0.999</v>
      </c>
      <c r="T371" s="21"/>
      <c r="U371" s="22"/>
      <c r="V371" s="24"/>
      <c r="W371" s="24">
        <f t="shared" si="65"/>
        <v>0</v>
      </c>
      <c r="X371" s="24">
        <f t="shared" si="66"/>
        <v>93678114.113999993</v>
      </c>
      <c r="Y371" s="24">
        <f t="shared" si="67"/>
        <v>0</v>
      </c>
      <c r="Z371" s="24">
        <f t="shared" si="68"/>
        <v>-93678114.113999993</v>
      </c>
      <c r="AA371" s="25" t="str">
        <f t="shared" si="69"/>
        <v>No se realizó gasto en este corte</v>
      </c>
      <c r="AB371" s="26" t="str">
        <f t="shared" si="70"/>
        <v>Costo eficiente: se está gastando menos de lo presupuestado</v>
      </c>
      <c r="AC371" s="26">
        <f t="shared" si="71"/>
        <v>0</v>
      </c>
      <c r="AD371" s="26" t="str">
        <f t="shared" si="72"/>
        <v>Sin Línea Base</v>
      </c>
      <c r="AE371" s="27">
        <f t="shared" si="73"/>
        <v>0</v>
      </c>
      <c r="AF371" s="27">
        <f t="shared" si="74"/>
        <v>-93771886</v>
      </c>
      <c r="AG371" s="28" t="str">
        <f>VLOOKUP(Indicador!E595,[1]Diccionario!C$1:AC$150,27,0)</f>
        <v>https://growdatasas.sharepoint.com/:x:/r/sites/Gestiondocumental/Administrativa/GD/Financiera/_layouts/15/Doc.aspx?sourcedoc=%7B538AADB9-4832-4502-992B-5493EC06C9DB%7D&amp;file=250905%20ERA%20MODELO%20FINANCIERO%20REFERENCIA%20V7.5.xlsm&amp;action=default&amp;mobileredirect=true</v>
      </c>
      <c r="AH371" s="28">
        <v>1</v>
      </c>
      <c r="AI371" s="28">
        <v>1</v>
      </c>
      <c r="AJ371" s="28"/>
      <c r="AK371" s="28"/>
    </row>
    <row r="372" spans="1:37" ht="18.75" customHeight="1" x14ac:dyDescent="0.25">
      <c r="A372" s="11">
        <v>2029</v>
      </c>
      <c r="B372" s="12" t="s">
        <v>50</v>
      </c>
      <c r="C372" s="15" t="s">
        <v>281</v>
      </c>
      <c r="D372" s="39">
        <v>45768.647169212963</v>
      </c>
      <c r="E372" s="15" t="s">
        <v>282</v>
      </c>
      <c r="F372" s="15" t="s">
        <v>151</v>
      </c>
      <c r="G372" s="15" t="s">
        <v>283</v>
      </c>
      <c r="H372" s="15" t="s">
        <v>284</v>
      </c>
      <c r="I372" s="15" t="s">
        <v>63</v>
      </c>
      <c r="J372" s="15" t="s">
        <v>285</v>
      </c>
      <c r="K372" s="15" t="s">
        <v>80</v>
      </c>
      <c r="L372" s="17">
        <f>VLOOKUP(E372,[1]Diccionario!C$2:AC$150,22,0)</f>
        <v>93771886</v>
      </c>
      <c r="M372" s="18">
        <f>VLOOKUP(E372,[1]Diccionario!C$2:AC$150,24,0)</f>
        <v>45931</v>
      </c>
      <c r="N372" s="19">
        <f>VLOOKUP(E372,[1]Diccionario!C$2:AC$150,25,0)</f>
        <v>47756</v>
      </c>
      <c r="O372" s="20">
        <f>VLOOKUP(E372,[1]Diccionario!C$2:AC$150,26,0)</f>
        <v>59.97</v>
      </c>
      <c r="P372" s="20">
        <f t="shared" si="64"/>
        <v>-15.969999999999999</v>
      </c>
      <c r="Q372" s="20">
        <v>44</v>
      </c>
      <c r="R372" s="15">
        <v>56</v>
      </c>
      <c r="S372" s="62">
        <v>0.999</v>
      </c>
      <c r="T372" s="21"/>
      <c r="U372" s="22"/>
      <c r="V372" s="24"/>
      <c r="W372" s="24">
        <f t="shared" si="65"/>
        <v>0</v>
      </c>
      <c r="X372" s="24">
        <f t="shared" si="66"/>
        <v>93678114.113999993</v>
      </c>
      <c r="Y372" s="24">
        <f t="shared" si="67"/>
        <v>0</v>
      </c>
      <c r="Z372" s="24">
        <f t="shared" si="68"/>
        <v>-93678114.113999993</v>
      </c>
      <c r="AA372" s="25" t="str">
        <f t="shared" si="69"/>
        <v>No se realizó gasto en este corte</v>
      </c>
      <c r="AB372" s="26" t="str">
        <f t="shared" si="70"/>
        <v>Costo eficiente: se está gastando menos de lo presupuestado</v>
      </c>
      <c r="AC372" s="26">
        <f t="shared" si="71"/>
        <v>0</v>
      </c>
      <c r="AD372" s="26" t="str">
        <f t="shared" si="72"/>
        <v>Sin Línea Base</v>
      </c>
      <c r="AE372" s="27">
        <f t="shared" si="73"/>
        <v>0</v>
      </c>
      <c r="AF372" s="27">
        <f t="shared" si="74"/>
        <v>-93771886</v>
      </c>
      <c r="AG372" s="28" t="str">
        <f>VLOOKUP(Indicador!E596,[1]Diccionario!C$1:AC$150,27,0)</f>
        <v>https://growdatasas.sharepoint.com/:x:/r/sites/Gestiondocumental/Administrativa/GD/Financiera/_layouts/15/Doc.aspx?sourcedoc=%7B538AADB9-4832-4502-992B-5493EC06C9DB%7D&amp;file=250905%20ERA%20MODELO%20FINANCIERO%20REFERENCIA%20V7.5.xlsm&amp;action=default&amp;mobileredirect=true</v>
      </c>
      <c r="AH372" s="28">
        <v>1</v>
      </c>
      <c r="AI372" s="28">
        <v>1</v>
      </c>
      <c r="AJ372" s="28"/>
      <c r="AK372" s="28"/>
    </row>
    <row r="373" spans="1:37" ht="18.75" customHeight="1" x14ac:dyDescent="0.25">
      <c r="A373" s="11">
        <v>2029</v>
      </c>
      <c r="B373" s="12" t="s">
        <v>51</v>
      </c>
      <c r="C373" s="15" t="s">
        <v>281</v>
      </c>
      <c r="D373" s="39">
        <v>45768.647169212963</v>
      </c>
      <c r="E373" s="15" t="s">
        <v>282</v>
      </c>
      <c r="F373" s="15" t="s">
        <v>151</v>
      </c>
      <c r="G373" s="15" t="s">
        <v>283</v>
      </c>
      <c r="H373" s="15" t="s">
        <v>284</v>
      </c>
      <c r="I373" s="15" t="s">
        <v>63</v>
      </c>
      <c r="J373" s="15" t="s">
        <v>285</v>
      </c>
      <c r="K373" s="15" t="s">
        <v>80</v>
      </c>
      <c r="L373" s="17">
        <f>VLOOKUP(E373,[1]Diccionario!C$2:AC$150,22,0)</f>
        <v>93771886</v>
      </c>
      <c r="M373" s="18">
        <f>VLOOKUP(E373,[1]Diccionario!C$2:AC$150,24,0)</f>
        <v>45931</v>
      </c>
      <c r="N373" s="19">
        <f>VLOOKUP(E373,[1]Diccionario!C$2:AC$150,25,0)</f>
        <v>47756</v>
      </c>
      <c r="O373" s="20">
        <f>VLOOKUP(E373,[1]Diccionario!C$2:AC$150,26,0)</f>
        <v>59.97</v>
      </c>
      <c r="P373" s="20">
        <f t="shared" si="64"/>
        <v>-14.969999999999999</v>
      </c>
      <c r="Q373" s="20">
        <v>45</v>
      </c>
      <c r="R373" s="15">
        <v>56</v>
      </c>
      <c r="S373" s="62">
        <v>0.999</v>
      </c>
      <c r="T373" s="21"/>
      <c r="U373" s="22"/>
      <c r="V373" s="24"/>
      <c r="W373" s="24">
        <f t="shared" si="65"/>
        <v>0</v>
      </c>
      <c r="X373" s="24">
        <f t="shared" si="66"/>
        <v>93678114.113999993</v>
      </c>
      <c r="Y373" s="24">
        <f t="shared" si="67"/>
        <v>0</v>
      </c>
      <c r="Z373" s="24">
        <f t="shared" si="68"/>
        <v>-93678114.113999993</v>
      </c>
      <c r="AA373" s="25" t="str">
        <f t="shared" si="69"/>
        <v>No se realizó gasto en este corte</v>
      </c>
      <c r="AB373" s="26" t="str">
        <f t="shared" si="70"/>
        <v>Costo eficiente: se está gastando menos de lo presupuestado</v>
      </c>
      <c r="AC373" s="26">
        <f t="shared" si="71"/>
        <v>0</v>
      </c>
      <c r="AD373" s="26" t="str">
        <f t="shared" si="72"/>
        <v>Sin Línea Base</v>
      </c>
      <c r="AE373" s="27">
        <f t="shared" si="73"/>
        <v>0</v>
      </c>
      <c r="AF373" s="27">
        <f t="shared" si="74"/>
        <v>-93771886</v>
      </c>
      <c r="AG373" s="28" t="str">
        <f>VLOOKUP(Indicador!E597,[1]Diccionario!C$1:AC$150,27,0)</f>
        <v>https://growdatasas.sharepoint.com/:x:/r/sites/Gestiondocumental/Administrativa/GD/Financiera/_layouts/15/Doc.aspx?sourcedoc=%7B538AADB9-4832-4502-992B-5493EC06C9DB%7D&amp;file=250905%20ERA%20MODELO%20FINANCIERO%20REFERENCIA%20V7.5.xlsm&amp;action=default&amp;mobileredirect=true</v>
      </c>
      <c r="AH373" s="28">
        <v>1</v>
      </c>
      <c r="AI373" s="28">
        <v>1</v>
      </c>
      <c r="AJ373" s="28"/>
      <c r="AK373" s="28"/>
    </row>
    <row r="374" spans="1:37" ht="18.75" customHeight="1" x14ac:dyDescent="0.25">
      <c r="A374" s="11">
        <v>2029</v>
      </c>
      <c r="B374" s="12" t="s">
        <v>52</v>
      </c>
      <c r="C374" s="15" t="s">
        <v>281</v>
      </c>
      <c r="D374" s="39">
        <v>45768.647169212963</v>
      </c>
      <c r="E374" s="15" t="s">
        <v>282</v>
      </c>
      <c r="F374" s="15" t="s">
        <v>151</v>
      </c>
      <c r="G374" s="15" t="s">
        <v>283</v>
      </c>
      <c r="H374" s="15" t="s">
        <v>284</v>
      </c>
      <c r="I374" s="15" t="s">
        <v>63</v>
      </c>
      <c r="J374" s="15" t="s">
        <v>285</v>
      </c>
      <c r="K374" s="15" t="s">
        <v>80</v>
      </c>
      <c r="L374" s="17">
        <f>VLOOKUP(E374,[1]Diccionario!C$2:AC$150,22,0)</f>
        <v>93771886</v>
      </c>
      <c r="M374" s="18">
        <f>VLOOKUP(E374,[1]Diccionario!C$2:AC$150,24,0)</f>
        <v>45931</v>
      </c>
      <c r="N374" s="19">
        <f>VLOOKUP(E374,[1]Diccionario!C$2:AC$150,25,0)</f>
        <v>47756</v>
      </c>
      <c r="O374" s="20">
        <f>VLOOKUP(E374,[1]Diccionario!C$2:AC$150,26,0)</f>
        <v>59.97</v>
      </c>
      <c r="P374" s="20">
        <f t="shared" si="64"/>
        <v>-13.969999999999999</v>
      </c>
      <c r="Q374" s="20">
        <v>46</v>
      </c>
      <c r="R374" s="15">
        <v>56</v>
      </c>
      <c r="S374" s="62">
        <v>0.999</v>
      </c>
      <c r="T374" s="21"/>
      <c r="U374" s="22"/>
      <c r="V374" s="24"/>
      <c r="W374" s="24">
        <f t="shared" si="65"/>
        <v>0</v>
      </c>
      <c r="X374" s="24">
        <f t="shared" si="66"/>
        <v>93678114.113999993</v>
      </c>
      <c r="Y374" s="24">
        <f t="shared" si="67"/>
        <v>0</v>
      </c>
      <c r="Z374" s="24">
        <f t="shared" si="68"/>
        <v>-93678114.113999993</v>
      </c>
      <c r="AA374" s="25" t="str">
        <f t="shared" si="69"/>
        <v>No se realizó gasto en este corte</v>
      </c>
      <c r="AB374" s="26" t="str">
        <f t="shared" si="70"/>
        <v>Costo eficiente: se está gastando menos de lo presupuestado</v>
      </c>
      <c r="AC374" s="26">
        <f t="shared" si="71"/>
        <v>0</v>
      </c>
      <c r="AD374" s="26" t="str">
        <f t="shared" si="72"/>
        <v>Sin Línea Base</v>
      </c>
      <c r="AE374" s="27">
        <f t="shared" si="73"/>
        <v>0</v>
      </c>
      <c r="AF374" s="27">
        <f t="shared" si="74"/>
        <v>-93771886</v>
      </c>
      <c r="AG374" s="28" t="str">
        <f>VLOOKUP(Indicador!E598,[1]Diccionario!C$1:AC$150,27,0)</f>
        <v>https://growdatasas.sharepoint.com/:x:/r/sites/Gestiondocumental/Administrativa/GD/Financiera/_layouts/15/Doc.aspx?sourcedoc=%7B538AADB9-4832-4502-992B-5493EC06C9DB%7D&amp;file=250905%20ERA%20MODELO%20FINANCIERO%20REFERENCIA%20V7.5.xlsm&amp;action=default&amp;mobileredirect=true</v>
      </c>
      <c r="AH374" s="28">
        <v>1</v>
      </c>
      <c r="AI374" s="28">
        <v>1</v>
      </c>
      <c r="AJ374" s="28"/>
      <c r="AK374" s="28"/>
    </row>
    <row r="375" spans="1:37" ht="18.75" customHeight="1" x14ac:dyDescent="0.25">
      <c r="A375" s="11">
        <v>2029</v>
      </c>
      <c r="B375" s="12" t="s">
        <v>53</v>
      </c>
      <c r="C375" s="15" t="s">
        <v>281</v>
      </c>
      <c r="D375" s="39">
        <v>45768.647169212963</v>
      </c>
      <c r="E375" s="15" t="s">
        <v>282</v>
      </c>
      <c r="F375" s="15" t="s">
        <v>151</v>
      </c>
      <c r="G375" s="15" t="s">
        <v>283</v>
      </c>
      <c r="H375" s="15" t="s">
        <v>284</v>
      </c>
      <c r="I375" s="15" t="s">
        <v>63</v>
      </c>
      <c r="J375" s="15" t="s">
        <v>285</v>
      </c>
      <c r="K375" s="15" t="s">
        <v>80</v>
      </c>
      <c r="L375" s="17">
        <f>VLOOKUP(E375,[1]Diccionario!C$2:AC$150,22,0)</f>
        <v>93771886</v>
      </c>
      <c r="M375" s="18">
        <f>VLOOKUP(E375,[1]Diccionario!C$2:AC$150,24,0)</f>
        <v>45931</v>
      </c>
      <c r="N375" s="19">
        <f>VLOOKUP(E375,[1]Diccionario!C$2:AC$150,25,0)</f>
        <v>47756</v>
      </c>
      <c r="O375" s="20">
        <f>VLOOKUP(E375,[1]Diccionario!C$2:AC$150,26,0)</f>
        <v>59.97</v>
      </c>
      <c r="P375" s="20">
        <f t="shared" si="64"/>
        <v>-12.969999999999999</v>
      </c>
      <c r="Q375" s="20">
        <v>47</v>
      </c>
      <c r="R375" s="15">
        <v>56</v>
      </c>
      <c r="S375" s="62">
        <v>0.999</v>
      </c>
      <c r="T375" s="21"/>
      <c r="U375" s="22"/>
      <c r="V375" s="24"/>
      <c r="W375" s="24">
        <f t="shared" si="65"/>
        <v>0</v>
      </c>
      <c r="X375" s="24">
        <f t="shared" si="66"/>
        <v>93678114.113999993</v>
      </c>
      <c r="Y375" s="24">
        <f t="shared" si="67"/>
        <v>0</v>
      </c>
      <c r="Z375" s="24">
        <f t="shared" si="68"/>
        <v>-93678114.113999993</v>
      </c>
      <c r="AA375" s="25" t="str">
        <f t="shared" si="69"/>
        <v>No se realizó gasto en este corte</v>
      </c>
      <c r="AB375" s="26" t="str">
        <f t="shared" si="70"/>
        <v>Costo eficiente: se está gastando menos de lo presupuestado</v>
      </c>
      <c r="AC375" s="26">
        <f t="shared" si="71"/>
        <v>0</v>
      </c>
      <c r="AD375" s="26" t="str">
        <f t="shared" si="72"/>
        <v>Sin Línea Base</v>
      </c>
      <c r="AE375" s="27">
        <f t="shared" si="73"/>
        <v>0</v>
      </c>
      <c r="AF375" s="27">
        <f t="shared" si="74"/>
        <v>-93771886</v>
      </c>
      <c r="AG375" s="28" t="str">
        <f>VLOOKUP(Indicador!E599,[1]Diccionario!C$1:AC$150,27,0)</f>
        <v>https://growdatasas.sharepoint.com/:x:/r/sites/Gestiondocumental/Administrativa/GD/Financiera/_layouts/15/Doc.aspx?sourcedoc=%7B538AADB9-4832-4502-992B-5493EC06C9DB%7D&amp;file=250905%20ERA%20MODELO%20FINANCIERO%20REFERENCIA%20V7.5.xlsm&amp;action=default&amp;mobileredirect=true</v>
      </c>
      <c r="AH375" s="28">
        <v>1</v>
      </c>
      <c r="AI375" s="28">
        <v>1</v>
      </c>
      <c r="AJ375" s="28"/>
      <c r="AK375" s="28"/>
    </row>
    <row r="376" spans="1:37" ht="18.75" customHeight="1" x14ac:dyDescent="0.25">
      <c r="A376" s="11">
        <v>2029</v>
      </c>
      <c r="B376" s="12" t="s">
        <v>54</v>
      </c>
      <c r="C376" s="15" t="s">
        <v>281</v>
      </c>
      <c r="D376" s="39">
        <v>45768.647169212963</v>
      </c>
      <c r="E376" s="15" t="s">
        <v>282</v>
      </c>
      <c r="F376" s="15" t="s">
        <v>151</v>
      </c>
      <c r="G376" s="15" t="s">
        <v>283</v>
      </c>
      <c r="H376" s="15" t="s">
        <v>284</v>
      </c>
      <c r="I376" s="15" t="s">
        <v>63</v>
      </c>
      <c r="J376" s="15" t="s">
        <v>285</v>
      </c>
      <c r="K376" s="15" t="s">
        <v>80</v>
      </c>
      <c r="L376" s="17">
        <f>VLOOKUP(E376,[1]Diccionario!C$2:AC$150,22,0)</f>
        <v>93771886</v>
      </c>
      <c r="M376" s="18">
        <f>VLOOKUP(E376,[1]Diccionario!C$2:AC$150,24,0)</f>
        <v>45931</v>
      </c>
      <c r="N376" s="19">
        <f>VLOOKUP(E376,[1]Diccionario!C$2:AC$150,25,0)</f>
        <v>47756</v>
      </c>
      <c r="O376" s="20">
        <f>VLOOKUP(E376,[1]Diccionario!C$2:AC$150,26,0)</f>
        <v>59.97</v>
      </c>
      <c r="P376" s="20">
        <f t="shared" si="64"/>
        <v>-11.969999999999999</v>
      </c>
      <c r="Q376" s="20">
        <v>48</v>
      </c>
      <c r="R376" s="15">
        <v>56</v>
      </c>
      <c r="S376" s="62">
        <v>0.999</v>
      </c>
      <c r="T376" s="21"/>
      <c r="U376" s="22"/>
      <c r="V376" s="24"/>
      <c r="W376" s="24">
        <f t="shared" si="65"/>
        <v>0</v>
      </c>
      <c r="X376" s="24">
        <f t="shared" si="66"/>
        <v>93678114.113999993</v>
      </c>
      <c r="Y376" s="24">
        <f t="shared" si="67"/>
        <v>0</v>
      </c>
      <c r="Z376" s="24">
        <f t="shared" si="68"/>
        <v>-93678114.113999993</v>
      </c>
      <c r="AA376" s="25" t="str">
        <f t="shared" si="69"/>
        <v>No se realizó gasto en este corte</v>
      </c>
      <c r="AB376" s="26" t="str">
        <f t="shared" si="70"/>
        <v>Costo eficiente: se está gastando menos de lo presupuestado</v>
      </c>
      <c r="AC376" s="26">
        <f t="shared" si="71"/>
        <v>0</v>
      </c>
      <c r="AD376" s="26" t="str">
        <f t="shared" si="72"/>
        <v>Sin Línea Base</v>
      </c>
      <c r="AE376" s="27">
        <f t="shared" si="73"/>
        <v>0</v>
      </c>
      <c r="AF376" s="27">
        <f t="shared" si="74"/>
        <v>-93771886</v>
      </c>
      <c r="AG376" s="28" t="str">
        <f>VLOOKUP(Indicador!E600,[1]Diccionario!C$1:AC$150,27,0)</f>
        <v>https://growdatasas.sharepoint.com/:x:/r/sites/Gestiondocumental/Administrativa/GD/Financiera/_layouts/15/Doc.aspx?sourcedoc=%7B538AADB9-4832-4502-992B-5493EC06C9DB%7D&amp;file=250905%20ERA%20MODELO%20FINANCIERO%20REFERENCIA%20V7.5.xlsm&amp;action=default&amp;mobileredirect=true</v>
      </c>
      <c r="AH376" s="28">
        <v>1</v>
      </c>
      <c r="AI376" s="28">
        <v>1</v>
      </c>
      <c r="AJ376" s="28"/>
      <c r="AK376" s="28"/>
    </row>
    <row r="377" spans="1:37" ht="18.75" customHeight="1" x14ac:dyDescent="0.25">
      <c r="A377" s="11">
        <v>2029</v>
      </c>
      <c r="B377" s="12" t="s">
        <v>55</v>
      </c>
      <c r="C377" s="15" t="s">
        <v>281</v>
      </c>
      <c r="D377" s="39">
        <v>45768.647169212963</v>
      </c>
      <c r="E377" s="15" t="s">
        <v>282</v>
      </c>
      <c r="F377" s="15" t="s">
        <v>151</v>
      </c>
      <c r="G377" s="15" t="s">
        <v>283</v>
      </c>
      <c r="H377" s="15" t="s">
        <v>284</v>
      </c>
      <c r="I377" s="15" t="s">
        <v>63</v>
      </c>
      <c r="J377" s="15" t="s">
        <v>285</v>
      </c>
      <c r="K377" s="15" t="s">
        <v>80</v>
      </c>
      <c r="L377" s="17">
        <f>VLOOKUP(E377,[1]Diccionario!C$2:AC$150,22,0)</f>
        <v>93771886</v>
      </c>
      <c r="M377" s="18">
        <f>VLOOKUP(E377,[1]Diccionario!C$2:AC$150,24,0)</f>
        <v>45931</v>
      </c>
      <c r="N377" s="19">
        <f>VLOOKUP(E377,[1]Diccionario!C$2:AC$150,25,0)</f>
        <v>47756</v>
      </c>
      <c r="O377" s="20">
        <f>VLOOKUP(E377,[1]Diccionario!C$2:AC$150,26,0)</f>
        <v>59.97</v>
      </c>
      <c r="P377" s="20">
        <f t="shared" si="64"/>
        <v>-10.969999999999999</v>
      </c>
      <c r="Q377" s="20">
        <v>49</v>
      </c>
      <c r="R377" s="15">
        <v>56</v>
      </c>
      <c r="S377" s="62">
        <v>0.999</v>
      </c>
      <c r="T377" s="21"/>
      <c r="U377" s="22"/>
      <c r="V377" s="24"/>
      <c r="W377" s="24">
        <f t="shared" si="65"/>
        <v>0</v>
      </c>
      <c r="X377" s="24">
        <f t="shared" si="66"/>
        <v>93678114.113999993</v>
      </c>
      <c r="Y377" s="24">
        <f t="shared" si="67"/>
        <v>0</v>
      </c>
      <c r="Z377" s="24">
        <f t="shared" si="68"/>
        <v>-93678114.113999993</v>
      </c>
      <c r="AA377" s="25" t="str">
        <f t="shared" si="69"/>
        <v>No se realizó gasto en este corte</v>
      </c>
      <c r="AB377" s="26" t="str">
        <f t="shared" si="70"/>
        <v>Costo eficiente: se está gastando menos de lo presupuestado</v>
      </c>
      <c r="AC377" s="26">
        <f t="shared" si="71"/>
        <v>0</v>
      </c>
      <c r="AD377" s="26" t="str">
        <f t="shared" si="72"/>
        <v>Sin Línea Base</v>
      </c>
      <c r="AE377" s="27">
        <f t="shared" si="73"/>
        <v>0</v>
      </c>
      <c r="AF377" s="27">
        <f t="shared" si="74"/>
        <v>-93771886</v>
      </c>
      <c r="AG377" s="28" t="str">
        <f>VLOOKUP(Indicador!E601,[1]Diccionario!C$1:AC$150,27,0)</f>
        <v>https://growdatasas.sharepoint.com/:x:/r/sites/Gestiondocumental/Administrativa/GD/Financiera/_layouts/15/Doc.aspx?sourcedoc=%7B538AADB9-4832-4502-992B-5493EC06C9DB%7D&amp;file=250905%20ERA%20MODELO%20FINANCIERO%20REFERENCIA%20V7.5.xlsm&amp;action=default&amp;mobileredirect=true</v>
      </c>
      <c r="AH377" s="28">
        <v>1</v>
      </c>
      <c r="AI377" s="28">
        <v>1</v>
      </c>
      <c r="AJ377" s="28"/>
      <c r="AK377" s="28"/>
    </row>
    <row r="378" spans="1:37" ht="18.75" customHeight="1" x14ac:dyDescent="0.25">
      <c r="A378" s="11">
        <v>2029</v>
      </c>
      <c r="B378" s="12" t="s">
        <v>56</v>
      </c>
      <c r="C378" s="15" t="s">
        <v>281</v>
      </c>
      <c r="D378" s="39">
        <v>45768.647169212963</v>
      </c>
      <c r="E378" s="15" t="s">
        <v>282</v>
      </c>
      <c r="F378" s="15" t="s">
        <v>151</v>
      </c>
      <c r="G378" s="15" t="s">
        <v>283</v>
      </c>
      <c r="H378" s="15" t="s">
        <v>284</v>
      </c>
      <c r="I378" s="15" t="s">
        <v>63</v>
      </c>
      <c r="J378" s="15" t="s">
        <v>285</v>
      </c>
      <c r="K378" s="15" t="s">
        <v>80</v>
      </c>
      <c r="L378" s="17">
        <f>VLOOKUP(E378,[1]Diccionario!C$2:AC$150,22,0)</f>
        <v>93771886</v>
      </c>
      <c r="M378" s="18">
        <f>VLOOKUP(E378,[1]Diccionario!C$2:AC$150,24,0)</f>
        <v>45931</v>
      </c>
      <c r="N378" s="19">
        <f>VLOOKUP(E378,[1]Diccionario!C$2:AC$150,25,0)</f>
        <v>47756</v>
      </c>
      <c r="O378" s="20">
        <f>VLOOKUP(E378,[1]Diccionario!C$2:AC$150,26,0)</f>
        <v>59.97</v>
      </c>
      <c r="P378" s="20">
        <f t="shared" si="64"/>
        <v>-9.9699999999999989</v>
      </c>
      <c r="Q378" s="20">
        <v>50</v>
      </c>
      <c r="R378" s="15">
        <v>56</v>
      </c>
      <c r="S378" s="62">
        <v>0.999</v>
      </c>
      <c r="T378" s="21"/>
      <c r="U378" s="22"/>
      <c r="V378" s="24"/>
      <c r="W378" s="24">
        <f t="shared" si="65"/>
        <v>0</v>
      </c>
      <c r="X378" s="24">
        <f t="shared" si="66"/>
        <v>93678114.113999993</v>
      </c>
      <c r="Y378" s="24">
        <f t="shared" si="67"/>
        <v>0</v>
      </c>
      <c r="Z378" s="24">
        <f t="shared" si="68"/>
        <v>-93678114.113999993</v>
      </c>
      <c r="AA378" s="25" t="str">
        <f t="shared" si="69"/>
        <v>No se realizó gasto en este corte</v>
      </c>
      <c r="AB378" s="26" t="str">
        <f t="shared" si="70"/>
        <v>Costo eficiente: se está gastando menos de lo presupuestado</v>
      </c>
      <c r="AC378" s="26">
        <f t="shared" si="71"/>
        <v>0</v>
      </c>
      <c r="AD378" s="26" t="str">
        <f t="shared" si="72"/>
        <v>Sin Línea Base</v>
      </c>
      <c r="AE378" s="27">
        <f t="shared" si="73"/>
        <v>0</v>
      </c>
      <c r="AF378" s="27">
        <f t="shared" si="74"/>
        <v>-93771886</v>
      </c>
      <c r="AG378" s="28" t="str">
        <f>VLOOKUP(Indicador!E602,[1]Diccionario!C$1:AC$150,27,0)</f>
        <v>https://growdatasas.sharepoint.com/:x:/r/sites/Gestiondocumental/Administrativa/GD/Financiera/_layouts/15/Doc.aspx?sourcedoc=%7B538AADB9-4832-4502-992B-5493EC06C9DB%7D&amp;file=250905%20ERA%20MODELO%20FINANCIERO%20REFERENCIA%20V7.5.xlsm&amp;action=default&amp;mobileredirect=true</v>
      </c>
      <c r="AH378" s="28">
        <v>1</v>
      </c>
      <c r="AI378" s="28">
        <v>1</v>
      </c>
      <c r="AJ378" s="28"/>
      <c r="AK378" s="28"/>
    </row>
    <row r="379" spans="1:37" ht="18.75" customHeight="1" x14ac:dyDescent="0.25">
      <c r="A379" s="11">
        <v>2029</v>
      </c>
      <c r="B379" s="12" t="s">
        <v>57</v>
      </c>
      <c r="C379" s="15" t="s">
        <v>281</v>
      </c>
      <c r="D379" s="39">
        <v>45768.647169212963</v>
      </c>
      <c r="E379" s="15" t="s">
        <v>282</v>
      </c>
      <c r="F379" s="15" t="s">
        <v>151</v>
      </c>
      <c r="G379" s="15" t="s">
        <v>283</v>
      </c>
      <c r="H379" s="15" t="s">
        <v>284</v>
      </c>
      <c r="I379" s="15" t="s">
        <v>63</v>
      </c>
      <c r="J379" s="15" t="s">
        <v>285</v>
      </c>
      <c r="K379" s="15" t="s">
        <v>80</v>
      </c>
      <c r="L379" s="17">
        <f>VLOOKUP(E379,[1]Diccionario!C$2:AC$150,22,0)</f>
        <v>93771886</v>
      </c>
      <c r="M379" s="18">
        <f>VLOOKUP(E379,[1]Diccionario!C$2:AC$150,24,0)</f>
        <v>45931</v>
      </c>
      <c r="N379" s="19">
        <f>VLOOKUP(E379,[1]Diccionario!C$2:AC$150,25,0)</f>
        <v>47756</v>
      </c>
      <c r="O379" s="20">
        <f>VLOOKUP(E379,[1]Diccionario!C$2:AC$150,26,0)</f>
        <v>59.97</v>
      </c>
      <c r="P379" s="20">
        <f t="shared" si="64"/>
        <v>-8.9699999999999989</v>
      </c>
      <c r="Q379" s="20">
        <v>51</v>
      </c>
      <c r="R379" s="15">
        <v>56</v>
      </c>
      <c r="S379" s="62">
        <v>0.999</v>
      </c>
      <c r="T379" s="21"/>
      <c r="U379" s="22"/>
      <c r="V379" s="24"/>
      <c r="W379" s="24">
        <f t="shared" si="65"/>
        <v>0</v>
      </c>
      <c r="X379" s="24">
        <f t="shared" si="66"/>
        <v>93678114.113999993</v>
      </c>
      <c r="Y379" s="24">
        <f t="shared" si="67"/>
        <v>0</v>
      </c>
      <c r="Z379" s="24">
        <f t="shared" si="68"/>
        <v>-93678114.113999993</v>
      </c>
      <c r="AA379" s="25" t="str">
        <f t="shared" si="69"/>
        <v>No se realizó gasto en este corte</v>
      </c>
      <c r="AB379" s="26" t="str">
        <f t="shared" si="70"/>
        <v>Costo eficiente: se está gastando menos de lo presupuestado</v>
      </c>
      <c r="AC379" s="26">
        <f t="shared" si="71"/>
        <v>0</v>
      </c>
      <c r="AD379" s="26" t="str">
        <f t="shared" si="72"/>
        <v>Sin Línea Base</v>
      </c>
      <c r="AE379" s="27">
        <f t="shared" si="73"/>
        <v>0</v>
      </c>
      <c r="AF379" s="27">
        <f t="shared" si="74"/>
        <v>-93771886</v>
      </c>
      <c r="AG379" s="28" t="str">
        <f>VLOOKUP(Indicador!E603,[1]Diccionario!C$1:AC$150,27,0)</f>
        <v>https://growdatasas.sharepoint.com/:x:/r/sites/Gestiondocumental/Administrativa/GD/Financiera/_layouts/15/Doc.aspx?sourcedoc=%7B538AADB9-4832-4502-992B-5493EC06C9DB%7D&amp;file=250905%20ERA%20MODELO%20FINANCIERO%20REFERENCIA%20V7.5.xlsm&amp;action=default&amp;mobileredirect=true</v>
      </c>
      <c r="AH379" s="28">
        <v>1</v>
      </c>
      <c r="AI379" s="28">
        <v>1</v>
      </c>
      <c r="AJ379" s="28"/>
      <c r="AK379" s="28"/>
    </row>
    <row r="380" spans="1:37" ht="18.75" customHeight="1" x14ac:dyDescent="0.25">
      <c r="A380" s="11">
        <v>2030</v>
      </c>
      <c r="B380" s="12" t="s">
        <v>37</v>
      </c>
      <c r="C380" s="15" t="s">
        <v>281</v>
      </c>
      <c r="D380" s="39">
        <v>45768.647169212963</v>
      </c>
      <c r="E380" s="15" t="s">
        <v>282</v>
      </c>
      <c r="F380" s="15" t="s">
        <v>151</v>
      </c>
      <c r="G380" s="15" t="s">
        <v>283</v>
      </c>
      <c r="H380" s="15" t="s">
        <v>284</v>
      </c>
      <c r="I380" s="15" t="s">
        <v>63</v>
      </c>
      <c r="J380" s="15" t="s">
        <v>285</v>
      </c>
      <c r="K380" s="15" t="s">
        <v>80</v>
      </c>
      <c r="L380" s="17">
        <f>VLOOKUP(E380,[1]Diccionario!C$2:AC$150,22,0)</f>
        <v>93771886</v>
      </c>
      <c r="M380" s="18">
        <f>VLOOKUP(E380,[1]Diccionario!C$2:AC$150,24,0)</f>
        <v>45931</v>
      </c>
      <c r="N380" s="19">
        <f>VLOOKUP(E380,[1]Diccionario!C$2:AC$150,25,0)</f>
        <v>47756</v>
      </c>
      <c r="O380" s="20">
        <f>VLOOKUP(E380,[1]Diccionario!C$2:AC$150,26,0)</f>
        <v>59.97</v>
      </c>
      <c r="P380" s="20">
        <f t="shared" si="64"/>
        <v>-7.9699999999999989</v>
      </c>
      <c r="Q380" s="20">
        <v>52</v>
      </c>
      <c r="R380" s="15">
        <v>56</v>
      </c>
      <c r="S380" s="62">
        <v>0.999</v>
      </c>
      <c r="T380" s="21"/>
      <c r="U380" s="22"/>
      <c r="V380" s="24"/>
      <c r="W380" s="24">
        <f t="shared" si="65"/>
        <v>0</v>
      </c>
      <c r="X380" s="24">
        <f t="shared" si="66"/>
        <v>93678114.113999993</v>
      </c>
      <c r="Y380" s="24">
        <f t="shared" si="67"/>
        <v>0</v>
      </c>
      <c r="Z380" s="24">
        <f t="shared" si="68"/>
        <v>-93678114.113999993</v>
      </c>
      <c r="AA380" s="25" t="str">
        <f t="shared" si="69"/>
        <v>No se realizó gasto en este corte</v>
      </c>
      <c r="AB380" s="26" t="str">
        <f t="shared" si="70"/>
        <v>Costo eficiente: se está gastando menos de lo presupuestado</v>
      </c>
      <c r="AC380" s="26">
        <f t="shared" si="71"/>
        <v>0</v>
      </c>
      <c r="AD380" s="26" t="str">
        <f t="shared" si="72"/>
        <v>Sin Línea Base</v>
      </c>
      <c r="AE380" s="27">
        <f t="shared" si="73"/>
        <v>0</v>
      </c>
      <c r="AF380" s="27">
        <f t="shared" si="74"/>
        <v>-93771886</v>
      </c>
      <c r="AG380" s="28" t="str">
        <f>VLOOKUP(Indicador!E604,[1]Diccionario!C$1:AC$150,27,0)</f>
        <v>https://growdatasas.sharepoint.com/:x:/r/sites/Gestiondocumental/Administrativa/GD/Financiera/_layouts/15/Doc.aspx?sourcedoc=%7B538AADB9-4832-4502-992B-5493EC06C9DB%7D&amp;file=250905%20ERA%20MODELO%20FINANCIERO%20REFERENCIA%20V7.5.xlsm&amp;action=default&amp;mobileredirect=true</v>
      </c>
      <c r="AH380" s="28">
        <v>1</v>
      </c>
      <c r="AI380" s="28">
        <v>1</v>
      </c>
      <c r="AJ380" s="28"/>
      <c r="AK380" s="28"/>
    </row>
    <row r="381" spans="1:37" ht="18.75" customHeight="1" x14ac:dyDescent="0.25">
      <c r="A381" s="11">
        <v>2030</v>
      </c>
      <c r="B381" s="12" t="s">
        <v>47</v>
      </c>
      <c r="C381" s="15" t="s">
        <v>281</v>
      </c>
      <c r="D381" s="39">
        <v>45768.647169212963</v>
      </c>
      <c r="E381" s="15" t="s">
        <v>282</v>
      </c>
      <c r="F381" s="15" t="s">
        <v>151</v>
      </c>
      <c r="G381" s="15" t="s">
        <v>283</v>
      </c>
      <c r="H381" s="15" t="s">
        <v>284</v>
      </c>
      <c r="I381" s="15" t="s">
        <v>63</v>
      </c>
      <c r="J381" s="15" t="s">
        <v>285</v>
      </c>
      <c r="K381" s="15" t="s">
        <v>80</v>
      </c>
      <c r="L381" s="17">
        <f>VLOOKUP(E381,[1]Diccionario!C$2:AC$150,22,0)</f>
        <v>93771886</v>
      </c>
      <c r="M381" s="18">
        <f>VLOOKUP(E381,[1]Diccionario!C$2:AC$150,24,0)</f>
        <v>45931</v>
      </c>
      <c r="N381" s="19">
        <f>VLOOKUP(E381,[1]Diccionario!C$2:AC$150,25,0)</f>
        <v>47756</v>
      </c>
      <c r="O381" s="20">
        <f>VLOOKUP(E381,[1]Diccionario!C$2:AC$150,26,0)</f>
        <v>59.97</v>
      </c>
      <c r="P381" s="20">
        <f t="shared" si="64"/>
        <v>-6.9699999999999989</v>
      </c>
      <c r="Q381" s="20">
        <v>53</v>
      </c>
      <c r="R381" s="15">
        <v>56</v>
      </c>
      <c r="S381" s="62">
        <v>0.999</v>
      </c>
      <c r="T381" s="21"/>
      <c r="U381" s="22"/>
      <c r="V381" s="24"/>
      <c r="W381" s="24">
        <f t="shared" si="65"/>
        <v>0</v>
      </c>
      <c r="X381" s="24">
        <f t="shared" si="66"/>
        <v>93678114.113999993</v>
      </c>
      <c r="Y381" s="24">
        <f t="shared" si="67"/>
        <v>0</v>
      </c>
      <c r="Z381" s="24">
        <f t="shared" si="68"/>
        <v>-93678114.113999993</v>
      </c>
      <c r="AA381" s="25" t="str">
        <f t="shared" si="69"/>
        <v>No se realizó gasto en este corte</v>
      </c>
      <c r="AB381" s="26" t="str">
        <f t="shared" si="70"/>
        <v>Costo eficiente: se está gastando menos de lo presupuestado</v>
      </c>
      <c r="AC381" s="26">
        <f t="shared" si="71"/>
        <v>0</v>
      </c>
      <c r="AD381" s="26" t="str">
        <f t="shared" si="72"/>
        <v>Sin Línea Base</v>
      </c>
      <c r="AE381" s="27">
        <f t="shared" si="73"/>
        <v>0</v>
      </c>
      <c r="AF381" s="27">
        <f t="shared" si="74"/>
        <v>-93771886</v>
      </c>
      <c r="AG381" s="28" t="str">
        <f>VLOOKUP(Indicador!E605,[1]Diccionario!C$1:AC$150,27,0)</f>
        <v>https://growdatasas.sharepoint.com/:x:/r/sites/Gestiondocumental/Administrativa/GD/Financiera/_layouts/15/Doc.aspx?sourcedoc=%7B538AADB9-4832-4502-992B-5493EC06C9DB%7D&amp;file=250905%20ERA%20MODELO%20FINANCIERO%20REFERENCIA%20V7.5.xlsm&amp;action=default&amp;mobileredirect=true</v>
      </c>
      <c r="AH381" s="28">
        <v>1</v>
      </c>
      <c r="AI381" s="28">
        <v>1</v>
      </c>
      <c r="AJ381" s="28"/>
      <c r="AK381" s="28"/>
    </row>
    <row r="382" spans="1:37" ht="18.75" customHeight="1" x14ac:dyDescent="0.25">
      <c r="A382" s="11">
        <v>2030</v>
      </c>
      <c r="B382" s="12" t="s">
        <v>48</v>
      </c>
      <c r="C382" s="15" t="s">
        <v>281</v>
      </c>
      <c r="D382" s="39">
        <v>45768.647169212963</v>
      </c>
      <c r="E382" s="15" t="s">
        <v>282</v>
      </c>
      <c r="F382" s="15" t="s">
        <v>151</v>
      </c>
      <c r="G382" s="15" t="s">
        <v>283</v>
      </c>
      <c r="H382" s="15" t="s">
        <v>284</v>
      </c>
      <c r="I382" s="15" t="s">
        <v>63</v>
      </c>
      <c r="J382" s="15" t="s">
        <v>285</v>
      </c>
      <c r="K382" s="15" t="s">
        <v>80</v>
      </c>
      <c r="L382" s="17">
        <f>VLOOKUP(E382,[1]Diccionario!C$2:AC$150,22,0)</f>
        <v>93771886</v>
      </c>
      <c r="M382" s="18">
        <f>VLOOKUP(E382,[1]Diccionario!C$2:AC$150,24,0)</f>
        <v>45931</v>
      </c>
      <c r="N382" s="19">
        <f>VLOOKUP(E382,[1]Diccionario!C$2:AC$150,25,0)</f>
        <v>47756</v>
      </c>
      <c r="O382" s="20">
        <f>VLOOKUP(E382,[1]Diccionario!C$2:AC$150,26,0)</f>
        <v>59.97</v>
      </c>
      <c r="P382" s="20">
        <f t="shared" si="64"/>
        <v>-5.9699999999999989</v>
      </c>
      <c r="Q382" s="20">
        <v>54</v>
      </c>
      <c r="R382" s="15">
        <v>56</v>
      </c>
      <c r="S382" s="62">
        <v>0.999</v>
      </c>
      <c r="T382" s="21"/>
      <c r="U382" s="22"/>
      <c r="V382" s="24"/>
      <c r="W382" s="24">
        <f t="shared" si="65"/>
        <v>0</v>
      </c>
      <c r="X382" s="24">
        <f t="shared" si="66"/>
        <v>93678114.113999993</v>
      </c>
      <c r="Y382" s="24">
        <f t="shared" si="67"/>
        <v>0</v>
      </c>
      <c r="Z382" s="24">
        <f t="shared" si="68"/>
        <v>-93678114.113999993</v>
      </c>
      <c r="AA382" s="25" t="str">
        <f t="shared" si="69"/>
        <v>No se realizó gasto en este corte</v>
      </c>
      <c r="AB382" s="26" t="str">
        <f t="shared" si="70"/>
        <v>Costo eficiente: se está gastando menos de lo presupuestado</v>
      </c>
      <c r="AC382" s="26">
        <f t="shared" si="71"/>
        <v>0</v>
      </c>
      <c r="AD382" s="26" t="str">
        <f t="shared" si="72"/>
        <v>Sin Línea Base</v>
      </c>
      <c r="AE382" s="27">
        <f t="shared" si="73"/>
        <v>0</v>
      </c>
      <c r="AF382" s="27">
        <f t="shared" si="74"/>
        <v>-93771886</v>
      </c>
      <c r="AG382" s="28" t="str">
        <f>VLOOKUP(Indicador!E606,[1]Diccionario!C$1:AC$150,27,0)</f>
        <v>https://growdatasas.sharepoint.com/:x:/r/sites/Gestiondocumental/Administrativa/GD/Financiera/_layouts/15/Doc.aspx?sourcedoc=%7B538AADB9-4832-4502-992B-5493EC06C9DB%7D&amp;file=250905%20ERA%20MODELO%20FINANCIERO%20REFERENCIA%20V7.5.xlsm&amp;action=default&amp;mobileredirect=true</v>
      </c>
      <c r="AH382" s="28">
        <v>1</v>
      </c>
      <c r="AI382" s="28">
        <v>1</v>
      </c>
      <c r="AJ382" s="28"/>
      <c r="AK382" s="28"/>
    </row>
    <row r="383" spans="1:37" ht="18.75" customHeight="1" x14ac:dyDescent="0.25">
      <c r="A383" s="11">
        <v>2030</v>
      </c>
      <c r="B383" s="12" t="s">
        <v>49</v>
      </c>
      <c r="C383" s="15" t="s">
        <v>281</v>
      </c>
      <c r="D383" s="39">
        <v>45768.647169212963</v>
      </c>
      <c r="E383" s="15" t="s">
        <v>282</v>
      </c>
      <c r="F383" s="15" t="s">
        <v>151</v>
      </c>
      <c r="G383" s="15" t="s">
        <v>283</v>
      </c>
      <c r="H383" s="15" t="s">
        <v>284</v>
      </c>
      <c r="I383" s="15" t="s">
        <v>63</v>
      </c>
      <c r="J383" s="15" t="s">
        <v>285</v>
      </c>
      <c r="K383" s="15" t="s">
        <v>80</v>
      </c>
      <c r="L383" s="17">
        <f>VLOOKUP(E383,[1]Diccionario!C$2:AC$150,22,0)</f>
        <v>93771886</v>
      </c>
      <c r="M383" s="18">
        <f>VLOOKUP(E383,[1]Diccionario!C$2:AC$150,24,0)</f>
        <v>45931</v>
      </c>
      <c r="N383" s="19">
        <f>VLOOKUP(E383,[1]Diccionario!C$2:AC$150,25,0)</f>
        <v>47756</v>
      </c>
      <c r="O383" s="20">
        <f>VLOOKUP(E383,[1]Diccionario!C$2:AC$150,26,0)</f>
        <v>59.97</v>
      </c>
      <c r="P383" s="20">
        <f t="shared" ref="P383:P446" si="75">Q383-O383</f>
        <v>-4.9699999999999989</v>
      </c>
      <c r="Q383" s="20">
        <v>55</v>
      </c>
      <c r="R383" s="15">
        <v>56</v>
      </c>
      <c r="S383" s="62">
        <v>0.999</v>
      </c>
      <c r="T383" s="21"/>
      <c r="U383" s="22"/>
      <c r="V383" s="24"/>
      <c r="W383" s="24">
        <f t="shared" si="65"/>
        <v>0</v>
      </c>
      <c r="X383" s="24">
        <f t="shared" si="66"/>
        <v>93678114.113999993</v>
      </c>
      <c r="Y383" s="24">
        <f t="shared" si="67"/>
        <v>0</v>
      </c>
      <c r="Z383" s="24">
        <f t="shared" si="68"/>
        <v>-93678114.113999993</v>
      </c>
      <c r="AA383" s="25" t="str">
        <f t="shared" si="69"/>
        <v>No se realizó gasto en este corte</v>
      </c>
      <c r="AB383" s="26" t="str">
        <f t="shared" si="70"/>
        <v>Costo eficiente: se está gastando menos de lo presupuestado</v>
      </c>
      <c r="AC383" s="26">
        <f t="shared" si="71"/>
        <v>0</v>
      </c>
      <c r="AD383" s="26" t="str">
        <f t="shared" si="72"/>
        <v>Sin Línea Base</v>
      </c>
      <c r="AE383" s="27">
        <f t="shared" si="73"/>
        <v>0</v>
      </c>
      <c r="AF383" s="27">
        <f t="shared" si="74"/>
        <v>-93771886</v>
      </c>
      <c r="AG383" s="28" t="str">
        <f>VLOOKUP(Indicador!E607,[1]Diccionario!C$1:AC$150,27,0)</f>
        <v>https://growdatasas.sharepoint.com/:x:/r/sites/Gestiondocumental/Administrativa/GD/Financiera/_layouts/15/Doc.aspx?sourcedoc=%7B538AADB9-4832-4502-992B-5493EC06C9DB%7D&amp;file=250905%20ERA%20MODELO%20FINANCIERO%20REFERENCIA%20V7.5.xlsm&amp;action=default&amp;mobileredirect=true</v>
      </c>
      <c r="AH383" s="28">
        <v>1</v>
      </c>
      <c r="AI383" s="28">
        <v>1</v>
      </c>
      <c r="AJ383" s="28"/>
      <c r="AK383" s="28"/>
    </row>
    <row r="384" spans="1:37" ht="18.75" customHeight="1" x14ac:dyDescent="0.25">
      <c r="A384" s="11">
        <v>2030</v>
      </c>
      <c r="B384" s="12" t="s">
        <v>50</v>
      </c>
      <c r="C384" s="15" t="s">
        <v>281</v>
      </c>
      <c r="D384" s="39">
        <v>45768.647169212963</v>
      </c>
      <c r="E384" s="15" t="s">
        <v>282</v>
      </c>
      <c r="F384" s="15" t="s">
        <v>151</v>
      </c>
      <c r="G384" s="15" t="s">
        <v>283</v>
      </c>
      <c r="H384" s="15" t="s">
        <v>284</v>
      </c>
      <c r="I384" s="15" t="s">
        <v>63</v>
      </c>
      <c r="J384" s="15" t="s">
        <v>285</v>
      </c>
      <c r="K384" s="15" t="s">
        <v>80</v>
      </c>
      <c r="L384" s="17">
        <f>VLOOKUP(E384,[1]Diccionario!C$2:AC$150,22,0)</f>
        <v>93771886</v>
      </c>
      <c r="M384" s="18">
        <f>VLOOKUP(E384,[1]Diccionario!C$2:AC$150,24,0)</f>
        <v>45931</v>
      </c>
      <c r="N384" s="19">
        <f>VLOOKUP(E384,[1]Diccionario!C$2:AC$150,25,0)</f>
        <v>47756</v>
      </c>
      <c r="O384" s="20">
        <f>VLOOKUP(E384,[1]Diccionario!C$2:AC$150,26,0)</f>
        <v>59.97</v>
      </c>
      <c r="P384" s="20">
        <f t="shared" si="75"/>
        <v>-3.9699999999999989</v>
      </c>
      <c r="Q384" s="20">
        <v>56</v>
      </c>
      <c r="R384" s="15">
        <v>56</v>
      </c>
      <c r="S384" s="62">
        <v>0.999</v>
      </c>
      <c r="T384" s="21"/>
      <c r="U384" s="22"/>
      <c r="V384" s="24"/>
      <c r="W384" s="24">
        <f t="shared" si="65"/>
        <v>0</v>
      </c>
      <c r="X384" s="24">
        <f t="shared" si="66"/>
        <v>93678114.113999993</v>
      </c>
      <c r="Y384" s="24">
        <f t="shared" si="67"/>
        <v>0</v>
      </c>
      <c r="Z384" s="24">
        <f t="shared" si="68"/>
        <v>-93678114.113999993</v>
      </c>
      <c r="AA384" s="25" t="str">
        <f t="shared" si="69"/>
        <v>No se realizó gasto en este corte</v>
      </c>
      <c r="AB384" s="26" t="str">
        <f t="shared" si="70"/>
        <v>Costo eficiente: se está gastando menos de lo presupuestado</v>
      </c>
      <c r="AC384" s="26">
        <f t="shared" si="71"/>
        <v>0</v>
      </c>
      <c r="AD384" s="26" t="str">
        <f t="shared" si="72"/>
        <v>Sin Línea Base</v>
      </c>
      <c r="AE384" s="27">
        <f t="shared" si="73"/>
        <v>0</v>
      </c>
      <c r="AF384" s="27">
        <f t="shared" si="74"/>
        <v>-93771886</v>
      </c>
      <c r="AG384" s="28" t="str">
        <f>VLOOKUP(Indicador!E608,[1]Diccionario!C$1:AC$150,27,0)</f>
        <v>https://growdatasas.sharepoint.com/:x:/r/sites/Gestiondocumental/Administrativa/GD/Financiera/_layouts/15/Doc.aspx?sourcedoc=%7B538AADB9-4832-4502-992B-5493EC06C9DB%7D&amp;file=250905%20ERA%20MODELO%20FINANCIERO%20REFERENCIA%20V7.5.xlsm&amp;action=default&amp;mobileredirect=true</v>
      </c>
      <c r="AH384" s="28">
        <v>1</v>
      </c>
      <c r="AI384" s="28">
        <v>1</v>
      </c>
      <c r="AJ384" s="28"/>
      <c r="AK384" s="28"/>
    </row>
    <row r="385" spans="1:37" ht="18.75" customHeight="1" x14ac:dyDescent="0.25">
      <c r="A385" s="11">
        <v>2030</v>
      </c>
      <c r="B385" s="12" t="s">
        <v>51</v>
      </c>
      <c r="C385" s="15" t="s">
        <v>281</v>
      </c>
      <c r="D385" s="39">
        <v>45768.647169212963</v>
      </c>
      <c r="E385" s="15" t="s">
        <v>282</v>
      </c>
      <c r="F385" s="15" t="s">
        <v>151</v>
      </c>
      <c r="G385" s="15" t="s">
        <v>283</v>
      </c>
      <c r="H385" s="15" t="s">
        <v>284</v>
      </c>
      <c r="I385" s="15" t="s">
        <v>63</v>
      </c>
      <c r="J385" s="15" t="s">
        <v>285</v>
      </c>
      <c r="K385" s="15" t="s">
        <v>80</v>
      </c>
      <c r="L385" s="17">
        <f>VLOOKUP(E385,[1]Diccionario!C$2:AC$150,22,0)</f>
        <v>93771886</v>
      </c>
      <c r="M385" s="18">
        <f>VLOOKUP(E385,[1]Diccionario!C$2:AC$150,24,0)</f>
        <v>45931</v>
      </c>
      <c r="N385" s="19">
        <f>VLOOKUP(E385,[1]Diccionario!C$2:AC$150,25,0)</f>
        <v>47756</v>
      </c>
      <c r="O385" s="20">
        <f>VLOOKUP(E385,[1]Diccionario!C$2:AC$150,26,0)</f>
        <v>59.97</v>
      </c>
      <c r="P385" s="20">
        <f t="shared" si="75"/>
        <v>-2.9699999999999989</v>
      </c>
      <c r="Q385" s="20">
        <v>57</v>
      </c>
      <c r="R385" s="15">
        <v>56</v>
      </c>
      <c r="S385" s="62">
        <v>0.999</v>
      </c>
      <c r="T385" s="21"/>
      <c r="U385" s="22"/>
      <c r="V385" s="24"/>
      <c r="W385" s="24">
        <f t="shared" si="65"/>
        <v>0</v>
      </c>
      <c r="X385" s="24">
        <f t="shared" si="66"/>
        <v>93678114.113999993</v>
      </c>
      <c r="Y385" s="24">
        <f t="shared" si="67"/>
        <v>0</v>
      </c>
      <c r="Z385" s="24">
        <f t="shared" si="68"/>
        <v>-93678114.113999993</v>
      </c>
      <c r="AA385" s="25" t="str">
        <f t="shared" si="69"/>
        <v>No se realizó gasto en este corte</v>
      </c>
      <c r="AB385" s="26" t="str">
        <f t="shared" si="70"/>
        <v>Costo eficiente: se está gastando menos de lo presupuestado</v>
      </c>
      <c r="AC385" s="26">
        <f t="shared" si="71"/>
        <v>0</v>
      </c>
      <c r="AD385" s="26" t="str">
        <f t="shared" si="72"/>
        <v>Sin Línea Base</v>
      </c>
      <c r="AE385" s="27">
        <f t="shared" si="73"/>
        <v>0</v>
      </c>
      <c r="AF385" s="27">
        <f t="shared" si="74"/>
        <v>-93771886</v>
      </c>
      <c r="AG385" s="28" t="str">
        <f>VLOOKUP(Indicador!E609,[1]Diccionario!C$1:AC$150,27,0)</f>
        <v>https://growdatasas.sharepoint.com/:x:/r/sites/Gestiondocumental/Administrativa/GD/Financiera/_layouts/15/Doc.aspx?sourcedoc=%7B538AADB9-4832-4502-992B-5493EC06C9DB%7D&amp;file=250905%20ERA%20MODELO%20FINANCIERO%20REFERENCIA%20V7.5.xlsm&amp;action=default&amp;mobileredirect=true</v>
      </c>
      <c r="AH385" s="28">
        <v>1</v>
      </c>
      <c r="AI385" s="28">
        <v>1</v>
      </c>
      <c r="AJ385" s="28"/>
      <c r="AK385" s="28"/>
    </row>
    <row r="386" spans="1:37" ht="18.75" customHeight="1" x14ac:dyDescent="0.25">
      <c r="A386" s="11">
        <v>2030</v>
      </c>
      <c r="B386" s="12" t="s">
        <v>52</v>
      </c>
      <c r="C386" s="15" t="s">
        <v>281</v>
      </c>
      <c r="D386" s="39">
        <v>45768.647169212963</v>
      </c>
      <c r="E386" s="15" t="s">
        <v>282</v>
      </c>
      <c r="F386" s="15" t="s">
        <v>151</v>
      </c>
      <c r="G386" s="15" t="s">
        <v>283</v>
      </c>
      <c r="H386" s="15" t="s">
        <v>284</v>
      </c>
      <c r="I386" s="15" t="s">
        <v>63</v>
      </c>
      <c r="J386" s="15" t="s">
        <v>285</v>
      </c>
      <c r="K386" s="15" t="s">
        <v>80</v>
      </c>
      <c r="L386" s="17">
        <f>VLOOKUP(E386,[1]Diccionario!C$2:AC$150,22,0)</f>
        <v>93771886</v>
      </c>
      <c r="M386" s="18">
        <f>VLOOKUP(E386,[1]Diccionario!C$2:AC$150,24,0)</f>
        <v>45931</v>
      </c>
      <c r="N386" s="19">
        <f>VLOOKUP(E386,[1]Diccionario!C$2:AC$150,25,0)</f>
        <v>47756</v>
      </c>
      <c r="O386" s="20">
        <f>VLOOKUP(E386,[1]Diccionario!C$2:AC$150,26,0)</f>
        <v>59.97</v>
      </c>
      <c r="P386" s="20">
        <f t="shared" si="75"/>
        <v>-1.9699999999999989</v>
      </c>
      <c r="Q386" s="20">
        <v>58</v>
      </c>
      <c r="R386" s="15">
        <v>56</v>
      </c>
      <c r="S386" s="62">
        <v>0.999</v>
      </c>
      <c r="T386" s="21"/>
      <c r="U386" s="22"/>
      <c r="V386" s="24"/>
      <c r="W386" s="24">
        <f t="shared" ref="W386:W449" si="76">IFERROR(T386*L386,0)</f>
        <v>0</v>
      </c>
      <c r="X386" s="24">
        <f t="shared" ref="X386:X449" si="77">S386*L386</f>
        <v>93678114.113999993</v>
      </c>
      <c r="Y386" s="24">
        <f t="shared" ref="Y386:Y449" si="78">IFERROR(W386-U386,0)</f>
        <v>0</v>
      </c>
      <c r="Z386" s="24">
        <f t="shared" ref="Z386:Z449" si="79">W386-X386</f>
        <v>-93678114.113999993</v>
      </c>
      <c r="AA386" s="25" t="str">
        <f t="shared" ref="AA386:AA449" si="80">IFERROR(W386/U386,"No se realizó gasto en este corte")</f>
        <v>No se realizó gasto en este corte</v>
      </c>
      <c r="AB386" s="26" t="str">
        <f t="shared" ref="AB386:AB449" si="81">IFERROR(
  IF(OR(AA386="",AA386=0),
    "No calculado",
    IF(AA386&gt;1,"Costo eficiente: se está gastando menos de lo presupuestado",
      IF(AA386=1,"Costo según lo presupuestado",
        "Costo ineficiente: se está gastando más de lo presupuestado"))),
"No calculado")</f>
        <v>Costo eficiente: se está gastando menos de lo presupuestado</v>
      </c>
      <c r="AC386" s="26">
        <f t="shared" ref="AC386:AC449" si="82">IFERROR(W386/X386,0)</f>
        <v>0</v>
      </c>
      <c r="AD386" s="26" t="str">
        <f t="shared" ref="AD386:AD449" si="83">IF(OR(AC386="",AC386=0),"Sin Línea Base",
IF(AC386&gt;1,"Proyecto adelantado respecto al cronograma",
IF(AC386=1,"Proyecto a tiempo según lo planificado",
IF(AC386&lt;1,"Proyecto atrasado con respecto al cronograma",
"No calculado"))))</f>
        <v>Sin Línea Base</v>
      </c>
      <c r="AE386" s="27">
        <f t="shared" ref="AE386:AE449" si="84">IFERROR(L386/AA386,0)</f>
        <v>0</v>
      </c>
      <c r="AF386" s="27">
        <f t="shared" ref="AF386:AF449" si="85">IFERROR(AE386-L386,0)</f>
        <v>-93771886</v>
      </c>
      <c r="AG386" s="28" t="str">
        <f>VLOOKUP(Indicador!E610,[1]Diccionario!C$1:AC$150,27,0)</f>
        <v>https://growdatasas.sharepoint.com/:x:/r/sites/Gestiondocumental/Administrativa/GD/Financiera/_layouts/15/Doc.aspx?sourcedoc=%7B538AADB9-4832-4502-992B-5493EC06C9DB%7D&amp;file=250905%20ERA%20MODELO%20FINANCIERO%20REFERENCIA%20V7.5.xlsm&amp;action=default&amp;mobileredirect=true</v>
      </c>
      <c r="AH386" s="28">
        <v>1</v>
      </c>
      <c r="AI386" s="28">
        <v>1</v>
      </c>
      <c r="AJ386" s="28"/>
      <c r="AK386" s="28"/>
    </row>
    <row r="387" spans="1:37" ht="18.75" customHeight="1" x14ac:dyDescent="0.25">
      <c r="A387" s="11">
        <v>2030</v>
      </c>
      <c r="B387" s="12" t="s">
        <v>53</v>
      </c>
      <c r="C387" s="15" t="s">
        <v>281</v>
      </c>
      <c r="D387" s="39">
        <v>45768.647169212963</v>
      </c>
      <c r="E387" s="15" t="s">
        <v>282</v>
      </c>
      <c r="F387" s="15" t="s">
        <v>151</v>
      </c>
      <c r="G387" s="15" t="s">
        <v>283</v>
      </c>
      <c r="H387" s="15" t="s">
        <v>284</v>
      </c>
      <c r="I387" s="15" t="s">
        <v>63</v>
      </c>
      <c r="J387" s="15" t="s">
        <v>285</v>
      </c>
      <c r="K387" s="15" t="s">
        <v>80</v>
      </c>
      <c r="L387" s="17">
        <f>VLOOKUP(E387,[1]Diccionario!C$2:AC$150,22,0)</f>
        <v>93771886</v>
      </c>
      <c r="M387" s="18">
        <f>VLOOKUP(E387,[1]Diccionario!C$2:AC$150,24,0)</f>
        <v>45931</v>
      </c>
      <c r="N387" s="19">
        <f>VLOOKUP(E387,[1]Diccionario!C$2:AC$150,25,0)</f>
        <v>47756</v>
      </c>
      <c r="O387" s="20">
        <f>VLOOKUP(E387,[1]Diccionario!C$2:AC$150,26,0)</f>
        <v>59.97</v>
      </c>
      <c r="P387" s="20">
        <f t="shared" si="75"/>
        <v>-0.96999999999999886</v>
      </c>
      <c r="Q387" s="20">
        <v>59</v>
      </c>
      <c r="R387" s="15">
        <v>56</v>
      </c>
      <c r="S387" s="62">
        <v>0.999</v>
      </c>
      <c r="T387" s="21"/>
      <c r="U387" s="22"/>
      <c r="V387" s="24"/>
      <c r="W387" s="24">
        <f t="shared" si="76"/>
        <v>0</v>
      </c>
      <c r="X387" s="24">
        <f t="shared" si="77"/>
        <v>93678114.113999993</v>
      </c>
      <c r="Y387" s="24">
        <f t="shared" si="78"/>
        <v>0</v>
      </c>
      <c r="Z387" s="24">
        <f t="shared" si="79"/>
        <v>-93678114.113999993</v>
      </c>
      <c r="AA387" s="25" t="str">
        <f t="shared" si="80"/>
        <v>No se realizó gasto en este corte</v>
      </c>
      <c r="AB387" s="26" t="str">
        <f t="shared" si="81"/>
        <v>Costo eficiente: se está gastando menos de lo presupuestado</v>
      </c>
      <c r="AC387" s="26">
        <f t="shared" si="82"/>
        <v>0</v>
      </c>
      <c r="AD387" s="26" t="str">
        <f t="shared" si="83"/>
        <v>Sin Línea Base</v>
      </c>
      <c r="AE387" s="27">
        <f t="shared" si="84"/>
        <v>0</v>
      </c>
      <c r="AF387" s="27">
        <f t="shared" si="85"/>
        <v>-93771886</v>
      </c>
      <c r="AG387" s="28" t="str">
        <f>VLOOKUP(Indicador!E611,[1]Diccionario!C$1:AC$150,27,0)</f>
        <v>https://growdatasas.sharepoint.com/:x:/r/sites/Gestiondocumental/Administrativa/GD/Financiera/_layouts/15/Doc.aspx?sourcedoc=%7B538AADB9-4832-4502-992B-5493EC06C9DB%7D&amp;file=250905%20ERA%20MODELO%20FINANCIERO%20REFERENCIA%20V7.5.xlsm&amp;action=default&amp;mobileredirect=true</v>
      </c>
      <c r="AH387" s="28">
        <v>1</v>
      </c>
      <c r="AI387" s="28">
        <v>1</v>
      </c>
      <c r="AJ387" s="28"/>
      <c r="AK387" s="28"/>
    </row>
    <row r="388" spans="1:37" ht="18.75" customHeight="1" x14ac:dyDescent="0.25">
      <c r="A388" s="11">
        <v>2030</v>
      </c>
      <c r="B388" s="12" t="s">
        <v>54</v>
      </c>
      <c r="C388" s="15" t="s">
        <v>281</v>
      </c>
      <c r="D388" s="39">
        <v>45768.647169212963</v>
      </c>
      <c r="E388" s="15" t="s">
        <v>282</v>
      </c>
      <c r="F388" s="15" t="s">
        <v>151</v>
      </c>
      <c r="G388" s="15" t="s">
        <v>283</v>
      </c>
      <c r="H388" s="15" t="s">
        <v>284</v>
      </c>
      <c r="I388" s="15" t="s">
        <v>63</v>
      </c>
      <c r="J388" s="15" t="s">
        <v>285</v>
      </c>
      <c r="K388" s="15" t="s">
        <v>80</v>
      </c>
      <c r="L388" s="17">
        <f>VLOOKUP(E388,[1]Diccionario!C$2:AC$150,22,0)</f>
        <v>93771886</v>
      </c>
      <c r="M388" s="18">
        <f>VLOOKUP(E388,[1]Diccionario!C$2:AC$150,24,0)</f>
        <v>45931</v>
      </c>
      <c r="N388" s="19">
        <f>VLOOKUP(E388,[1]Diccionario!C$2:AC$150,25,0)</f>
        <v>47756</v>
      </c>
      <c r="O388" s="20">
        <f>VLOOKUP(E388,[1]Diccionario!C$2:AC$150,26,0)</f>
        <v>59.97</v>
      </c>
      <c r="P388" s="20">
        <f t="shared" si="75"/>
        <v>3.0000000000001137E-2</v>
      </c>
      <c r="Q388" s="20">
        <v>60</v>
      </c>
      <c r="R388" s="15">
        <v>56</v>
      </c>
      <c r="S388" s="21">
        <v>1</v>
      </c>
      <c r="T388" s="21"/>
      <c r="U388" s="22"/>
      <c r="V388" s="24"/>
      <c r="W388" s="24">
        <f t="shared" si="76"/>
        <v>0</v>
      </c>
      <c r="X388" s="24">
        <f t="shared" si="77"/>
        <v>93771886</v>
      </c>
      <c r="Y388" s="24">
        <f t="shared" si="78"/>
        <v>0</v>
      </c>
      <c r="Z388" s="24">
        <f t="shared" si="79"/>
        <v>-93771886</v>
      </c>
      <c r="AA388" s="25" t="str">
        <f t="shared" si="80"/>
        <v>No se realizó gasto en este corte</v>
      </c>
      <c r="AB388" s="26" t="str">
        <f t="shared" si="81"/>
        <v>Costo eficiente: se está gastando menos de lo presupuestado</v>
      </c>
      <c r="AC388" s="26">
        <f t="shared" si="82"/>
        <v>0</v>
      </c>
      <c r="AD388" s="26" t="str">
        <f t="shared" si="83"/>
        <v>Sin Línea Base</v>
      </c>
      <c r="AE388" s="27">
        <f t="shared" si="84"/>
        <v>0</v>
      </c>
      <c r="AF388" s="27">
        <f t="shared" si="85"/>
        <v>-93771886</v>
      </c>
      <c r="AG388" s="28" t="str">
        <f>VLOOKUP(Indicador!E612,[1]Diccionario!C$1:AC$150,27,0)</f>
        <v>https://growdatasas.sharepoint.com/:x:/r/sites/Gestiondocumental/Administrativa/GD/Financiera/_layouts/15/Doc.aspx?sourcedoc=%7B538AADB9-4832-4502-992B-5493EC06C9DB%7D&amp;file=250905%20ERA%20MODELO%20FINANCIERO%20REFERENCIA%20V7.5.xlsm&amp;action=default&amp;mobileredirect=true</v>
      </c>
      <c r="AH388" s="28">
        <v>1</v>
      </c>
      <c r="AI388" s="28">
        <v>1</v>
      </c>
      <c r="AJ388" s="28"/>
      <c r="AK388" s="28"/>
    </row>
    <row r="389" spans="1:37" ht="18.75" customHeight="1" x14ac:dyDescent="0.25">
      <c r="A389" s="11">
        <v>2025</v>
      </c>
      <c r="B389" s="12" t="s">
        <v>50</v>
      </c>
      <c r="C389" s="15" t="s">
        <v>286</v>
      </c>
      <c r="D389" s="39">
        <v>45806.582142789353</v>
      </c>
      <c r="E389" s="15" t="s">
        <v>287</v>
      </c>
      <c r="F389" s="15" t="s">
        <v>134</v>
      </c>
      <c r="G389" s="15" t="s">
        <v>288</v>
      </c>
      <c r="H389" s="15" t="s">
        <v>289</v>
      </c>
      <c r="I389" s="15" t="s">
        <v>78</v>
      </c>
      <c r="J389" s="15" t="s">
        <v>290</v>
      </c>
      <c r="K389" s="15" t="s">
        <v>291</v>
      </c>
      <c r="L389" s="17">
        <f>VLOOKUP(E389,[1]Diccionario!C$2:AC$150,22,0)</f>
        <v>332116783</v>
      </c>
      <c r="M389" s="18">
        <f>VLOOKUP(E389,[1]Diccionario!C$2:AC$150,24,0)</f>
        <v>45778</v>
      </c>
      <c r="N389" s="19">
        <f>VLOOKUP(E389,[1]Diccionario!C$2:AC$150,25,0)</f>
        <v>46127</v>
      </c>
      <c r="O389" s="20">
        <f>VLOOKUP(E389,[1]Diccionario!C$2:AC$150,26,0)</f>
        <v>11.47</v>
      </c>
      <c r="P389" s="20">
        <f t="shared" si="75"/>
        <v>-10.47</v>
      </c>
      <c r="Q389" s="20">
        <v>1</v>
      </c>
      <c r="R389" s="15">
        <v>12</v>
      </c>
      <c r="S389" s="21">
        <v>0.25</v>
      </c>
      <c r="T389" s="21">
        <v>0.15</v>
      </c>
      <c r="U389" s="22"/>
      <c r="V389" s="24"/>
      <c r="W389" s="24">
        <f t="shared" si="76"/>
        <v>49817517.449999996</v>
      </c>
      <c r="X389" s="24">
        <f t="shared" si="77"/>
        <v>83029195.75</v>
      </c>
      <c r="Y389" s="24">
        <f t="shared" si="78"/>
        <v>49817517.449999996</v>
      </c>
      <c r="Z389" s="24">
        <f t="shared" si="79"/>
        <v>-33211678.300000004</v>
      </c>
      <c r="AA389" s="25" t="str">
        <f t="shared" si="80"/>
        <v>No se realizó gasto en este corte</v>
      </c>
      <c r="AB389" s="26" t="str">
        <f t="shared" si="81"/>
        <v>Costo eficiente: se está gastando menos de lo presupuestado</v>
      </c>
      <c r="AC389" s="26">
        <f t="shared" si="82"/>
        <v>0.6</v>
      </c>
      <c r="AD389" s="26" t="str">
        <f t="shared" si="83"/>
        <v>Proyecto atrasado con respecto al cronograma</v>
      </c>
      <c r="AE389" s="27">
        <f t="shared" si="84"/>
        <v>0</v>
      </c>
      <c r="AF389" s="27">
        <f t="shared" si="85"/>
        <v>-332116783</v>
      </c>
      <c r="AG389" s="28" t="str">
        <f>VLOOKUP(Indicador!E317,[1]Diccionario!C$1:AC$150,27,0)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89" s="28">
        <v>1</v>
      </c>
      <c r="AI389" s="28">
        <v>1</v>
      </c>
      <c r="AJ389" s="28"/>
      <c r="AK389" s="28"/>
    </row>
    <row r="390" spans="1:37" ht="18.75" customHeight="1" x14ac:dyDescent="0.25">
      <c r="A390" s="11">
        <v>2025</v>
      </c>
      <c r="B390" s="12" t="s">
        <v>51</v>
      </c>
      <c r="C390" s="15" t="s">
        <v>286</v>
      </c>
      <c r="D390" s="39">
        <v>45806.582142789353</v>
      </c>
      <c r="E390" s="15" t="s">
        <v>287</v>
      </c>
      <c r="F390" s="15" t="s">
        <v>134</v>
      </c>
      <c r="G390" s="15" t="s">
        <v>288</v>
      </c>
      <c r="H390" s="15" t="s">
        <v>289</v>
      </c>
      <c r="I390" s="15" t="s">
        <v>78</v>
      </c>
      <c r="J390" s="15" t="s">
        <v>290</v>
      </c>
      <c r="K390" s="15" t="s">
        <v>291</v>
      </c>
      <c r="L390" s="17">
        <f>VLOOKUP(E390,[1]Diccionario!C$2:AC$150,22,0)</f>
        <v>332116783</v>
      </c>
      <c r="M390" s="18">
        <f>VLOOKUP(E390,[1]Diccionario!C$2:AC$150,24,0)</f>
        <v>45778</v>
      </c>
      <c r="N390" s="19">
        <f>VLOOKUP(E390,[1]Diccionario!C$2:AC$150,25,0)</f>
        <v>46127</v>
      </c>
      <c r="O390" s="20">
        <f>VLOOKUP(E390,[1]Diccionario!C$2:AC$150,26,0)</f>
        <v>11.47</v>
      </c>
      <c r="P390" s="20">
        <f t="shared" si="75"/>
        <v>-9.4700000000000006</v>
      </c>
      <c r="Q390" s="20">
        <v>2</v>
      </c>
      <c r="R390" s="15">
        <v>12</v>
      </c>
      <c r="S390" s="21">
        <v>0.35</v>
      </c>
      <c r="T390" s="21">
        <v>0.25</v>
      </c>
      <c r="U390" s="22"/>
      <c r="V390" s="24"/>
      <c r="W390" s="24">
        <f t="shared" si="76"/>
        <v>83029195.75</v>
      </c>
      <c r="X390" s="24">
        <f t="shared" si="77"/>
        <v>116240874.05</v>
      </c>
      <c r="Y390" s="24">
        <f t="shared" si="78"/>
        <v>83029195.75</v>
      </c>
      <c r="Z390" s="24">
        <f t="shared" si="79"/>
        <v>-33211678.299999997</v>
      </c>
      <c r="AA390" s="25" t="str">
        <f t="shared" si="80"/>
        <v>No se realizó gasto en este corte</v>
      </c>
      <c r="AB390" s="26" t="str">
        <f t="shared" si="81"/>
        <v>Costo eficiente: se está gastando menos de lo presupuestado</v>
      </c>
      <c r="AC390" s="26">
        <f t="shared" si="82"/>
        <v>0.7142857142857143</v>
      </c>
      <c r="AD390" s="26" t="str">
        <f t="shared" si="83"/>
        <v>Proyecto atrasado con respecto al cronograma</v>
      </c>
      <c r="AE390" s="27">
        <f t="shared" si="84"/>
        <v>0</v>
      </c>
      <c r="AF390" s="27">
        <f t="shared" si="85"/>
        <v>-332116783</v>
      </c>
      <c r="AG390" s="28" t="str">
        <f>VLOOKUP(Indicador!E318,[1]Diccionario!C$1:AC$150,27,0)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90" s="28">
        <v>1</v>
      </c>
      <c r="AI390" s="28">
        <v>1</v>
      </c>
      <c r="AJ390" s="28"/>
      <c r="AK390" s="28"/>
    </row>
    <row r="391" spans="1:37" ht="18.75" customHeight="1" x14ac:dyDescent="0.25">
      <c r="A391" s="11">
        <v>2025</v>
      </c>
      <c r="B391" s="12" t="s">
        <v>52</v>
      </c>
      <c r="C391" s="15" t="s">
        <v>286</v>
      </c>
      <c r="D391" s="39">
        <v>45806.582142789353</v>
      </c>
      <c r="E391" s="15" t="s">
        <v>287</v>
      </c>
      <c r="F391" s="15" t="s">
        <v>134</v>
      </c>
      <c r="G391" s="15" t="s">
        <v>288</v>
      </c>
      <c r="H391" s="15" t="s">
        <v>289</v>
      </c>
      <c r="I391" s="15" t="s">
        <v>78</v>
      </c>
      <c r="J391" s="15" t="s">
        <v>290</v>
      </c>
      <c r="K391" s="15" t="s">
        <v>291</v>
      </c>
      <c r="L391" s="17">
        <f>VLOOKUP(E391,[1]Diccionario!C$2:AC$150,22,0)</f>
        <v>332116783</v>
      </c>
      <c r="M391" s="18">
        <f>VLOOKUP(E391,[1]Diccionario!C$2:AC$150,24,0)</f>
        <v>45778</v>
      </c>
      <c r="N391" s="19">
        <f>VLOOKUP(E391,[1]Diccionario!C$2:AC$150,25,0)</f>
        <v>46127</v>
      </c>
      <c r="O391" s="20">
        <f>VLOOKUP(E391,[1]Diccionario!C$2:AC$150,26,0)</f>
        <v>11.47</v>
      </c>
      <c r="P391" s="20">
        <f t="shared" si="75"/>
        <v>-8.4700000000000006</v>
      </c>
      <c r="Q391" s="20">
        <v>3</v>
      </c>
      <c r="R391" s="15">
        <v>12</v>
      </c>
      <c r="S391" s="21">
        <v>0.47</v>
      </c>
      <c r="T391" s="21">
        <v>0.3</v>
      </c>
      <c r="U391" s="22"/>
      <c r="V391" s="24"/>
      <c r="W391" s="24">
        <f t="shared" si="76"/>
        <v>99635034.899999991</v>
      </c>
      <c r="X391" s="24">
        <f t="shared" si="77"/>
        <v>156094888.00999999</v>
      </c>
      <c r="Y391" s="24">
        <f t="shared" si="78"/>
        <v>99635034.899999991</v>
      </c>
      <c r="Z391" s="24">
        <f t="shared" si="79"/>
        <v>-56459853.109999999</v>
      </c>
      <c r="AA391" s="25" t="str">
        <f t="shared" si="80"/>
        <v>No se realizó gasto en este corte</v>
      </c>
      <c r="AB391" s="26" t="str">
        <f t="shared" si="81"/>
        <v>Costo eficiente: se está gastando menos de lo presupuestado</v>
      </c>
      <c r="AC391" s="26">
        <f t="shared" si="82"/>
        <v>0.63829787234042556</v>
      </c>
      <c r="AD391" s="26" t="str">
        <f t="shared" si="83"/>
        <v>Proyecto atrasado con respecto al cronograma</v>
      </c>
      <c r="AE391" s="27">
        <f t="shared" si="84"/>
        <v>0</v>
      </c>
      <c r="AF391" s="27">
        <f t="shared" si="85"/>
        <v>-332116783</v>
      </c>
      <c r="AG391" s="28" t="str">
        <f>VLOOKUP(Indicador!E319,[1]Diccionario!C$1:AC$150,27,0)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91" s="28">
        <v>1</v>
      </c>
      <c r="AI391" s="28">
        <v>1</v>
      </c>
      <c r="AJ391" s="28"/>
      <c r="AK391" s="28"/>
    </row>
    <row r="392" spans="1:37" ht="18.75" customHeight="1" x14ac:dyDescent="0.25">
      <c r="A392" s="11">
        <v>2025</v>
      </c>
      <c r="B392" s="12" t="s">
        <v>53</v>
      </c>
      <c r="C392" s="15" t="s">
        <v>286</v>
      </c>
      <c r="D392" s="39">
        <v>45806.582142789353</v>
      </c>
      <c r="E392" s="15" t="s">
        <v>287</v>
      </c>
      <c r="F392" s="15" t="s">
        <v>134</v>
      </c>
      <c r="G392" s="15" t="s">
        <v>288</v>
      </c>
      <c r="H392" s="15" t="s">
        <v>289</v>
      </c>
      <c r="I392" s="15" t="s">
        <v>78</v>
      </c>
      <c r="J392" s="15" t="s">
        <v>290</v>
      </c>
      <c r="K392" s="15" t="s">
        <v>291</v>
      </c>
      <c r="L392" s="17">
        <f>VLOOKUP(E392,[1]Diccionario!C$2:AC$150,22,0)</f>
        <v>332116783</v>
      </c>
      <c r="M392" s="18">
        <f>VLOOKUP(E392,[1]Diccionario!C$2:AC$150,24,0)</f>
        <v>45778</v>
      </c>
      <c r="N392" s="19">
        <f>VLOOKUP(E392,[1]Diccionario!C$2:AC$150,25,0)</f>
        <v>46127</v>
      </c>
      <c r="O392" s="20">
        <f>VLOOKUP(E392,[1]Diccionario!C$2:AC$150,26,0)</f>
        <v>11.47</v>
      </c>
      <c r="P392" s="20">
        <f t="shared" si="75"/>
        <v>-7.4700000000000006</v>
      </c>
      <c r="Q392" s="20">
        <v>4</v>
      </c>
      <c r="R392" s="15">
        <v>12</v>
      </c>
      <c r="S392" s="21">
        <v>0.52</v>
      </c>
      <c r="T392" s="21">
        <v>0.35</v>
      </c>
      <c r="U392" s="22"/>
      <c r="V392" s="24"/>
      <c r="W392" s="24">
        <f t="shared" si="76"/>
        <v>116240874.05</v>
      </c>
      <c r="X392" s="24">
        <f t="shared" si="77"/>
        <v>172700727.16</v>
      </c>
      <c r="Y392" s="24">
        <f t="shared" si="78"/>
        <v>116240874.05</v>
      </c>
      <c r="Z392" s="24">
        <f t="shared" si="79"/>
        <v>-56459853.109999999</v>
      </c>
      <c r="AA392" s="25" t="str">
        <f t="shared" si="80"/>
        <v>No se realizó gasto en este corte</v>
      </c>
      <c r="AB392" s="26" t="str">
        <f t="shared" si="81"/>
        <v>Costo eficiente: se está gastando menos de lo presupuestado</v>
      </c>
      <c r="AC392" s="26">
        <f t="shared" si="82"/>
        <v>0.67307692307692313</v>
      </c>
      <c r="AD392" s="26" t="str">
        <f t="shared" si="83"/>
        <v>Proyecto atrasado con respecto al cronograma</v>
      </c>
      <c r="AE392" s="27">
        <f t="shared" si="84"/>
        <v>0</v>
      </c>
      <c r="AF392" s="27">
        <f t="shared" si="85"/>
        <v>-332116783</v>
      </c>
      <c r="AG392" s="28" t="str">
        <f>VLOOKUP(Indicador!E320,[1]Diccionario!C$1:AC$150,27,0)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92" s="28">
        <v>1</v>
      </c>
      <c r="AI392" s="28">
        <v>1</v>
      </c>
      <c r="AJ392" s="28"/>
      <c r="AK392" s="28"/>
    </row>
    <row r="393" spans="1:37" ht="18.75" customHeight="1" x14ac:dyDescent="0.25">
      <c r="A393" s="11">
        <v>2025</v>
      </c>
      <c r="B393" s="12" t="s">
        <v>54</v>
      </c>
      <c r="C393" s="15" t="s">
        <v>286</v>
      </c>
      <c r="D393" s="39">
        <v>45806.582142789353</v>
      </c>
      <c r="E393" s="15" t="s">
        <v>287</v>
      </c>
      <c r="F393" s="15" t="s">
        <v>134</v>
      </c>
      <c r="G393" s="15" t="s">
        <v>288</v>
      </c>
      <c r="H393" s="15" t="s">
        <v>289</v>
      </c>
      <c r="I393" s="15" t="s">
        <v>78</v>
      </c>
      <c r="J393" s="15" t="s">
        <v>290</v>
      </c>
      <c r="K393" s="15" t="s">
        <v>291</v>
      </c>
      <c r="L393" s="17">
        <f>VLOOKUP(E393,[1]Diccionario!C$2:AC$150,22,0)</f>
        <v>332116783</v>
      </c>
      <c r="M393" s="18">
        <f>VLOOKUP(E393,[1]Diccionario!C$2:AC$150,24,0)</f>
        <v>45778</v>
      </c>
      <c r="N393" s="19">
        <f>VLOOKUP(E393,[1]Diccionario!C$2:AC$150,25,0)</f>
        <v>46127</v>
      </c>
      <c r="O393" s="20">
        <f>VLOOKUP(E393,[1]Diccionario!C$2:AC$150,26,0)</f>
        <v>11.47</v>
      </c>
      <c r="P393" s="20">
        <f t="shared" si="75"/>
        <v>-6.4700000000000006</v>
      </c>
      <c r="Q393" s="20">
        <v>5</v>
      </c>
      <c r="R393" s="15">
        <v>12</v>
      </c>
      <c r="S393" s="21">
        <v>0.65</v>
      </c>
      <c r="T393" s="21">
        <v>0.45</v>
      </c>
      <c r="U393" s="22"/>
      <c r="V393" s="24"/>
      <c r="W393" s="24">
        <f t="shared" si="76"/>
        <v>149452552.34999999</v>
      </c>
      <c r="X393" s="24">
        <f t="shared" si="77"/>
        <v>215875908.95000002</v>
      </c>
      <c r="Y393" s="24">
        <f t="shared" si="78"/>
        <v>149452552.34999999</v>
      </c>
      <c r="Z393" s="24">
        <f t="shared" si="79"/>
        <v>-66423356.600000024</v>
      </c>
      <c r="AA393" s="25" t="str">
        <f t="shared" si="80"/>
        <v>No se realizó gasto en este corte</v>
      </c>
      <c r="AB393" s="26" t="str">
        <f t="shared" si="81"/>
        <v>Costo eficiente: se está gastando menos de lo presupuestado</v>
      </c>
      <c r="AC393" s="26">
        <f t="shared" si="82"/>
        <v>0.69230769230769218</v>
      </c>
      <c r="AD393" s="26" t="str">
        <f t="shared" si="83"/>
        <v>Proyecto atrasado con respecto al cronograma</v>
      </c>
      <c r="AE393" s="27">
        <f t="shared" si="84"/>
        <v>0</v>
      </c>
      <c r="AF393" s="27">
        <f t="shared" si="85"/>
        <v>-332116783</v>
      </c>
      <c r="AG393" s="28" t="str">
        <f>VLOOKUP(Indicador!E321,[1]Diccionario!C$1:AC$150,27,0)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93" s="28">
        <v>1</v>
      </c>
      <c r="AI393" s="28">
        <v>1</v>
      </c>
      <c r="AJ393" s="28"/>
      <c r="AK393" s="28"/>
    </row>
    <row r="394" spans="1:37" ht="18.75" customHeight="1" x14ac:dyDescent="0.25">
      <c r="A394" s="11">
        <v>2025</v>
      </c>
      <c r="B394" s="12" t="s">
        <v>55</v>
      </c>
      <c r="C394" s="15" t="s">
        <v>286</v>
      </c>
      <c r="D394" s="39">
        <v>45806.582142789353</v>
      </c>
      <c r="E394" s="15" t="s">
        <v>287</v>
      </c>
      <c r="F394" s="15" t="s">
        <v>134</v>
      </c>
      <c r="G394" s="15" t="s">
        <v>288</v>
      </c>
      <c r="H394" s="15" t="s">
        <v>289</v>
      </c>
      <c r="I394" s="15" t="s">
        <v>78</v>
      </c>
      <c r="J394" s="15" t="s">
        <v>290</v>
      </c>
      <c r="K394" s="15" t="s">
        <v>291</v>
      </c>
      <c r="L394" s="17">
        <f>VLOOKUP(E394,[1]Diccionario!C$2:AC$150,22,0)</f>
        <v>332116783</v>
      </c>
      <c r="M394" s="18">
        <f>VLOOKUP(E394,[1]Diccionario!C$2:AC$150,24,0)</f>
        <v>45778</v>
      </c>
      <c r="N394" s="19">
        <f>VLOOKUP(E394,[1]Diccionario!C$2:AC$150,25,0)</f>
        <v>46127</v>
      </c>
      <c r="O394" s="20">
        <f>VLOOKUP(E394,[1]Diccionario!C$2:AC$150,26,0)</f>
        <v>11.47</v>
      </c>
      <c r="P394" s="20">
        <f t="shared" si="75"/>
        <v>-5.4700000000000006</v>
      </c>
      <c r="Q394" s="20">
        <v>6</v>
      </c>
      <c r="R394" s="15">
        <v>12</v>
      </c>
      <c r="S394" s="21">
        <v>0.72</v>
      </c>
      <c r="T394" s="21">
        <v>0.5</v>
      </c>
      <c r="U394" s="22"/>
      <c r="V394" s="24"/>
      <c r="W394" s="24">
        <f t="shared" si="76"/>
        <v>166058391.5</v>
      </c>
      <c r="X394" s="24">
        <f t="shared" si="77"/>
        <v>239124083.75999999</v>
      </c>
      <c r="Y394" s="24">
        <f t="shared" si="78"/>
        <v>166058391.5</v>
      </c>
      <c r="Z394" s="24">
        <f t="shared" si="79"/>
        <v>-73065692.25999999</v>
      </c>
      <c r="AA394" s="25" t="str">
        <f t="shared" si="80"/>
        <v>No se realizó gasto en este corte</v>
      </c>
      <c r="AB394" s="26" t="str">
        <f t="shared" si="81"/>
        <v>Costo eficiente: se está gastando menos de lo presupuestado</v>
      </c>
      <c r="AC394" s="26">
        <f t="shared" si="82"/>
        <v>0.69444444444444442</v>
      </c>
      <c r="AD394" s="26" t="str">
        <f t="shared" si="83"/>
        <v>Proyecto atrasado con respecto al cronograma</v>
      </c>
      <c r="AE394" s="27">
        <f t="shared" si="84"/>
        <v>0</v>
      </c>
      <c r="AF394" s="27">
        <f t="shared" si="85"/>
        <v>-332116783</v>
      </c>
      <c r="AG394" s="28" t="str">
        <f>VLOOKUP(Indicador!E322,[1]Diccionario!C$1:AC$150,27,0)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94" s="28">
        <v>1</v>
      </c>
      <c r="AI394" s="28">
        <v>1</v>
      </c>
      <c r="AJ394" s="28"/>
      <c r="AK394" s="28"/>
    </row>
    <row r="395" spans="1:37" ht="18.75" customHeight="1" x14ac:dyDescent="0.25">
      <c r="A395" s="11">
        <v>2025</v>
      </c>
      <c r="B395" s="12" t="s">
        <v>56</v>
      </c>
      <c r="C395" s="15" t="s">
        <v>286</v>
      </c>
      <c r="D395" s="39">
        <v>45806.582142789353</v>
      </c>
      <c r="E395" s="15" t="s">
        <v>287</v>
      </c>
      <c r="F395" s="15" t="s">
        <v>134</v>
      </c>
      <c r="G395" s="15" t="s">
        <v>288</v>
      </c>
      <c r="H395" s="15" t="s">
        <v>289</v>
      </c>
      <c r="I395" s="15" t="s">
        <v>78</v>
      </c>
      <c r="J395" s="15" t="s">
        <v>290</v>
      </c>
      <c r="K395" s="15" t="s">
        <v>291</v>
      </c>
      <c r="L395" s="17">
        <f>VLOOKUP(E395,[1]Diccionario!C$2:AC$150,22,0)</f>
        <v>332116783</v>
      </c>
      <c r="M395" s="18">
        <f>VLOOKUP(E395,[1]Diccionario!C$2:AC$150,24,0)</f>
        <v>45778</v>
      </c>
      <c r="N395" s="19">
        <f>VLOOKUP(E395,[1]Diccionario!C$2:AC$150,25,0)</f>
        <v>46127</v>
      </c>
      <c r="O395" s="20">
        <f>VLOOKUP(E395,[1]Diccionario!C$2:AC$150,26,0)</f>
        <v>11.47</v>
      </c>
      <c r="P395" s="20">
        <f t="shared" si="75"/>
        <v>-4.4700000000000006</v>
      </c>
      <c r="Q395" s="20">
        <v>7</v>
      </c>
      <c r="R395" s="15">
        <v>12</v>
      </c>
      <c r="S395" s="21">
        <v>0.85</v>
      </c>
      <c r="T395" s="21">
        <v>0.56999999999999995</v>
      </c>
      <c r="U395" s="22"/>
      <c r="V395" s="24"/>
      <c r="W395" s="24">
        <f t="shared" si="76"/>
        <v>189306566.30999997</v>
      </c>
      <c r="X395" s="24">
        <f t="shared" si="77"/>
        <v>282299265.55000001</v>
      </c>
      <c r="Y395" s="24">
        <f t="shared" si="78"/>
        <v>189306566.30999997</v>
      </c>
      <c r="Z395" s="24">
        <f t="shared" si="79"/>
        <v>-92992699.240000039</v>
      </c>
      <c r="AA395" s="25" t="str">
        <f t="shared" si="80"/>
        <v>No se realizó gasto en este corte</v>
      </c>
      <c r="AB395" s="26" t="str">
        <f t="shared" si="81"/>
        <v>Costo eficiente: se está gastando menos de lo presupuestado</v>
      </c>
      <c r="AC395" s="26">
        <f t="shared" si="82"/>
        <v>0.67058823529411749</v>
      </c>
      <c r="AD395" s="26" t="str">
        <f t="shared" si="83"/>
        <v>Proyecto atrasado con respecto al cronograma</v>
      </c>
      <c r="AE395" s="27">
        <f t="shared" si="84"/>
        <v>0</v>
      </c>
      <c r="AF395" s="27">
        <f t="shared" si="85"/>
        <v>-332116783</v>
      </c>
      <c r="AG395" s="28" t="str">
        <f>VLOOKUP(Indicador!E323,[1]Diccionario!C$1:AC$150,27,0)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95" s="28">
        <v>1</v>
      </c>
      <c r="AI395" s="28">
        <v>1</v>
      </c>
      <c r="AJ395" s="28"/>
      <c r="AK395" s="28"/>
    </row>
    <row r="396" spans="1:37" ht="18.75" customHeight="1" x14ac:dyDescent="0.25">
      <c r="A396" s="11">
        <v>2025</v>
      </c>
      <c r="B396" s="12" t="s">
        <v>57</v>
      </c>
      <c r="C396" s="15" t="s">
        <v>286</v>
      </c>
      <c r="D396" s="39">
        <v>45806.582142789353</v>
      </c>
      <c r="E396" s="15" t="s">
        <v>287</v>
      </c>
      <c r="F396" s="15" t="s">
        <v>134</v>
      </c>
      <c r="G396" s="15" t="s">
        <v>288</v>
      </c>
      <c r="H396" s="15" t="s">
        <v>289</v>
      </c>
      <c r="I396" s="15" t="s">
        <v>78</v>
      </c>
      <c r="J396" s="15" t="s">
        <v>290</v>
      </c>
      <c r="K396" s="15" t="s">
        <v>291</v>
      </c>
      <c r="L396" s="17">
        <f>VLOOKUP(E396,[1]Diccionario!C$2:AC$150,22,0)</f>
        <v>332116783</v>
      </c>
      <c r="M396" s="18">
        <f>VLOOKUP(E396,[1]Diccionario!C$2:AC$150,24,0)</f>
        <v>45778</v>
      </c>
      <c r="N396" s="19">
        <f>VLOOKUP(E396,[1]Diccionario!C$2:AC$150,25,0)</f>
        <v>46127</v>
      </c>
      <c r="O396" s="20">
        <f>VLOOKUP(E396,[1]Diccionario!C$2:AC$150,26,0)</f>
        <v>11.47</v>
      </c>
      <c r="P396" s="20">
        <f t="shared" si="75"/>
        <v>-3.4700000000000006</v>
      </c>
      <c r="Q396" s="20">
        <v>8</v>
      </c>
      <c r="R396" s="15">
        <v>12</v>
      </c>
      <c r="S396" s="21">
        <v>0.95</v>
      </c>
      <c r="T396" s="21">
        <v>0.65</v>
      </c>
      <c r="U396" s="22"/>
      <c r="V396" s="24"/>
      <c r="W396" s="24">
        <f t="shared" si="76"/>
        <v>215875908.95000002</v>
      </c>
      <c r="X396" s="24">
        <f t="shared" si="77"/>
        <v>315510943.84999996</v>
      </c>
      <c r="Y396" s="24">
        <f t="shared" si="78"/>
        <v>215875908.95000002</v>
      </c>
      <c r="Z396" s="24">
        <f t="shared" si="79"/>
        <v>-99635034.899999946</v>
      </c>
      <c r="AA396" s="25" t="str">
        <f t="shared" si="80"/>
        <v>No se realizó gasto en este corte</v>
      </c>
      <c r="AB396" s="26" t="str">
        <f t="shared" si="81"/>
        <v>Costo eficiente: se está gastando menos de lo presupuestado</v>
      </c>
      <c r="AC396" s="26">
        <f t="shared" si="82"/>
        <v>0.6842105263157896</v>
      </c>
      <c r="AD396" s="26" t="str">
        <f t="shared" si="83"/>
        <v>Proyecto atrasado con respecto al cronograma</v>
      </c>
      <c r="AE396" s="27">
        <f t="shared" si="84"/>
        <v>0</v>
      </c>
      <c r="AF396" s="27">
        <f t="shared" si="85"/>
        <v>-332116783</v>
      </c>
      <c r="AG396" s="28" t="str">
        <f>VLOOKUP(Indicador!E324,[1]Diccionario!C$1:AC$150,27,0)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96" s="28">
        <v>1</v>
      </c>
      <c r="AI396" s="28">
        <v>1</v>
      </c>
      <c r="AJ396" s="28"/>
      <c r="AK396" s="28"/>
    </row>
    <row r="397" spans="1:37" ht="18.75" customHeight="1" x14ac:dyDescent="0.25">
      <c r="A397" s="11">
        <v>2026</v>
      </c>
      <c r="B397" s="12" t="s">
        <v>37</v>
      </c>
      <c r="C397" s="15" t="s">
        <v>286</v>
      </c>
      <c r="D397" s="39">
        <v>45806.582142789353</v>
      </c>
      <c r="E397" s="15" t="s">
        <v>287</v>
      </c>
      <c r="F397" s="15" t="s">
        <v>134</v>
      </c>
      <c r="G397" s="15" t="s">
        <v>288</v>
      </c>
      <c r="H397" s="15" t="s">
        <v>289</v>
      </c>
      <c r="I397" s="15" t="s">
        <v>78</v>
      </c>
      <c r="J397" s="15" t="s">
        <v>290</v>
      </c>
      <c r="K397" s="15" t="s">
        <v>291</v>
      </c>
      <c r="L397" s="17">
        <f>VLOOKUP(E397,[1]Diccionario!C$2:AC$150,22,0)</f>
        <v>332116783</v>
      </c>
      <c r="M397" s="18">
        <f>VLOOKUP(E397,[1]Diccionario!C$2:AC$150,24,0)</f>
        <v>45778</v>
      </c>
      <c r="N397" s="19">
        <f>VLOOKUP(E397,[1]Diccionario!C$2:AC$150,25,0)</f>
        <v>46127</v>
      </c>
      <c r="O397" s="20">
        <f>VLOOKUP(E397,[1]Diccionario!C$2:AC$150,26,0)</f>
        <v>11.47</v>
      </c>
      <c r="P397" s="20">
        <f t="shared" si="75"/>
        <v>-2.4700000000000006</v>
      </c>
      <c r="Q397" s="20">
        <v>9</v>
      </c>
      <c r="R397" s="15">
        <v>12</v>
      </c>
      <c r="S397" s="21">
        <v>1</v>
      </c>
      <c r="T397" s="21">
        <v>0.78</v>
      </c>
      <c r="U397" s="22"/>
      <c r="V397" s="24"/>
      <c r="W397" s="24">
        <f t="shared" si="76"/>
        <v>259051090.74000001</v>
      </c>
      <c r="X397" s="24">
        <f t="shared" si="77"/>
        <v>332116783</v>
      </c>
      <c r="Y397" s="24">
        <f t="shared" si="78"/>
        <v>259051090.74000001</v>
      </c>
      <c r="Z397" s="24">
        <f t="shared" si="79"/>
        <v>-73065692.25999999</v>
      </c>
      <c r="AA397" s="25" t="str">
        <f t="shared" si="80"/>
        <v>No se realizó gasto en este corte</v>
      </c>
      <c r="AB397" s="26" t="str">
        <f t="shared" si="81"/>
        <v>Costo eficiente: se está gastando menos de lo presupuestado</v>
      </c>
      <c r="AC397" s="26">
        <f t="shared" si="82"/>
        <v>0.78</v>
      </c>
      <c r="AD397" s="26" t="str">
        <f t="shared" si="83"/>
        <v>Proyecto atrasado con respecto al cronograma</v>
      </c>
      <c r="AE397" s="27">
        <f t="shared" si="84"/>
        <v>0</v>
      </c>
      <c r="AF397" s="27">
        <f t="shared" si="85"/>
        <v>-332116783</v>
      </c>
      <c r="AG397" s="28" t="str">
        <f>VLOOKUP(Indicador!E325,[1]Diccionario!C$1:AC$150,27,0)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97" s="28">
        <v>1</v>
      </c>
      <c r="AI397" s="28">
        <v>1</v>
      </c>
      <c r="AJ397" s="28"/>
      <c r="AK397" s="28"/>
    </row>
    <row r="398" spans="1:37" ht="18.75" customHeight="1" x14ac:dyDescent="0.25">
      <c r="A398" s="11">
        <v>2026</v>
      </c>
      <c r="B398" s="12" t="s">
        <v>47</v>
      </c>
      <c r="C398" s="15" t="s">
        <v>286</v>
      </c>
      <c r="D398" s="39">
        <v>45806.582142789353</v>
      </c>
      <c r="E398" s="15" t="s">
        <v>287</v>
      </c>
      <c r="F398" s="15" t="s">
        <v>134</v>
      </c>
      <c r="G398" s="15" t="s">
        <v>288</v>
      </c>
      <c r="H398" s="15" t="s">
        <v>289</v>
      </c>
      <c r="I398" s="15" t="s">
        <v>78</v>
      </c>
      <c r="J398" s="15" t="s">
        <v>290</v>
      </c>
      <c r="K398" s="15" t="s">
        <v>291</v>
      </c>
      <c r="L398" s="17">
        <f>VLOOKUP(E398,[1]Diccionario!C$2:AC$150,22,0)</f>
        <v>332116783</v>
      </c>
      <c r="M398" s="18">
        <f>VLOOKUP(E398,[1]Diccionario!C$2:AC$150,24,0)</f>
        <v>45778</v>
      </c>
      <c r="N398" s="19">
        <f>VLOOKUP(E398,[1]Diccionario!C$2:AC$150,25,0)</f>
        <v>46127</v>
      </c>
      <c r="O398" s="20">
        <f>VLOOKUP(E398,[1]Diccionario!C$2:AC$150,26,0)</f>
        <v>11.47</v>
      </c>
      <c r="P398" s="20">
        <f t="shared" ca="1" si="75"/>
        <v>-0.47000000000000064</v>
      </c>
      <c r="Q398" s="20">
        <f ca="1">DATEDIF(M398,TODAY(),"m")</f>
        <v>11</v>
      </c>
      <c r="R398" s="15">
        <v>12</v>
      </c>
      <c r="S398" s="21">
        <v>1</v>
      </c>
      <c r="T398" s="21">
        <v>0.85</v>
      </c>
      <c r="U398" s="22"/>
      <c r="V398" s="24"/>
      <c r="W398" s="24">
        <f t="shared" si="76"/>
        <v>282299265.55000001</v>
      </c>
      <c r="X398" s="24">
        <f t="shared" si="77"/>
        <v>332116783</v>
      </c>
      <c r="Y398" s="24">
        <f t="shared" si="78"/>
        <v>282299265.55000001</v>
      </c>
      <c r="Z398" s="24">
        <f t="shared" si="79"/>
        <v>-49817517.449999988</v>
      </c>
      <c r="AA398" s="25" t="str">
        <f t="shared" si="80"/>
        <v>No se realizó gasto en este corte</v>
      </c>
      <c r="AB398" s="26" t="str">
        <f t="shared" si="81"/>
        <v>Costo eficiente: se está gastando menos de lo presupuestado</v>
      </c>
      <c r="AC398" s="26">
        <f t="shared" si="82"/>
        <v>0.85000000000000009</v>
      </c>
      <c r="AD398" s="26" t="str">
        <f t="shared" si="83"/>
        <v>Proyecto atrasado con respecto al cronograma</v>
      </c>
      <c r="AE398" s="27">
        <f t="shared" si="84"/>
        <v>0</v>
      </c>
      <c r="AF398" s="27">
        <f t="shared" si="85"/>
        <v>-332116783</v>
      </c>
      <c r="AG398" s="28" t="str">
        <f>VLOOKUP(Indicador!E326,[1]Diccionario!C$1:AC$150,27,0)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98" s="28">
        <v>1</v>
      </c>
      <c r="AI398" s="28">
        <v>1</v>
      </c>
      <c r="AJ398" s="28"/>
      <c r="AK398" s="28"/>
    </row>
    <row r="399" spans="1:37" ht="18.75" customHeight="1" x14ac:dyDescent="0.25">
      <c r="A399" s="11">
        <v>2026</v>
      </c>
      <c r="B399" s="12" t="s">
        <v>48</v>
      </c>
      <c r="C399" s="15" t="s">
        <v>286</v>
      </c>
      <c r="D399" s="39">
        <v>45806.582142789353</v>
      </c>
      <c r="E399" s="15" t="s">
        <v>287</v>
      </c>
      <c r="F399" s="15" t="s">
        <v>134</v>
      </c>
      <c r="G399" s="15" t="s">
        <v>288</v>
      </c>
      <c r="H399" s="15" t="s">
        <v>289</v>
      </c>
      <c r="I399" s="15" t="s">
        <v>78</v>
      </c>
      <c r="J399" s="15" t="s">
        <v>290</v>
      </c>
      <c r="K399" s="15" t="s">
        <v>291</v>
      </c>
      <c r="L399" s="17">
        <f>VLOOKUP(E399,[1]Diccionario!C$2:AC$150,22,0)</f>
        <v>332116783</v>
      </c>
      <c r="M399" s="18">
        <f>VLOOKUP(E399,[1]Diccionario!C$2:AC$150,24,0)</f>
        <v>45778</v>
      </c>
      <c r="N399" s="19">
        <f>VLOOKUP(E399,[1]Diccionario!C$2:AC$150,25,0)</f>
        <v>46127</v>
      </c>
      <c r="O399" s="20">
        <f>VLOOKUP(E399,[1]Diccionario!C$2:AC$150,26,0)</f>
        <v>11.47</v>
      </c>
      <c r="P399" s="20">
        <f t="shared" ca="1" si="75"/>
        <v>-0.47000000000000064</v>
      </c>
      <c r="Q399" s="20">
        <f ca="1">DATEDIF(M399,TODAY(),"m")</f>
        <v>11</v>
      </c>
      <c r="R399" s="15">
        <v>12</v>
      </c>
      <c r="S399" s="21">
        <v>1</v>
      </c>
      <c r="T399" s="21">
        <v>0.95</v>
      </c>
      <c r="U399" s="22"/>
      <c r="V399" s="24"/>
      <c r="W399" s="24">
        <f t="shared" si="76"/>
        <v>315510943.84999996</v>
      </c>
      <c r="X399" s="24">
        <f t="shared" si="77"/>
        <v>332116783</v>
      </c>
      <c r="Y399" s="24">
        <f t="shared" si="78"/>
        <v>315510943.84999996</v>
      </c>
      <c r="Z399" s="24">
        <f t="shared" si="79"/>
        <v>-16605839.150000036</v>
      </c>
      <c r="AA399" s="25" t="str">
        <f t="shared" si="80"/>
        <v>No se realizó gasto en este corte</v>
      </c>
      <c r="AB399" s="26" t="str">
        <f t="shared" si="81"/>
        <v>Costo eficiente: se está gastando menos de lo presupuestado</v>
      </c>
      <c r="AC399" s="26">
        <f t="shared" si="82"/>
        <v>0.94999999999999984</v>
      </c>
      <c r="AD399" s="26" t="str">
        <f t="shared" si="83"/>
        <v>Proyecto atrasado con respecto al cronograma</v>
      </c>
      <c r="AE399" s="27">
        <f t="shared" si="84"/>
        <v>0</v>
      </c>
      <c r="AF399" s="27">
        <f t="shared" si="85"/>
        <v>-332116783</v>
      </c>
      <c r="AG399" s="28" t="str">
        <f>VLOOKUP(Indicador!E327,[1]Diccionario!C$1:AC$150,27,0)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99" s="28">
        <v>1</v>
      </c>
      <c r="AI399" s="28">
        <v>1</v>
      </c>
      <c r="AJ399" s="28"/>
      <c r="AK399" s="28"/>
    </row>
    <row r="400" spans="1:37" ht="18.75" customHeight="1" x14ac:dyDescent="0.25">
      <c r="A400" s="11">
        <v>2026</v>
      </c>
      <c r="B400" s="12" t="s">
        <v>49</v>
      </c>
      <c r="C400" s="15" t="s">
        <v>286</v>
      </c>
      <c r="D400" s="39">
        <v>45806.582142789353</v>
      </c>
      <c r="E400" s="15" t="s">
        <v>287</v>
      </c>
      <c r="F400" s="15" t="s">
        <v>134</v>
      </c>
      <c r="G400" s="15" t="s">
        <v>288</v>
      </c>
      <c r="H400" s="15" t="s">
        <v>289</v>
      </c>
      <c r="I400" s="15" t="s">
        <v>78</v>
      </c>
      <c r="J400" s="15" t="s">
        <v>290</v>
      </c>
      <c r="K400" s="15" t="s">
        <v>291</v>
      </c>
      <c r="L400" s="17">
        <f>VLOOKUP(E400,[1]Diccionario!C$2:AC$150,22,0)</f>
        <v>332116783</v>
      </c>
      <c r="M400" s="18">
        <f>VLOOKUP(E400,[1]Diccionario!C$2:AC$150,24,0)</f>
        <v>45778</v>
      </c>
      <c r="N400" s="19">
        <f>VLOOKUP(E400,[1]Diccionario!C$2:AC$150,25,0)</f>
        <v>46127</v>
      </c>
      <c r="O400" s="20">
        <f>VLOOKUP(E400,[1]Diccionario!C$2:AC$150,26,0)</f>
        <v>11.47</v>
      </c>
      <c r="P400" s="20">
        <f t="shared" ca="1" si="75"/>
        <v>-0.47000000000000064</v>
      </c>
      <c r="Q400" s="20">
        <f ca="1">DATEDIF(M400,TODAY(),"m")</f>
        <v>11</v>
      </c>
      <c r="R400" s="15">
        <v>12</v>
      </c>
      <c r="S400" s="21">
        <v>1</v>
      </c>
      <c r="T400" s="21">
        <v>1</v>
      </c>
      <c r="U400" s="22"/>
      <c r="V400" s="24"/>
      <c r="W400" s="24">
        <f t="shared" si="76"/>
        <v>332116783</v>
      </c>
      <c r="X400" s="24">
        <f t="shared" si="77"/>
        <v>332116783</v>
      </c>
      <c r="Y400" s="24">
        <f t="shared" si="78"/>
        <v>332116783</v>
      </c>
      <c r="Z400" s="24">
        <f t="shared" si="79"/>
        <v>0</v>
      </c>
      <c r="AA400" s="25" t="str">
        <f t="shared" si="80"/>
        <v>No se realizó gasto en este corte</v>
      </c>
      <c r="AB400" s="26" t="str">
        <f t="shared" si="81"/>
        <v>Costo eficiente: se está gastando menos de lo presupuestado</v>
      </c>
      <c r="AC400" s="26">
        <f t="shared" si="82"/>
        <v>1</v>
      </c>
      <c r="AD400" s="26" t="str">
        <f t="shared" si="83"/>
        <v>Proyecto a tiempo según lo planificado</v>
      </c>
      <c r="AE400" s="27">
        <f t="shared" si="84"/>
        <v>0</v>
      </c>
      <c r="AF400" s="27">
        <f t="shared" si="85"/>
        <v>-332116783</v>
      </c>
      <c r="AG400" s="28" t="str">
        <f>VLOOKUP(Indicador!E328,[1]Diccionario!C$1:AC$150,27,0)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400" s="28">
        <v>1</v>
      </c>
      <c r="AI400" s="28">
        <v>1</v>
      </c>
      <c r="AJ400" s="28"/>
      <c r="AK400" s="28"/>
    </row>
    <row r="401" spans="1:37" ht="18.75" customHeight="1" x14ac:dyDescent="0.25">
      <c r="A401" s="11">
        <v>2025</v>
      </c>
      <c r="B401" s="12" t="s">
        <v>52</v>
      </c>
      <c r="C401" s="15" t="s">
        <v>292</v>
      </c>
      <c r="D401" s="39">
        <v>45845.584573807871</v>
      </c>
      <c r="E401" s="15" t="s">
        <v>293</v>
      </c>
      <c r="F401" s="15" t="s">
        <v>294</v>
      </c>
      <c r="G401" s="15" t="s">
        <v>295</v>
      </c>
      <c r="H401" s="15" t="s">
        <v>296</v>
      </c>
      <c r="I401" s="15" t="s">
        <v>63</v>
      </c>
      <c r="J401" s="15" t="s">
        <v>297</v>
      </c>
      <c r="K401" s="15" t="s">
        <v>45</v>
      </c>
      <c r="L401" s="17">
        <f>VLOOKUP(E401,[1]Diccionario!C$2:AC$150,22,0)</f>
        <v>5155459063</v>
      </c>
      <c r="M401" s="18">
        <f>VLOOKUP(E401,[1]Diccionario!C$2:AC$150,24,0)</f>
        <v>45836</v>
      </c>
      <c r="N401" s="19">
        <f>VLOOKUP(E401,[1]Diccionario!C$2:AC$150,25,0)</f>
        <v>46112</v>
      </c>
      <c r="O401" s="20">
        <f>VLOOKUP(E401,[1]Diccionario!C$2:AC$150,26,0)</f>
        <v>9.1</v>
      </c>
      <c r="P401" s="20">
        <f t="shared" si="75"/>
        <v>-7.1</v>
      </c>
      <c r="Q401" s="20">
        <v>2</v>
      </c>
      <c r="R401" s="15">
        <v>11</v>
      </c>
      <c r="S401" s="21">
        <v>0.19</v>
      </c>
      <c r="T401" s="21">
        <v>0.19</v>
      </c>
      <c r="U401" s="22"/>
      <c r="V401" s="24"/>
      <c r="W401" s="24">
        <f t="shared" si="76"/>
        <v>979537221.97000003</v>
      </c>
      <c r="X401" s="24">
        <f t="shared" si="77"/>
        <v>979537221.97000003</v>
      </c>
      <c r="Y401" s="24">
        <f t="shared" si="78"/>
        <v>979537221.97000003</v>
      </c>
      <c r="Z401" s="24">
        <f t="shared" si="79"/>
        <v>0</v>
      </c>
      <c r="AA401" s="25" t="str">
        <f t="shared" si="80"/>
        <v>No se realizó gasto en este corte</v>
      </c>
      <c r="AB401" s="26" t="str">
        <f t="shared" si="81"/>
        <v>Costo eficiente: se está gastando menos de lo presupuestado</v>
      </c>
      <c r="AC401" s="26">
        <f t="shared" si="82"/>
        <v>1</v>
      </c>
      <c r="AD401" s="26" t="str">
        <f t="shared" si="83"/>
        <v>Proyecto a tiempo según lo planificado</v>
      </c>
      <c r="AE401" s="27">
        <f t="shared" si="84"/>
        <v>0</v>
      </c>
      <c r="AF401" s="27">
        <f t="shared" si="85"/>
        <v>-5155459063</v>
      </c>
      <c r="AG401" s="28" t="str">
        <f>VLOOKUP(Indicador!E335,[1]Diccionario!C$1:AC$150,27,0)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01" s="28">
        <v>1</v>
      </c>
      <c r="AI401" s="28">
        <v>1</v>
      </c>
      <c r="AJ401" s="28"/>
      <c r="AK401" s="28"/>
    </row>
    <row r="402" spans="1:37" ht="18.75" customHeight="1" x14ac:dyDescent="0.25">
      <c r="A402" s="11">
        <v>2025</v>
      </c>
      <c r="B402" s="12" t="s">
        <v>53</v>
      </c>
      <c r="C402" s="15" t="s">
        <v>292</v>
      </c>
      <c r="D402" s="39">
        <v>45845.584573807871</v>
      </c>
      <c r="E402" s="15" t="s">
        <v>293</v>
      </c>
      <c r="F402" s="15" t="s">
        <v>294</v>
      </c>
      <c r="G402" s="15" t="s">
        <v>295</v>
      </c>
      <c r="H402" s="15" t="s">
        <v>296</v>
      </c>
      <c r="I402" s="15" t="s">
        <v>63</v>
      </c>
      <c r="J402" s="15" t="s">
        <v>297</v>
      </c>
      <c r="K402" s="15" t="s">
        <v>45</v>
      </c>
      <c r="L402" s="17">
        <f>VLOOKUP(E402,[1]Diccionario!C$2:AC$150,22,0)</f>
        <v>5155459063</v>
      </c>
      <c r="M402" s="18">
        <f>VLOOKUP(E402,[1]Diccionario!C$2:AC$150,24,0)</f>
        <v>45836</v>
      </c>
      <c r="N402" s="19">
        <f>VLOOKUP(E402,[1]Diccionario!C$2:AC$150,25,0)</f>
        <v>46112</v>
      </c>
      <c r="O402" s="20">
        <f>VLOOKUP(E402,[1]Diccionario!C$2:AC$150,26,0)</f>
        <v>9.1</v>
      </c>
      <c r="P402" s="20">
        <f t="shared" si="75"/>
        <v>-6.1</v>
      </c>
      <c r="Q402" s="20">
        <v>3</v>
      </c>
      <c r="R402" s="15">
        <v>11</v>
      </c>
      <c r="S402" s="21">
        <v>0.31</v>
      </c>
      <c r="T402" s="21">
        <v>0.31</v>
      </c>
      <c r="U402" s="22"/>
      <c r="V402" s="24"/>
      <c r="W402" s="24">
        <f t="shared" si="76"/>
        <v>1598192309.53</v>
      </c>
      <c r="X402" s="24">
        <f t="shared" si="77"/>
        <v>1598192309.53</v>
      </c>
      <c r="Y402" s="24">
        <f t="shared" si="78"/>
        <v>1598192309.53</v>
      </c>
      <c r="Z402" s="24">
        <f t="shared" si="79"/>
        <v>0</v>
      </c>
      <c r="AA402" s="25" t="str">
        <f t="shared" si="80"/>
        <v>No se realizó gasto en este corte</v>
      </c>
      <c r="AB402" s="26" t="str">
        <f t="shared" si="81"/>
        <v>Costo eficiente: se está gastando menos de lo presupuestado</v>
      </c>
      <c r="AC402" s="26">
        <f t="shared" si="82"/>
        <v>1</v>
      </c>
      <c r="AD402" s="26" t="str">
        <f t="shared" si="83"/>
        <v>Proyecto a tiempo según lo planificado</v>
      </c>
      <c r="AE402" s="27">
        <f t="shared" si="84"/>
        <v>0</v>
      </c>
      <c r="AF402" s="27">
        <f t="shared" si="85"/>
        <v>-5155459063</v>
      </c>
      <c r="AG402" s="28" t="str">
        <f>VLOOKUP(Indicador!E336,[1]Diccionario!C$1:AC$150,27,0)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02" s="28">
        <v>1</v>
      </c>
      <c r="AI402" s="28">
        <v>1</v>
      </c>
      <c r="AJ402" s="28"/>
      <c r="AK402" s="28"/>
    </row>
    <row r="403" spans="1:37" ht="18.75" customHeight="1" x14ac:dyDescent="0.25">
      <c r="A403" s="11">
        <v>2025</v>
      </c>
      <c r="B403" s="12" t="s">
        <v>54</v>
      </c>
      <c r="C403" s="15" t="s">
        <v>292</v>
      </c>
      <c r="D403" s="39">
        <v>45845.584573807871</v>
      </c>
      <c r="E403" s="15" t="s">
        <v>293</v>
      </c>
      <c r="F403" s="15" t="s">
        <v>294</v>
      </c>
      <c r="G403" s="15" t="s">
        <v>295</v>
      </c>
      <c r="H403" s="15" t="s">
        <v>296</v>
      </c>
      <c r="I403" s="15" t="s">
        <v>63</v>
      </c>
      <c r="J403" s="15" t="s">
        <v>297</v>
      </c>
      <c r="K403" s="15" t="s">
        <v>45</v>
      </c>
      <c r="L403" s="17">
        <f>VLOOKUP(E403,[1]Diccionario!C$2:AC$150,22,0)</f>
        <v>5155459063</v>
      </c>
      <c r="M403" s="18">
        <f>VLOOKUP(E403,[1]Diccionario!C$2:AC$150,24,0)</f>
        <v>45836</v>
      </c>
      <c r="N403" s="19">
        <f>VLOOKUP(E403,[1]Diccionario!C$2:AC$150,25,0)</f>
        <v>46112</v>
      </c>
      <c r="O403" s="20">
        <f>VLOOKUP(E403,[1]Diccionario!C$2:AC$150,26,0)</f>
        <v>9.1</v>
      </c>
      <c r="P403" s="20">
        <f t="shared" si="75"/>
        <v>-5.0999999999999996</v>
      </c>
      <c r="Q403" s="20">
        <v>4</v>
      </c>
      <c r="R403" s="15">
        <v>11</v>
      </c>
      <c r="S403" s="21">
        <v>0.43</v>
      </c>
      <c r="T403" s="21">
        <v>0.43</v>
      </c>
      <c r="U403" s="22"/>
      <c r="V403" s="24"/>
      <c r="W403" s="24">
        <f t="shared" si="76"/>
        <v>2216847397.0900002</v>
      </c>
      <c r="X403" s="24">
        <f t="shared" si="77"/>
        <v>2216847397.0900002</v>
      </c>
      <c r="Y403" s="24">
        <f t="shared" si="78"/>
        <v>2216847397.0900002</v>
      </c>
      <c r="Z403" s="24">
        <f t="shared" si="79"/>
        <v>0</v>
      </c>
      <c r="AA403" s="25" t="str">
        <f t="shared" si="80"/>
        <v>No se realizó gasto en este corte</v>
      </c>
      <c r="AB403" s="26" t="str">
        <f t="shared" si="81"/>
        <v>Costo eficiente: se está gastando menos de lo presupuestado</v>
      </c>
      <c r="AC403" s="26">
        <f t="shared" si="82"/>
        <v>1</v>
      </c>
      <c r="AD403" s="26" t="str">
        <f t="shared" si="83"/>
        <v>Proyecto a tiempo según lo planificado</v>
      </c>
      <c r="AE403" s="27">
        <f t="shared" si="84"/>
        <v>0</v>
      </c>
      <c r="AF403" s="27">
        <f t="shared" si="85"/>
        <v>-5155459063</v>
      </c>
      <c r="AG403" s="28" t="str">
        <f>VLOOKUP(Indicador!E337,[1]Diccionario!C$1:AC$150,27,0)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03" s="28">
        <v>1</v>
      </c>
      <c r="AI403" s="28">
        <v>1</v>
      </c>
      <c r="AJ403" s="28"/>
      <c r="AK403" s="28"/>
    </row>
    <row r="404" spans="1:37" ht="18.75" customHeight="1" x14ac:dyDescent="0.25">
      <c r="A404" s="11">
        <v>2025</v>
      </c>
      <c r="B404" s="12" t="s">
        <v>55</v>
      </c>
      <c r="C404" s="15" t="s">
        <v>292</v>
      </c>
      <c r="D404" s="39">
        <v>45845.584573807871</v>
      </c>
      <c r="E404" s="15" t="s">
        <v>293</v>
      </c>
      <c r="F404" s="15" t="s">
        <v>294</v>
      </c>
      <c r="G404" s="15" t="s">
        <v>295</v>
      </c>
      <c r="H404" s="15" t="s">
        <v>296</v>
      </c>
      <c r="I404" s="15" t="s">
        <v>63</v>
      </c>
      <c r="J404" s="15" t="s">
        <v>297</v>
      </c>
      <c r="K404" s="15" t="s">
        <v>45</v>
      </c>
      <c r="L404" s="17">
        <f>VLOOKUP(E404,[1]Diccionario!C$2:AC$150,22,0)</f>
        <v>5155459063</v>
      </c>
      <c r="M404" s="18">
        <f>VLOOKUP(E404,[1]Diccionario!C$2:AC$150,24,0)</f>
        <v>45836</v>
      </c>
      <c r="N404" s="19">
        <f>VLOOKUP(E404,[1]Diccionario!C$2:AC$150,25,0)</f>
        <v>46112</v>
      </c>
      <c r="O404" s="20">
        <f>VLOOKUP(E404,[1]Diccionario!C$2:AC$150,26,0)</f>
        <v>9.1</v>
      </c>
      <c r="P404" s="20">
        <f t="shared" si="75"/>
        <v>-4.0999999999999996</v>
      </c>
      <c r="Q404" s="20">
        <v>5</v>
      </c>
      <c r="R404" s="15">
        <v>11</v>
      </c>
      <c r="S404" s="21">
        <v>0.5</v>
      </c>
      <c r="T404" s="21">
        <v>0.5</v>
      </c>
      <c r="U404" s="22"/>
      <c r="V404" s="24"/>
      <c r="W404" s="24">
        <f t="shared" si="76"/>
        <v>2577729531.5</v>
      </c>
      <c r="X404" s="24">
        <f t="shared" si="77"/>
        <v>2577729531.5</v>
      </c>
      <c r="Y404" s="24">
        <f t="shared" si="78"/>
        <v>2577729531.5</v>
      </c>
      <c r="Z404" s="24">
        <f t="shared" si="79"/>
        <v>0</v>
      </c>
      <c r="AA404" s="25" t="str">
        <f t="shared" si="80"/>
        <v>No se realizó gasto en este corte</v>
      </c>
      <c r="AB404" s="26" t="str">
        <f t="shared" si="81"/>
        <v>Costo eficiente: se está gastando menos de lo presupuestado</v>
      </c>
      <c r="AC404" s="26">
        <f t="shared" si="82"/>
        <v>1</v>
      </c>
      <c r="AD404" s="26" t="str">
        <f t="shared" si="83"/>
        <v>Proyecto a tiempo según lo planificado</v>
      </c>
      <c r="AE404" s="27">
        <f t="shared" si="84"/>
        <v>0</v>
      </c>
      <c r="AF404" s="27">
        <f t="shared" si="85"/>
        <v>-5155459063</v>
      </c>
      <c r="AG404" s="28" t="str">
        <f>VLOOKUP(Indicador!E338,[1]Diccionario!C$1:AC$150,27,0)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04" s="28">
        <v>1</v>
      </c>
      <c r="AI404" s="28">
        <v>1</v>
      </c>
      <c r="AJ404" s="28"/>
      <c r="AK404" s="28"/>
    </row>
    <row r="405" spans="1:37" ht="18.75" customHeight="1" x14ac:dyDescent="0.25">
      <c r="A405" s="11">
        <v>2025</v>
      </c>
      <c r="B405" s="12" t="s">
        <v>56</v>
      </c>
      <c r="C405" s="15" t="s">
        <v>292</v>
      </c>
      <c r="D405" s="39">
        <v>45845.584573807871</v>
      </c>
      <c r="E405" s="15" t="s">
        <v>293</v>
      </c>
      <c r="F405" s="15" t="s">
        <v>294</v>
      </c>
      <c r="G405" s="15" t="s">
        <v>295</v>
      </c>
      <c r="H405" s="15" t="s">
        <v>296</v>
      </c>
      <c r="I405" s="15" t="s">
        <v>63</v>
      </c>
      <c r="J405" s="15" t="s">
        <v>297</v>
      </c>
      <c r="K405" s="15" t="s">
        <v>45</v>
      </c>
      <c r="L405" s="17">
        <f>VLOOKUP(E405,[1]Diccionario!C$2:AC$150,22,0)</f>
        <v>5155459063</v>
      </c>
      <c r="M405" s="18">
        <f>VLOOKUP(E405,[1]Diccionario!C$2:AC$150,24,0)</f>
        <v>45836</v>
      </c>
      <c r="N405" s="19">
        <f>VLOOKUP(E405,[1]Diccionario!C$2:AC$150,25,0)</f>
        <v>46112</v>
      </c>
      <c r="O405" s="20">
        <f>VLOOKUP(E405,[1]Diccionario!C$2:AC$150,26,0)</f>
        <v>9.1</v>
      </c>
      <c r="P405" s="20">
        <f t="shared" si="75"/>
        <v>-3.0999999999999996</v>
      </c>
      <c r="Q405" s="20">
        <v>6</v>
      </c>
      <c r="R405" s="15">
        <v>11</v>
      </c>
      <c r="S405" s="21">
        <v>0.65</v>
      </c>
      <c r="T405" s="21">
        <v>0.65</v>
      </c>
      <c r="U405" s="22"/>
      <c r="V405" s="24"/>
      <c r="W405" s="24">
        <f t="shared" si="76"/>
        <v>3351048390.9500003</v>
      </c>
      <c r="X405" s="24">
        <f t="shared" si="77"/>
        <v>3351048390.9500003</v>
      </c>
      <c r="Y405" s="24">
        <f t="shared" si="78"/>
        <v>3351048390.9500003</v>
      </c>
      <c r="Z405" s="24">
        <f t="shared" si="79"/>
        <v>0</v>
      </c>
      <c r="AA405" s="25" t="str">
        <f t="shared" si="80"/>
        <v>No se realizó gasto en este corte</v>
      </c>
      <c r="AB405" s="26" t="str">
        <f t="shared" si="81"/>
        <v>Costo eficiente: se está gastando menos de lo presupuestado</v>
      </c>
      <c r="AC405" s="26">
        <f t="shared" si="82"/>
        <v>1</v>
      </c>
      <c r="AD405" s="26" t="str">
        <f t="shared" si="83"/>
        <v>Proyecto a tiempo según lo planificado</v>
      </c>
      <c r="AE405" s="27">
        <f t="shared" si="84"/>
        <v>0</v>
      </c>
      <c r="AF405" s="27">
        <f t="shared" si="85"/>
        <v>-5155459063</v>
      </c>
      <c r="AG405" s="28" t="str">
        <f>VLOOKUP(Indicador!E339,[1]Diccionario!C$1:AC$150,27,0)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05" s="28">
        <v>1</v>
      </c>
      <c r="AI405" s="28">
        <v>1</v>
      </c>
      <c r="AJ405" s="28"/>
      <c r="AK405" s="28"/>
    </row>
    <row r="406" spans="1:37" ht="18.75" customHeight="1" x14ac:dyDescent="0.25">
      <c r="A406" s="11">
        <v>2025</v>
      </c>
      <c r="B406" s="12" t="s">
        <v>57</v>
      </c>
      <c r="C406" s="15" t="s">
        <v>292</v>
      </c>
      <c r="D406" s="39">
        <v>45845.584573807871</v>
      </c>
      <c r="E406" s="15" t="s">
        <v>293</v>
      </c>
      <c r="F406" s="15" t="s">
        <v>294</v>
      </c>
      <c r="G406" s="15" t="s">
        <v>295</v>
      </c>
      <c r="H406" s="15" t="s">
        <v>296</v>
      </c>
      <c r="I406" s="15" t="s">
        <v>63</v>
      </c>
      <c r="J406" s="15" t="s">
        <v>297</v>
      </c>
      <c r="K406" s="15" t="s">
        <v>45</v>
      </c>
      <c r="L406" s="17">
        <f>VLOOKUP(E406,[1]Diccionario!C$2:AC$150,22,0)</f>
        <v>5155459063</v>
      </c>
      <c r="M406" s="18">
        <f>VLOOKUP(E406,[1]Diccionario!C$2:AC$150,24,0)</f>
        <v>45836</v>
      </c>
      <c r="N406" s="19">
        <f>VLOOKUP(E406,[1]Diccionario!C$2:AC$150,25,0)</f>
        <v>46112</v>
      </c>
      <c r="O406" s="20">
        <f>VLOOKUP(E406,[1]Diccionario!C$2:AC$150,26,0)</f>
        <v>9.1</v>
      </c>
      <c r="P406" s="20">
        <f t="shared" si="75"/>
        <v>-2.0999999999999996</v>
      </c>
      <c r="Q406" s="20">
        <v>7</v>
      </c>
      <c r="R406" s="15">
        <v>11</v>
      </c>
      <c r="S406" s="21">
        <v>0.7</v>
      </c>
      <c r="T406" s="21">
        <v>0.7</v>
      </c>
      <c r="U406" s="22"/>
      <c r="V406" s="24"/>
      <c r="W406" s="24">
        <f t="shared" si="76"/>
        <v>3608821344.0999999</v>
      </c>
      <c r="X406" s="24">
        <f t="shared" si="77"/>
        <v>3608821344.0999999</v>
      </c>
      <c r="Y406" s="24">
        <f t="shared" si="78"/>
        <v>3608821344.0999999</v>
      </c>
      <c r="Z406" s="24">
        <f t="shared" si="79"/>
        <v>0</v>
      </c>
      <c r="AA406" s="25" t="str">
        <f t="shared" si="80"/>
        <v>No se realizó gasto en este corte</v>
      </c>
      <c r="AB406" s="26" t="str">
        <f t="shared" si="81"/>
        <v>Costo eficiente: se está gastando menos de lo presupuestado</v>
      </c>
      <c r="AC406" s="26">
        <f t="shared" si="82"/>
        <v>1</v>
      </c>
      <c r="AD406" s="26" t="str">
        <f t="shared" si="83"/>
        <v>Proyecto a tiempo según lo planificado</v>
      </c>
      <c r="AE406" s="27">
        <f t="shared" si="84"/>
        <v>0</v>
      </c>
      <c r="AF406" s="27">
        <f t="shared" si="85"/>
        <v>-5155459063</v>
      </c>
      <c r="AG406" s="28" t="str">
        <f>VLOOKUP(Indicador!E340,[1]Diccionario!C$1:AC$150,27,0)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06" s="28">
        <v>1</v>
      </c>
      <c r="AI406" s="28">
        <v>1</v>
      </c>
      <c r="AJ406" s="28"/>
      <c r="AK406" s="28"/>
    </row>
    <row r="407" spans="1:37" ht="18.75" customHeight="1" x14ac:dyDescent="0.25">
      <c r="A407" s="11">
        <v>2026</v>
      </c>
      <c r="B407" s="12" t="s">
        <v>37</v>
      </c>
      <c r="C407" s="15" t="s">
        <v>292</v>
      </c>
      <c r="D407" s="39">
        <v>45845.584573807871</v>
      </c>
      <c r="E407" s="15" t="s">
        <v>293</v>
      </c>
      <c r="F407" s="15" t="s">
        <v>294</v>
      </c>
      <c r="G407" s="15" t="s">
        <v>295</v>
      </c>
      <c r="H407" s="15" t="s">
        <v>296</v>
      </c>
      <c r="I407" s="15" t="s">
        <v>63</v>
      </c>
      <c r="J407" s="15" t="s">
        <v>297</v>
      </c>
      <c r="K407" s="15" t="s">
        <v>45</v>
      </c>
      <c r="L407" s="17">
        <f>VLOOKUP(E407,[1]Diccionario!C$2:AC$150,22,0)</f>
        <v>5155459063</v>
      </c>
      <c r="M407" s="18">
        <f>VLOOKUP(E407,[1]Diccionario!C$2:AC$150,24,0)</f>
        <v>45836</v>
      </c>
      <c r="N407" s="19">
        <f>VLOOKUP(E407,[1]Diccionario!C$2:AC$150,25,0)</f>
        <v>46112</v>
      </c>
      <c r="O407" s="20">
        <f>VLOOKUP(E407,[1]Diccionario!C$2:AC$150,26,0)</f>
        <v>9.1</v>
      </c>
      <c r="P407" s="20">
        <f t="shared" si="75"/>
        <v>-1.0999999999999996</v>
      </c>
      <c r="Q407" s="20">
        <v>8</v>
      </c>
      <c r="R407" s="15">
        <v>11</v>
      </c>
      <c r="S407" s="21">
        <v>0.75</v>
      </c>
      <c r="T407" s="21">
        <v>0.75</v>
      </c>
      <c r="U407" s="22"/>
      <c r="V407" s="24"/>
      <c r="W407" s="24">
        <f t="shared" si="76"/>
        <v>3866594297.25</v>
      </c>
      <c r="X407" s="24">
        <f t="shared" si="77"/>
        <v>3866594297.25</v>
      </c>
      <c r="Y407" s="24">
        <f t="shared" si="78"/>
        <v>3866594297.25</v>
      </c>
      <c r="Z407" s="24">
        <f t="shared" si="79"/>
        <v>0</v>
      </c>
      <c r="AA407" s="25" t="str">
        <f t="shared" si="80"/>
        <v>No se realizó gasto en este corte</v>
      </c>
      <c r="AB407" s="26" t="str">
        <f t="shared" si="81"/>
        <v>Costo eficiente: se está gastando menos de lo presupuestado</v>
      </c>
      <c r="AC407" s="26">
        <f t="shared" si="82"/>
        <v>1</v>
      </c>
      <c r="AD407" s="26" t="str">
        <f t="shared" si="83"/>
        <v>Proyecto a tiempo según lo planificado</v>
      </c>
      <c r="AE407" s="27">
        <f t="shared" si="84"/>
        <v>0</v>
      </c>
      <c r="AF407" s="27">
        <f t="shared" si="85"/>
        <v>-5155459063</v>
      </c>
      <c r="AG407" s="28" t="str">
        <f>VLOOKUP(Indicador!E341,[1]Diccionario!C$1:AC$150,27,0)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07" s="28">
        <v>1</v>
      </c>
      <c r="AI407" s="28">
        <v>1</v>
      </c>
      <c r="AJ407" s="28"/>
      <c r="AK407" s="28"/>
    </row>
    <row r="408" spans="1:37" ht="18.75" customHeight="1" x14ac:dyDescent="0.25">
      <c r="A408" s="11">
        <v>2026</v>
      </c>
      <c r="B408" s="12" t="s">
        <v>47</v>
      </c>
      <c r="C408" s="15" t="s">
        <v>292</v>
      </c>
      <c r="D408" s="39">
        <v>45845.584573807871</v>
      </c>
      <c r="E408" s="15" t="s">
        <v>293</v>
      </c>
      <c r="F408" s="15" t="s">
        <v>294</v>
      </c>
      <c r="G408" s="15" t="s">
        <v>295</v>
      </c>
      <c r="H408" s="15" t="s">
        <v>296</v>
      </c>
      <c r="I408" s="15" t="s">
        <v>63</v>
      </c>
      <c r="J408" s="15" t="s">
        <v>297</v>
      </c>
      <c r="K408" s="15" t="s">
        <v>45</v>
      </c>
      <c r="L408" s="17">
        <f>VLOOKUP(E408,[1]Diccionario!C$2:AC$150,22,0)</f>
        <v>5155459063</v>
      </c>
      <c r="M408" s="18">
        <f>VLOOKUP(E408,[1]Diccionario!C$2:AC$150,24,0)</f>
        <v>45836</v>
      </c>
      <c r="N408" s="19">
        <f>VLOOKUP(E408,[1]Diccionario!C$2:AC$150,25,0)</f>
        <v>46112</v>
      </c>
      <c r="O408" s="20">
        <f>VLOOKUP(E408,[1]Diccionario!C$2:AC$150,26,0)</f>
        <v>9.1</v>
      </c>
      <c r="P408" s="20">
        <f t="shared" si="75"/>
        <v>-9.9999999999999645E-2</v>
      </c>
      <c r="Q408" s="20">
        <v>9</v>
      </c>
      <c r="R408" s="15">
        <v>11</v>
      </c>
      <c r="S408" s="21">
        <v>0.85</v>
      </c>
      <c r="T408" s="21">
        <v>0.85</v>
      </c>
      <c r="U408" s="22"/>
      <c r="V408" s="24"/>
      <c r="W408" s="24">
        <f t="shared" si="76"/>
        <v>4382140203.5500002</v>
      </c>
      <c r="X408" s="24">
        <f t="shared" si="77"/>
        <v>4382140203.5500002</v>
      </c>
      <c r="Y408" s="24">
        <f t="shared" si="78"/>
        <v>4382140203.5500002</v>
      </c>
      <c r="Z408" s="24">
        <f t="shared" si="79"/>
        <v>0</v>
      </c>
      <c r="AA408" s="25" t="str">
        <f t="shared" si="80"/>
        <v>No se realizó gasto en este corte</v>
      </c>
      <c r="AB408" s="26" t="str">
        <f t="shared" si="81"/>
        <v>Costo eficiente: se está gastando menos de lo presupuestado</v>
      </c>
      <c r="AC408" s="26">
        <f t="shared" si="82"/>
        <v>1</v>
      </c>
      <c r="AD408" s="26" t="str">
        <f t="shared" si="83"/>
        <v>Proyecto a tiempo según lo planificado</v>
      </c>
      <c r="AE408" s="27">
        <f t="shared" si="84"/>
        <v>0</v>
      </c>
      <c r="AF408" s="27">
        <f t="shared" si="85"/>
        <v>-5155459063</v>
      </c>
      <c r="AG408" s="28" t="str">
        <f>VLOOKUP(Indicador!E342,[1]Diccionario!C$1:AC$150,27,0)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08" s="28">
        <v>1</v>
      </c>
      <c r="AI408" s="28">
        <v>1</v>
      </c>
      <c r="AJ408" s="28"/>
      <c r="AK408" s="28"/>
    </row>
    <row r="409" spans="1:37" ht="18.75" customHeight="1" x14ac:dyDescent="0.25">
      <c r="A409" s="11">
        <v>2026</v>
      </c>
      <c r="B409" s="12" t="s">
        <v>48</v>
      </c>
      <c r="C409" s="15" t="s">
        <v>292</v>
      </c>
      <c r="D409" s="39">
        <v>45845.584573807871</v>
      </c>
      <c r="E409" s="15" t="s">
        <v>293</v>
      </c>
      <c r="F409" s="15" t="s">
        <v>294</v>
      </c>
      <c r="G409" s="15" t="s">
        <v>295</v>
      </c>
      <c r="H409" s="15" t="s">
        <v>296</v>
      </c>
      <c r="I409" s="15" t="s">
        <v>63</v>
      </c>
      <c r="J409" s="15" t="s">
        <v>297</v>
      </c>
      <c r="K409" s="15" t="s">
        <v>45</v>
      </c>
      <c r="L409" s="17">
        <f>VLOOKUP(E409,[1]Diccionario!C$2:AC$150,22,0)</f>
        <v>5155459063</v>
      </c>
      <c r="M409" s="18">
        <f>VLOOKUP(E409,[1]Diccionario!C$2:AC$150,24,0)</f>
        <v>45836</v>
      </c>
      <c r="N409" s="19">
        <f>VLOOKUP(E409,[1]Diccionario!C$2:AC$150,25,0)</f>
        <v>46112</v>
      </c>
      <c r="O409" s="20">
        <f>VLOOKUP(E409,[1]Diccionario!C$2:AC$150,26,0)</f>
        <v>9.1</v>
      </c>
      <c r="P409" s="20">
        <f t="shared" si="75"/>
        <v>0.90000000000000036</v>
      </c>
      <c r="Q409" s="20">
        <v>10</v>
      </c>
      <c r="R409" s="15">
        <v>11</v>
      </c>
      <c r="S409" s="21">
        <v>1</v>
      </c>
      <c r="T409" s="21">
        <v>1</v>
      </c>
      <c r="U409" s="22"/>
      <c r="V409" s="24"/>
      <c r="W409" s="24">
        <f t="shared" si="76"/>
        <v>5155459063</v>
      </c>
      <c r="X409" s="24">
        <f t="shared" si="77"/>
        <v>5155459063</v>
      </c>
      <c r="Y409" s="24">
        <f t="shared" si="78"/>
        <v>5155459063</v>
      </c>
      <c r="Z409" s="24">
        <f t="shared" si="79"/>
        <v>0</v>
      </c>
      <c r="AA409" s="25" t="str">
        <f t="shared" si="80"/>
        <v>No se realizó gasto en este corte</v>
      </c>
      <c r="AB409" s="26" t="str">
        <f t="shared" si="81"/>
        <v>Costo eficiente: se está gastando menos de lo presupuestado</v>
      </c>
      <c r="AC409" s="26">
        <f t="shared" si="82"/>
        <v>1</v>
      </c>
      <c r="AD409" s="26" t="str">
        <f t="shared" si="83"/>
        <v>Proyecto a tiempo según lo planificado</v>
      </c>
      <c r="AE409" s="27">
        <f t="shared" si="84"/>
        <v>0</v>
      </c>
      <c r="AF409" s="27">
        <f t="shared" si="85"/>
        <v>-5155459063</v>
      </c>
      <c r="AG409" s="28" t="str">
        <f>VLOOKUP(Indicador!E343,[1]Diccionario!C$1:AC$150,27,0)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09" s="28">
        <v>1</v>
      </c>
      <c r="AI409" s="28">
        <v>1</v>
      </c>
      <c r="AJ409" s="28"/>
      <c r="AK409" s="28"/>
    </row>
    <row r="410" spans="1:37" ht="18.75" customHeight="1" x14ac:dyDescent="0.25">
      <c r="A410" s="11">
        <v>2025</v>
      </c>
      <c r="B410" s="12" t="s">
        <v>52</v>
      </c>
      <c r="C410" s="15" t="s">
        <v>298</v>
      </c>
      <c r="D410" s="39">
        <v>45845.610437002317</v>
      </c>
      <c r="E410" s="15" t="s">
        <v>299</v>
      </c>
      <c r="F410" s="15" t="s">
        <v>95</v>
      </c>
      <c r="G410" s="15" t="s">
        <v>300</v>
      </c>
      <c r="H410" s="15" t="s">
        <v>301</v>
      </c>
      <c r="I410" s="15" t="s">
        <v>78</v>
      </c>
      <c r="J410" s="15" t="s">
        <v>302</v>
      </c>
      <c r="K410" s="15" t="s">
        <v>45</v>
      </c>
      <c r="L410" s="17">
        <f>VLOOKUP(E410,[1]Diccionario!C$2:AC$150,22,0)</f>
        <v>589176956</v>
      </c>
      <c r="M410" s="18">
        <f>VLOOKUP(E410,[1]Diccionario!C$2:AC$150,24,0)</f>
        <v>45834</v>
      </c>
      <c r="N410" s="19">
        <f>VLOOKUP(E410,[1]Diccionario!C$2:AC$150,25,0)</f>
        <v>46006</v>
      </c>
      <c r="O410" s="20">
        <f>VLOOKUP(E410,[1]Diccionario!C$2:AC$150,26,0)</f>
        <v>5.63</v>
      </c>
      <c r="P410" s="20">
        <f t="shared" si="75"/>
        <v>-4.63</v>
      </c>
      <c r="Q410" s="20">
        <v>1</v>
      </c>
      <c r="R410" s="15">
        <v>6</v>
      </c>
      <c r="S410" s="21">
        <v>0.1</v>
      </c>
      <c r="T410" s="21">
        <v>0.1</v>
      </c>
      <c r="U410" s="22"/>
      <c r="V410" s="24"/>
      <c r="W410" s="24">
        <f t="shared" si="76"/>
        <v>58917695.600000001</v>
      </c>
      <c r="X410" s="24">
        <f t="shared" si="77"/>
        <v>58917695.600000001</v>
      </c>
      <c r="Y410" s="24">
        <f t="shared" si="78"/>
        <v>58917695.600000001</v>
      </c>
      <c r="Z410" s="24">
        <f t="shared" si="79"/>
        <v>0</v>
      </c>
      <c r="AA410" s="25" t="str">
        <f t="shared" si="80"/>
        <v>No se realizó gasto en este corte</v>
      </c>
      <c r="AB410" s="26" t="str">
        <f t="shared" si="81"/>
        <v>Costo eficiente: se está gastando menos de lo presupuestado</v>
      </c>
      <c r="AC410" s="26">
        <f t="shared" si="82"/>
        <v>1</v>
      </c>
      <c r="AD410" s="26" t="str">
        <f t="shared" si="83"/>
        <v>Proyecto a tiempo según lo planificado</v>
      </c>
      <c r="AE410" s="27">
        <f t="shared" si="84"/>
        <v>0</v>
      </c>
      <c r="AF410" s="27">
        <f t="shared" si="85"/>
        <v>-589176956</v>
      </c>
      <c r="AG410" s="28" t="str">
        <f>VLOOKUP(Indicador!E329,[1]Diccionario!C$1:AC$150,27,0)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10" s="28">
        <v>1</v>
      </c>
      <c r="AI410" s="28">
        <v>1</v>
      </c>
      <c r="AJ410" s="28"/>
      <c r="AK410" s="28"/>
    </row>
    <row r="411" spans="1:37" ht="18.75" customHeight="1" x14ac:dyDescent="0.25">
      <c r="A411" s="11">
        <v>2025</v>
      </c>
      <c r="B411" s="12" t="s">
        <v>53</v>
      </c>
      <c r="C411" s="15" t="s">
        <v>298</v>
      </c>
      <c r="D411" s="39">
        <v>45845.610437002317</v>
      </c>
      <c r="E411" s="15" t="s">
        <v>299</v>
      </c>
      <c r="F411" s="15" t="s">
        <v>95</v>
      </c>
      <c r="G411" s="15" t="s">
        <v>300</v>
      </c>
      <c r="H411" s="15" t="s">
        <v>301</v>
      </c>
      <c r="I411" s="15" t="s">
        <v>78</v>
      </c>
      <c r="J411" s="15" t="s">
        <v>302</v>
      </c>
      <c r="K411" s="15" t="s">
        <v>45</v>
      </c>
      <c r="L411" s="17">
        <f>VLOOKUP(E411,[1]Diccionario!C$2:AC$150,22,0)</f>
        <v>589176956</v>
      </c>
      <c r="M411" s="18">
        <f>VLOOKUP(E411,[1]Diccionario!C$2:AC$150,24,0)</f>
        <v>45834</v>
      </c>
      <c r="N411" s="19">
        <f>VLOOKUP(E411,[1]Diccionario!C$2:AC$150,25,0)</f>
        <v>46006</v>
      </c>
      <c r="O411" s="20">
        <f>VLOOKUP(E411,[1]Diccionario!C$2:AC$150,26,0)</f>
        <v>5.63</v>
      </c>
      <c r="P411" s="20">
        <f t="shared" si="75"/>
        <v>-3.63</v>
      </c>
      <c r="Q411" s="20">
        <v>2</v>
      </c>
      <c r="R411" s="15">
        <v>6</v>
      </c>
      <c r="S411" s="21">
        <v>0.3</v>
      </c>
      <c r="T411" s="21">
        <v>0.3</v>
      </c>
      <c r="U411" s="22"/>
      <c r="V411" s="24"/>
      <c r="W411" s="24">
        <f t="shared" si="76"/>
        <v>176753086.79999998</v>
      </c>
      <c r="X411" s="24">
        <f t="shared" si="77"/>
        <v>176753086.79999998</v>
      </c>
      <c r="Y411" s="24">
        <f t="shared" si="78"/>
        <v>176753086.79999998</v>
      </c>
      <c r="Z411" s="24">
        <f t="shared" si="79"/>
        <v>0</v>
      </c>
      <c r="AA411" s="25" t="str">
        <f t="shared" si="80"/>
        <v>No se realizó gasto en este corte</v>
      </c>
      <c r="AB411" s="26" t="str">
        <f t="shared" si="81"/>
        <v>Costo eficiente: se está gastando menos de lo presupuestado</v>
      </c>
      <c r="AC411" s="26">
        <f t="shared" si="82"/>
        <v>1</v>
      </c>
      <c r="AD411" s="26" t="str">
        <f t="shared" si="83"/>
        <v>Proyecto a tiempo según lo planificado</v>
      </c>
      <c r="AE411" s="27">
        <f t="shared" si="84"/>
        <v>0</v>
      </c>
      <c r="AF411" s="27">
        <f t="shared" si="85"/>
        <v>-589176956</v>
      </c>
      <c r="AG411" s="28" t="str">
        <f>VLOOKUP(Indicador!E330,[1]Diccionario!C$1:AC$150,27,0)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11" s="28">
        <v>1</v>
      </c>
      <c r="AI411" s="28">
        <v>1</v>
      </c>
      <c r="AJ411" s="28"/>
      <c r="AK411" s="28"/>
    </row>
    <row r="412" spans="1:37" ht="18.75" customHeight="1" x14ac:dyDescent="0.25">
      <c r="A412" s="11">
        <v>2025</v>
      </c>
      <c r="B412" s="12" t="s">
        <v>54</v>
      </c>
      <c r="C412" s="15" t="s">
        <v>298</v>
      </c>
      <c r="D412" s="39">
        <v>45845.610437002317</v>
      </c>
      <c r="E412" s="15" t="s">
        <v>299</v>
      </c>
      <c r="F412" s="15" t="s">
        <v>95</v>
      </c>
      <c r="G412" s="15" t="s">
        <v>300</v>
      </c>
      <c r="H412" s="15" t="s">
        <v>301</v>
      </c>
      <c r="I412" s="15" t="s">
        <v>78</v>
      </c>
      <c r="J412" s="15" t="s">
        <v>302</v>
      </c>
      <c r="K412" s="15" t="s">
        <v>45</v>
      </c>
      <c r="L412" s="17">
        <f>VLOOKUP(E412,[1]Diccionario!C$2:AC$150,22,0)</f>
        <v>589176956</v>
      </c>
      <c r="M412" s="18">
        <f>VLOOKUP(E412,[1]Diccionario!C$2:AC$150,24,0)</f>
        <v>45834</v>
      </c>
      <c r="N412" s="19">
        <f>VLOOKUP(E412,[1]Diccionario!C$2:AC$150,25,0)</f>
        <v>46006</v>
      </c>
      <c r="O412" s="20">
        <f>VLOOKUP(E412,[1]Diccionario!C$2:AC$150,26,0)</f>
        <v>5.63</v>
      </c>
      <c r="P412" s="20">
        <f t="shared" si="75"/>
        <v>-2.63</v>
      </c>
      <c r="Q412" s="20">
        <v>3</v>
      </c>
      <c r="R412" s="15">
        <v>6</v>
      </c>
      <c r="S412" s="21">
        <v>0.5</v>
      </c>
      <c r="T412" s="21">
        <v>0.5</v>
      </c>
      <c r="U412" s="22"/>
      <c r="V412" s="24"/>
      <c r="W412" s="24">
        <f t="shared" si="76"/>
        <v>294588478</v>
      </c>
      <c r="X412" s="24">
        <f t="shared" si="77"/>
        <v>294588478</v>
      </c>
      <c r="Y412" s="24">
        <f t="shared" si="78"/>
        <v>294588478</v>
      </c>
      <c r="Z412" s="24">
        <f t="shared" si="79"/>
        <v>0</v>
      </c>
      <c r="AA412" s="25" t="str">
        <f t="shared" si="80"/>
        <v>No se realizó gasto en este corte</v>
      </c>
      <c r="AB412" s="26" t="str">
        <f t="shared" si="81"/>
        <v>Costo eficiente: se está gastando menos de lo presupuestado</v>
      </c>
      <c r="AC412" s="26">
        <f t="shared" si="82"/>
        <v>1</v>
      </c>
      <c r="AD412" s="26" t="str">
        <f t="shared" si="83"/>
        <v>Proyecto a tiempo según lo planificado</v>
      </c>
      <c r="AE412" s="27">
        <f t="shared" si="84"/>
        <v>0</v>
      </c>
      <c r="AF412" s="27">
        <f t="shared" si="85"/>
        <v>-589176956</v>
      </c>
      <c r="AG412" s="28" t="str">
        <f>VLOOKUP(Indicador!E331,[1]Diccionario!C$1:AC$150,27,0)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12" s="28">
        <v>1</v>
      </c>
      <c r="AI412" s="28">
        <v>1</v>
      </c>
      <c r="AJ412" s="28"/>
      <c r="AK412" s="28"/>
    </row>
    <row r="413" spans="1:37" ht="18.75" customHeight="1" x14ac:dyDescent="0.25">
      <c r="A413" s="11">
        <v>2025</v>
      </c>
      <c r="B413" s="12" t="s">
        <v>55</v>
      </c>
      <c r="C413" s="15" t="s">
        <v>298</v>
      </c>
      <c r="D413" s="39">
        <v>45845.610437002317</v>
      </c>
      <c r="E413" s="15" t="s">
        <v>299</v>
      </c>
      <c r="F413" s="15" t="s">
        <v>95</v>
      </c>
      <c r="G413" s="15" t="s">
        <v>300</v>
      </c>
      <c r="H413" s="15" t="s">
        <v>301</v>
      </c>
      <c r="I413" s="15" t="s">
        <v>78</v>
      </c>
      <c r="J413" s="15" t="s">
        <v>302</v>
      </c>
      <c r="K413" s="15" t="s">
        <v>45</v>
      </c>
      <c r="L413" s="17">
        <f>VLOOKUP(E413,[1]Diccionario!C$2:AC$150,22,0)</f>
        <v>589176956</v>
      </c>
      <c r="M413" s="18">
        <f>VLOOKUP(E413,[1]Diccionario!C$2:AC$150,24,0)</f>
        <v>45834</v>
      </c>
      <c r="N413" s="19">
        <f>VLOOKUP(E413,[1]Diccionario!C$2:AC$150,25,0)</f>
        <v>46006</v>
      </c>
      <c r="O413" s="20">
        <f>VLOOKUP(E413,[1]Diccionario!C$2:AC$150,26,0)</f>
        <v>5.63</v>
      </c>
      <c r="P413" s="20">
        <f t="shared" si="75"/>
        <v>-1.63</v>
      </c>
      <c r="Q413" s="20">
        <v>4</v>
      </c>
      <c r="R413" s="15">
        <v>6</v>
      </c>
      <c r="S413" s="21">
        <v>0.65</v>
      </c>
      <c r="T413" s="21">
        <v>0.65</v>
      </c>
      <c r="U413" s="22"/>
      <c r="V413" s="24"/>
      <c r="W413" s="24">
        <f t="shared" si="76"/>
        <v>382965021.40000004</v>
      </c>
      <c r="X413" s="24">
        <f t="shared" si="77"/>
        <v>382965021.40000004</v>
      </c>
      <c r="Y413" s="24">
        <f t="shared" si="78"/>
        <v>382965021.40000004</v>
      </c>
      <c r="Z413" s="24">
        <f t="shared" si="79"/>
        <v>0</v>
      </c>
      <c r="AA413" s="25" t="str">
        <f t="shared" si="80"/>
        <v>No se realizó gasto en este corte</v>
      </c>
      <c r="AB413" s="26" t="str">
        <f t="shared" si="81"/>
        <v>Costo eficiente: se está gastando menos de lo presupuestado</v>
      </c>
      <c r="AC413" s="26">
        <f t="shared" si="82"/>
        <v>1</v>
      </c>
      <c r="AD413" s="26" t="str">
        <f t="shared" si="83"/>
        <v>Proyecto a tiempo según lo planificado</v>
      </c>
      <c r="AE413" s="27">
        <f t="shared" si="84"/>
        <v>0</v>
      </c>
      <c r="AF413" s="27">
        <f t="shared" si="85"/>
        <v>-589176956</v>
      </c>
      <c r="AG413" s="28" t="str">
        <f>VLOOKUP(Indicador!E332,[1]Diccionario!C$1:AC$150,27,0)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13" s="28">
        <v>1</v>
      </c>
      <c r="AI413" s="28">
        <v>1</v>
      </c>
      <c r="AJ413" s="28"/>
      <c r="AK413" s="28"/>
    </row>
    <row r="414" spans="1:37" ht="18.75" customHeight="1" x14ac:dyDescent="0.25">
      <c r="A414" s="11">
        <v>2025</v>
      </c>
      <c r="B414" s="12" t="s">
        <v>56</v>
      </c>
      <c r="C414" s="15" t="s">
        <v>298</v>
      </c>
      <c r="D414" s="39">
        <v>45845.610437002317</v>
      </c>
      <c r="E414" s="15" t="s">
        <v>299</v>
      </c>
      <c r="F414" s="15" t="s">
        <v>95</v>
      </c>
      <c r="G414" s="15" t="s">
        <v>300</v>
      </c>
      <c r="H414" s="15" t="s">
        <v>301</v>
      </c>
      <c r="I414" s="15" t="s">
        <v>78</v>
      </c>
      <c r="J414" s="15" t="s">
        <v>302</v>
      </c>
      <c r="K414" s="15" t="s">
        <v>45</v>
      </c>
      <c r="L414" s="17">
        <f>VLOOKUP(E414,[1]Diccionario!C$2:AC$150,22,0)</f>
        <v>589176956</v>
      </c>
      <c r="M414" s="18">
        <f>VLOOKUP(E414,[1]Diccionario!C$2:AC$150,24,0)</f>
        <v>45834</v>
      </c>
      <c r="N414" s="19">
        <f>VLOOKUP(E414,[1]Diccionario!C$2:AC$150,25,0)</f>
        <v>46006</v>
      </c>
      <c r="O414" s="20">
        <f>VLOOKUP(E414,[1]Diccionario!C$2:AC$150,26,0)</f>
        <v>5.63</v>
      </c>
      <c r="P414" s="20">
        <f t="shared" si="75"/>
        <v>-0.62999999999999989</v>
      </c>
      <c r="Q414" s="20">
        <v>5</v>
      </c>
      <c r="R414" s="15">
        <v>6</v>
      </c>
      <c r="S414" s="21">
        <v>0.85</v>
      </c>
      <c r="T414" s="21">
        <v>0.85</v>
      </c>
      <c r="U414" s="22"/>
      <c r="V414" s="24"/>
      <c r="W414" s="24">
        <f t="shared" si="76"/>
        <v>500800412.59999996</v>
      </c>
      <c r="X414" s="24">
        <f t="shared" si="77"/>
        <v>500800412.59999996</v>
      </c>
      <c r="Y414" s="24">
        <f t="shared" si="78"/>
        <v>500800412.59999996</v>
      </c>
      <c r="Z414" s="24">
        <f t="shared" si="79"/>
        <v>0</v>
      </c>
      <c r="AA414" s="25" t="str">
        <f t="shared" si="80"/>
        <v>No se realizó gasto en este corte</v>
      </c>
      <c r="AB414" s="26" t="str">
        <f t="shared" si="81"/>
        <v>Costo eficiente: se está gastando menos de lo presupuestado</v>
      </c>
      <c r="AC414" s="26">
        <f t="shared" si="82"/>
        <v>1</v>
      </c>
      <c r="AD414" s="26" t="str">
        <f t="shared" si="83"/>
        <v>Proyecto a tiempo según lo planificado</v>
      </c>
      <c r="AE414" s="27">
        <f t="shared" si="84"/>
        <v>0</v>
      </c>
      <c r="AF414" s="27">
        <f t="shared" si="85"/>
        <v>-589176956</v>
      </c>
      <c r="AG414" s="28" t="str">
        <f>VLOOKUP(Indicador!E333,[1]Diccionario!C$1:AC$150,27,0)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14" s="28">
        <v>1</v>
      </c>
      <c r="AI414" s="28">
        <v>1</v>
      </c>
      <c r="AJ414" s="28"/>
      <c r="AK414" s="28"/>
    </row>
    <row r="415" spans="1:37" ht="18.75" customHeight="1" x14ac:dyDescent="0.25">
      <c r="A415" s="11">
        <v>2025</v>
      </c>
      <c r="B415" s="12" t="s">
        <v>57</v>
      </c>
      <c r="C415" s="15" t="s">
        <v>298</v>
      </c>
      <c r="D415" s="39">
        <v>45845.610437002317</v>
      </c>
      <c r="E415" s="15" t="s">
        <v>299</v>
      </c>
      <c r="F415" s="15" t="s">
        <v>95</v>
      </c>
      <c r="G415" s="15" t="s">
        <v>300</v>
      </c>
      <c r="H415" s="15" t="s">
        <v>301</v>
      </c>
      <c r="I415" s="15" t="s">
        <v>78</v>
      </c>
      <c r="J415" s="15" t="s">
        <v>302</v>
      </c>
      <c r="K415" s="15" t="s">
        <v>45</v>
      </c>
      <c r="L415" s="17">
        <f>VLOOKUP(E415,[1]Diccionario!C$2:AC$150,22,0)</f>
        <v>589176956</v>
      </c>
      <c r="M415" s="18">
        <f>VLOOKUP(E415,[1]Diccionario!C$2:AC$150,24,0)</f>
        <v>45834</v>
      </c>
      <c r="N415" s="19">
        <f>VLOOKUP(E415,[1]Diccionario!C$2:AC$150,25,0)</f>
        <v>46006</v>
      </c>
      <c r="O415" s="20">
        <f>VLOOKUP(E415,[1]Diccionario!C$2:AC$150,26,0)</f>
        <v>5.63</v>
      </c>
      <c r="P415" s="20">
        <f t="shared" si="75"/>
        <v>0.37000000000000011</v>
      </c>
      <c r="Q415" s="20">
        <v>6</v>
      </c>
      <c r="R415" s="15">
        <v>6</v>
      </c>
      <c r="S415" s="21">
        <v>1</v>
      </c>
      <c r="T415" s="21">
        <v>1</v>
      </c>
      <c r="U415" s="22"/>
      <c r="V415" s="24"/>
      <c r="W415" s="24">
        <f t="shared" si="76"/>
        <v>589176956</v>
      </c>
      <c r="X415" s="24">
        <f t="shared" si="77"/>
        <v>589176956</v>
      </c>
      <c r="Y415" s="24">
        <f t="shared" si="78"/>
        <v>589176956</v>
      </c>
      <c r="Z415" s="24">
        <f t="shared" si="79"/>
        <v>0</v>
      </c>
      <c r="AA415" s="25" t="str">
        <f t="shared" si="80"/>
        <v>No se realizó gasto en este corte</v>
      </c>
      <c r="AB415" s="26" t="str">
        <f t="shared" si="81"/>
        <v>Costo eficiente: se está gastando menos de lo presupuestado</v>
      </c>
      <c r="AC415" s="26">
        <f t="shared" si="82"/>
        <v>1</v>
      </c>
      <c r="AD415" s="26" t="str">
        <f t="shared" si="83"/>
        <v>Proyecto a tiempo según lo planificado</v>
      </c>
      <c r="AE415" s="27">
        <f t="shared" si="84"/>
        <v>0</v>
      </c>
      <c r="AF415" s="27">
        <f t="shared" si="85"/>
        <v>-589176956</v>
      </c>
      <c r="AG415" s="28" t="str">
        <f>VLOOKUP(Indicador!E334,[1]Diccionario!C$1:AC$150,27,0)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15" s="28">
        <v>1</v>
      </c>
      <c r="AI415" s="28">
        <v>1</v>
      </c>
      <c r="AJ415" s="28"/>
      <c r="AK415" s="28"/>
    </row>
    <row r="416" spans="1:37" ht="18.75" customHeight="1" x14ac:dyDescent="0.25">
      <c r="A416" s="11">
        <v>2025</v>
      </c>
      <c r="B416" s="12" t="s">
        <v>53</v>
      </c>
      <c r="C416" s="15" t="s">
        <v>303</v>
      </c>
      <c r="D416" s="39">
        <v>45884.888543831017</v>
      </c>
      <c r="E416" s="63" t="s">
        <v>304</v>
      </c>
      <c r="F416" s="15" t="s">
        <v>140</v>
      </c>
      <c r="G416" s="15" t="s">
        <v>305</v>
      </c>
      <c r="H416" s="15" t="s">
        <v>306</v>
      </c>
      <c r="I416" s="15" t="s">
        <v>43</v>
      </c>
      <c r="J416" s="15" t="s">
        <v>307</v>
      </c>
      <c r="K416" s="15" t="s">
        <v>45</v>
      </c>
      <c r="L416" s="17">
        <f>VLOOKUP(E416,[1]Diccionario!C$2:AC$150,22,0)</f>
        <v>4203074639</v>
      </c>
      <c r="M416" s="18">
        <f>VLOOKUP(E416,[1]Diccionario!C$2:AC$150,24,0)</f>
        <v>45884</v>
      </c>
      <c r="N416" s="19">
        <f>VLOOKUP(E416,[1]Diccionario!C$2:AC$150,25,0)</f>
        <v>46037</v>
      </c>
      <c r="O416" s="20">
        <f>VLOOKUP(E416,[1]Diccionario!C$2:AC$150,26,0)</f>
        <v>5</v>
      </c>
      <c r="P416" s="20">
        <f t="shared" si="75"/>
        <v>-4</v>
      </c>
      <c r="Q416" s="20">
        <v>1</v>
      </c>
      <c r="R416" s="15">
        <v>5</v>
      </c>
      <c r="S416" s="21">
        <v>0.05</v>
      </c>
      <c r="T416" s="21">
        <v>0.05</v>
      </c>
      <c r="U416" s="22"/>
      <c r="V416" s="24"/>
      <c r="W416" s="24">
        <f t="shared" si="76"/>
        <v>210153731.95000002</v>
      </c>
      <c r="X416" s="24">
        <f t="shared" si="77"/>
        <v>210153731.95000002</v>
      </c>
      <c r="Y416" s="24">
        <f t="shared" si="78"/>
        <v>210153731.95000002</v>
      </c>
      <c r="Z416" s="24">
        <f t="shared" si="79"/>
        <v>0</v>
      </c>
      <c r="AA416" s="25" t="str">
        <f t="shared" si="80"/>
        <v>No se realizó gasto en este corte</v>
      </c>
      <c r="AB416" s="26" t="str">
        <f t="shared" si="81"/>
        <v>Costo eficiente: se está gastando menos de lo presupuestado</v>
      </c>
      <c r="AC416" s="26">
        <f t="shared" si="82"/>
        <v>1</v>
      </c>
      <c r="AD416" s="26" t="str">
        <f t="shared" si="83"/>
        <v>Proyecto a tiempo según lo planificado</v>
      </c>
      <c r="AE416" s="27">
        <f t="shared" si="84"/>
        <v>0</v>
      </c>
      <c r="AF416" s="27">
        <f t="shared" si="85"/>
        <v>-4203074639</v>
      </c>
      <c r="AG416" s="28" t="str">
        <f>VLOOKUP(Indicador!E387,[1]Diccionario!C$1:AC$150,27,0)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16" s="28">
        <v>1</v>
      </c>
      <c r="AI416" s="28">
        <v>1</v>
      </c>
      <c r="AJ416" s="28"/>
      <c r="AK416" s="28"/>
    </row>
    <row r="417" spans="1:37" ht="18.75" customHeight="1" x14ac:dyDescent="0.25">
      <c r="A417" s="11">
        <v>2025</v>
      </c>
      <c r="B417" s="12" t="s">
        <v>54</v>
      </c>
      <c r="C417" s="15" t="s">
        <v>303</v>
      </c>
      <c r="D417" s="39">
        <v>45884.888543831017</v>
      </c>
      <c r="E417" s="63" t="s">
        <v>304</v>
      </c>
      <c r="F417" s="15" t="s">
        <v>140</v>
      </c>
      <c r="G417" s="15" t="s">
        <v>305</v>
      </c>
      <c r="H417" s="15" t="s">
        <v>306</v>
      </c>
      <c r="I417" s="15" t="s">
        <v>43</v>
      </c>
      <c r="J417" s="15" t="s">
        <v>307</v>
      </c>
      <c r="K417" s="15" t="s">
        <v>45</v>
      </c>
      <c r="L417" s="17">
        <f>VLOOKUP(E417,[1]Diccionario!C$2:AC$150,22,0)</f>
        <v>4203074639</v>
      </c>
      <c r="M417" s="18">
        <f>VLOOKUP(E417,[1]Diccionario!C$2:AC$150,24,0)</f>
        <v>45884</v>
      </c>
      <c r="N417" s="19">
        <f>VLOOKUP(E417,[1]Diccionario!C$2:AC$150,25,0)</f>
        <v>46037</v>
      </c>
      <c r="O417" s="20">
        <f>VLOOKUP(E417,[1]Diccionario!C$2:AC$150,26,0)</f>
        <v>5</v>
      </c>
      <c r="P417" s="20">
        <f t="shared" si="75"/>
        <v>-3</v>
      </c>
      <c r="Q417" s="20">
        <v>2</v>
      </c>
      <c r="R417" s="15">
        <v>5</v>
      </c>
      <c r="S417" s="21">
        <v>0.15</v>
      </c>
      <c r="T417" s="21">
        <v>0.15</v>
      </c>
      <c r="U417" s="22"/>
      <c r="V417" s="24"/>
      <c r="W417" s="24">
        <f t="shared" si="76"/>
        <v>630461195.85000002</v>
      </c>
      <c r="X417" s="24">
        <f t="shared" si="77"/>
        <v>630461195.85000002</v>
      </c>
      <c r="Y417" s="24">
        <f t="shared" si="78"/>
        <v>630461195.85000002</v>
      </c>
      <c r="Z417" s="24">
        <f t="shared" si="79"/>
        <v>0</v>
      </c>
      <c r="AA417" s="25" t="str">
        <f t="shared" si="80"/>
        <v>No se realizó gasto en este corte</v>
      </c>
      <c r="AB417" s="26" t="str">
        <f t="shared" si="81"/>
        <v>Costo eficiente: se está gastando menos de lo presupuestado</v>
      </c>
      <c r="AC417" s="26">
        <f t="shared" si="82"/>
        <v>1</v>
      </c>
      <c r="AD417" s="26" t="str">
        <f t="shared" si="83"/>
        <v>Proyecto a tiempo según lo planificado</v>
      </c>
      <c r="AE417" s="27">
        <f t="shared" si="84"/>
        <v>0</v>
      </c>
      <c r="AF417" s="27">
        <f t="shared" si="85"/>
        <v>-4203074639</v>
      </c>
      <c r="AG417" s="28" t="str">
        <f>VLOOKUP(Indicador!E388,[1]Diccionario!C$1:AC$150,27,0)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17" s="28">
        <v>1</v>
      </c>
      <c r="AI417" s="28">
        <v>1</v>
      </c>
      <c r="AJ417" s="28"/>
      <c r="AK417" s="28"/>
    </row>
    <row r="418" spans="1:37" ht="18.75" customHeight="1" x14ac:dyDescent="0.25">
      <c r="A418" s="11">
        <v>2025</v>
      </c>
      <c r="B418" s="12" t="s">
        <v>55</v>
      </c>
      <c r="C418" s="15" t="s">
        <v>303</v>
      </c>
      <c r="D418" s="39">
        <v>45884.888543831017</v>
      </c>
      <c r="E418" s="63" t="s">
        <v>304</v>
      </c>
      <c r="F418" s="15" t="s">
        <v>140</v>
      </c>
      <c r="G418" s="15" t="s">
        <v>305</v>
      </c>
      <c r="H418" s="15" t="s">
        <v>306</v>
      </c>
      <c r="I418" s="15" t="s">
        <v>43</v>
      </c>
      <c r="J418" s="15" t="s">
        <v>307</v>
      </c>
      <c r="K418" s="15" t="s">
        <v>45</v>
      </c>
      <c r="L418" s="17">
        <f>VLOOKUP(E418,[1]Diccionario!C$2:AC$150,22,0)</f>
        <v>4203074639</v>
      </c>
      <c r="M418" s="18">
        <f>VLOOKUP(E418,[1]Diccionario!C$2:AC$150,24,0)</f>
        <v>45884</v>
      </c>
      <c r="N418" s="19">
        <f>VLOOKUP(E418,[1]Diccionario!C$2:AC$150,25,0)</f>
        <v>46037</v>
      </c>
      <c r="O418" s="20">
        <f>VLOOKUP(E418,[1]Diccionario!C$2:AC$150,26,0)</f>
        <v>5</v>
      </c>
      <c r="P418" s="20">
        <f t="shared" si="75"/>
        <v>-2</v>
      </c>
      <c r="Q418" s="20">
        <v>3</v>
      </c>
      <c r="R418" s="15">
        <v>5</v>
      </c>
      <c r="S418" s="21">
        <v>0.35</v>
      </c>
      <c r="T418" s="21">
        <v>0.35</v>
      </c>
      <c r="U418" s="22"/>
      <c r="V418" s="24"/>
      <c r="W418" s="24">
        <f t="shared" si="76"/>
        <v>1471076123.6499999</v>
      </c>
      <c r="X418" s="24">
        <f t="shared" si="77"/>
        <v>1471076123.6499999</v>
      </c>
      <c r="Y418" s="24">
        <f t="shared" si="78"/>
        <v>1471076123.6499999</v>
      </c>
      <c r="Z418" s="24">
        <f t="shared" si="79"/>
        <v>0</v>
      </c>
      <c r="AA418" s="25" t="str">
        <f t="shared" si="80"/>
        <v>No se realizó gasto en este corte</v>
      </c>
      <c r="AB418" s="26" t="str">
        <f t="shared" si="81"/>
        <v>Costo eficiente: se está gastando menos de lo presupuestado</v>
      </c>
      <c r="AC418" s="26">
        <f t="shared" si="82"/>
        <v>1</v>
      </c>
      <c r="AD418" s="26" t="str">
        <f t="shared" si="83"/>
        <v>Proyecto a tiempo según lo planificado</v>
      </c>
      <c r="AE418" s="27">
        <f t="shared" si="84"/>
        <v>0</v>
      </c>
      <c r="AF418" s="27">
        <f t="shared" si="85"/>
        <v>-4203074639</v>
      </c>
      <c r="AG418" s="28" t="str">
        <f>VLOOKUP(Indicador!E389,[1]Diccionario!C$1:AC$150,27,0)</f>
        <v>https://growdatasas.sharepoint.com/:x:/r/sites/Gestiondocumental/Administrativa/GD/Financiera/_layouts/15/Doc.aspx?sourcedoc=%7B992F7B45-9CC9-43D2-9E9D-0F8A68C8C555%7D&amp;file=22052025%20MODELO%20FINANCIERO%20REFERENCIA%20V7.4_ANSV_V1.0.xlsm&amp;action=default&amp;mobileredirect=true</v>
      </c>
      <c r="AH418" s="28">
        <v>1</v>
      </c>
      <c r="AI418" s="28">
        <v>1</v>
      </c>
      <c r="AJ418" s="28"/>
      <c r="AK418" s="28"/>
    </row>
    <row r="419" spans="1:37" ht="18.75" customHeight="1" x14ac:dyDescent="0.25">
      <c r="A419" s="11">
        <v>2025</v>
      </c>
      <c r="B419" s="12" t="s">
        <v>56</v>
      </c>
      <c r="C419" s="15" t="s">
        <v>303</v>
      </c>
      <c r="D419" s="39">
        <v>45884.888543831017</v>
      </c>
      <c r="E419" s="63" t="s">
        <v>304</v>
      </c>
      <c r="F419" s="15" t="s">
        <v>140</v>
      </c>
      <c r="G419" s="15" t="s">
        <v>305</v>
      </c>
      <c r="H419" s="15" t="s">
        <v>306</v>
      </c>
      <c r="I419" s="15" t="s">
        <v>43</v>
      </c>
      <c r="J419" s="15" t="s">
        <v>307</v>
      </c>
      <c r="K419" s="15" t="s">
        <v>45</v>
      </c>
      <c r="L419" s="17">
        <f>VLOOKUP(E419,[1]Diccionario!C$2:AC$150,22,0)</f>
        <v>4203074639</v>
      </c>
      <c r="M419" s="18">
        <f>VLOOKUP(E419,[1]Diccionario!C$2:AC$150,24,0)</f>
        <v>45884</v>
      </c>
      <c r="N419" s="19">
        <f>VLOOKUP(E419,[1]Diccionario!C$2:AC$150,25,0)</f>
        <v>46037</v>
      </c>
      <c r="O419" s="20">
        <f>VLOOKUP(E419,[1]Diccionario!C$2:AC$150,26,0)</f>
        <v>5</v>
      </c>
      <c r="P419" s="20">
        <f t="shared" si="75"/>
        <v>-1</v>
      </c>
      <c r="Q419" s="20">
        <v>4</v>
      </c>
      <c r="R419" s="15">
        <v>5</v>
      </c>
      <c r="S419" s="21">
        <v>0.55000000000000004</v>
      </c>
      <c r="T419" s="21">
        <v>0.55000000000000004</v>
      </c>
      <c r="U419" s="22"/>
      <c r="V419" s="24"/>
      <c r="W419" s="24">
        <f t="shared" si="76"/>
        <v>2311691051.4500003</v>
      </c>
      <c r="X419" s="24">
        <f t="shared" si="77"/>
        <v>2311691051.4500003</v>
      </c>
      <c r="Y419" s="24">
        <f t="shared" si="78"/>
        <v>2311691051.4500003</v>
      </c>
      <c r="Z419" s="24">
        <f t="shared" si="79"/>
        <v>0</v>
      </c>
      <c r="AA419" s="25" t="str">
        <f t="shared" si="80"/>
        <v>No se realizó gasto en este corte</v>
      </c>
      <c r="AB419" s="26" t="str">
        <f t="shared" si="81"/>
        <v>Costo eficiente: se está gastando menos de lo presupuestado</v>
      </c>
      <c r="AC419" s="26">
        <f t="shared" si="82"/>
        <v>1</v>
      </c>
      <c r="AD419" s="26" t="str">
        <f t="shared" si="83"/>
        <v>Proyecto a tiempo según lo planificado</v>
      </c>
      <c r="AE419" s="27">
        <f t="shared" si="84"/>
        <v>0</v>
      </c>
      <c r="AF419" s="27">
        <f t="shared" si="85"/>
        <v>-4203074639</v>
      </c>
      <c r="AG419" s="28" t="str">
        <f>VLOOKUP(Indicador!E390,[1]Diccionario!C$1:AC$150,27,0)</f>
        <v>https://growdatasas.sharepoint.com/:x:/r/sites/Gestiondocumental/Administrativa/GD/Financiera/_layouts/15/Doc.aspx?sourcedoc=%7B992F7B45-9CC9-43D2-9E9D-0F8A68C8C555%7D&amp;file=22052025%20MODELO%20FINANCIERO%20REFERENCIA%20V7.4_ANSV_V1.0.xlsm&amp;action=default&amp;mobileredirect=true</v>
      </c>
      <c r="AH419" s="28">
        <v>1</v>
      </c>
      <c r="AI419" s="28">
        <v>1</v>
      </c>
      <c r="AJ419" s="28"/>
      <c r="AK419" s="28"/>
    </row>
    <row r="420" spans="1:37" ht="18.75" customHeight="1" x14ac:dyDescent="0.25">
      <c r="A420" s="11">
        <v>2025</v>
      </c>
      <c r="B420" s="12" t="s">
        <v>57</v>
      </c>
      <c r="C420" s="15" t="s">
        <v>303</v>
      </c>
      <c r="D420" s="39">
        <v>45884.888543831017</v>
      </c>
      <c r="E420" s="63" t="s">
        <v>304</v>
      </c>
      <c r="F420" s="15" t="s">
        <v>140</v>
      </c>
      <c r="G420" s="15" t="s">
        <v>305</v>
      </c>
      <c r="H420" s="15" t="s">
        <v>306</v>
      </c>
      <c r="I420" s="15" t="s">
        <v>43</v>
      </c>
      <c r="J420" s="15" t="s">
        <v>307</v>
      </c>
      <c r="K420" s="15" t="s">
        <v>45</v>
      </c>
      <c r="L420" s="17">
        <f>VLOOKUP(E420,[1]Diccionario!C$2:AC$150,22,0)</f>
        <v>4203074639</v>
      </c>
      <c r="M420" s="18">
        <f>VLOOKUP(E420,[1]Diccionario!C$2:AC$150,24,0)</f>
        <v>45884</v>
      </c>
      <c r="N420" s="19">
        <f>VLOOKUP(E420,[1]Diccionario!C$2:AC$150,25,0)</f>
        <v>46037</v>
      </c>
      <c r="O420" s="20">
        <f>VLOOKUP(E420,[1]Diccionario!C$2:AC$150,26,0)</f>
        <v>5</v>
      </c>
      <c r="P420" s="20">
        <f t="shared" si="75"/>
        <v>-4</v>
      </c>
      <c r="Q420" s="20">
        <v>1</v>
      </c>
      <c r="R420" s="15">
        <v>5</v>
      </c>
      <c r="S420" s="21">
        <v>0.75</v>
      </c>
      <c r="T420" s="21">
        <v>0.75</v>
      </c>
      <c r="U420" s="22"/>
      <c r="V420" s="24"/>
      <c r="W420" s="24">
        <f t="shared" si="76"/>
        <v>3152305979.25</v>
      </c>
      <c r="X420" s="24">
        <f t="shared" si="77"/>
        <v>3152305979.25</v>
      </c>
      <c r="Y420" s="24">
        <f t="shared" si="78"/>
        <v>3152305979.25</v>
      </c>
      <c r="Z420" s="24">
        <f t="shared" si="79"/>
        <v>0</v>
      </c>
      <c r="AA420" s="25" t="str">
        <f t="shared" si="80"/>
        <v>No se realizó gasto en este corte</v>
      </c>
      <c r="AB420" s="26" t="str">
        <f t="shared" si="81"/>
        <v>Costo eficiente: se está gastando menos de lo presupuestado</v>
      </c>
      <c r="AC420" s="26">
        <f t="shared" si="82"/>
        <v>1</v>
      </c>
      <c r="AD420" s="26" t="str">
        <f t="shared" si="83"/>
        <v>Proyecto a tiempo según lo planificado</v>
      </c>
      <c r="AE420" s="27">
        <f t="shared" si="84"/>
        <v>0</v>
      </c>
      <c r="AF420" s="27">
        <f t="shared" si="85"/>
        <v>-4203074639</v>
      </c>
      <c r="AG420" s="28" t="str">
        <f>VLOOKUP(Indicador!E391,[1]Diccionario!C$1:AC$150,27,0)</f>
        <v>https://growdatasas.sharepoint.com/:x:/r/sites/Gestiondocumental/Administrativa/GD/Financiera/_layouts/15/Doc.aspx?sourcedoc=%7B992F7B45-9CC9-43D2-9E9D-0F8A68C8C555%7D&amp;file=22052025%20MODELO%20FINANCIERO%20REFERENCIA%20V7.4_ANSV_V1.0.xlsm&amp;action=default&amp;mobileredirect=true</v>
      </c>
      <c r="AH420" s="28">
        <v>1</v>
      </c>
      <c r="AI420" s="28">
        <v>1</v>
      </c>
      <c r="AJ420" s="28"/>
      <c r="AK420" s="28"/>
    </row>
    <row r="421" spans="1:37" ht="18.75" customHeight="1" x14ac:dyDescent="0.25">
      <c r="A421" s="11">
        <v>2025</v>
      </c>
      <c r="B421" s="12" t="s">
        <v>53</v>
      </c>
      <c r="C421" s="15" t="s">
        <v>308</v>
      </c>
      <c r="D421" s="39">
        <v>45889.883283877316</v>
      </c>
      <c r="E421" s="15" t="s">
        <v>309</v>
      </c>
      <c r="F421" s="15" t="s">
        <v>310</v>
      </c>
      <c r="G421" s="15" t="s">
        <v>311</v>
      </c>
      <c r="H421" s="15" t="s">
        <v>312</v>
      </c>
      <c r="I421" s="15" t="s">
        <v>63</v>
      </c>
      <c r="J421" s="15" t="s">
        <v>313</v>
      </c>
      <c r="K421" s="15" t="s">
        <v>45</v>
      </c>
      <c r="L421" s="17">
        <f>VLOOKUP(E421,[1]Diccionario!C$2:AC$150,22,0)</f>
        <v>6433558115</v>
      </c>
      <c r="M421" s="18">
        <f>VLOOKUP(E421,[1]Diccionario!C$2:AC$150,24,0)</f>
        <v>45880</v>
      </c>
      <c r="N421" s="19">
        <f>VLOOKUP(E421,[1]Diccionario!C$2:AC$150,25,0)</f>
        <v>46203</v>
      </c>
      <c r="O421" s="20">
        <f>VLOOKUP(E421,[1]Diccionario!C$2:AC$150,26,0)</f>
        <v>10.63</v>
      </c>
      <c r="P421" s="20">
        <f t="shared" si="75"/>
        <v>-9.6300000000000008</v>
      </c>
      <c r="Q421" s="20">
        <v>1</v>
      </c>
      <c r="R421" s="15">
        <v>11</v>
      </c>
      <c r="S421" s="21">
        <v>0.25</v>
      </c>
      <c r="T421" s="21">
        <v>0.25</v>
      </c>
      <c r="U421" s="22"/>
      <c r="V421" s="24"/>
      <c r="W421" s="24">
        <f t="shared" si="76"/>
        <v>1608389528.75</v>
      </c>
      <c r="X421" s="24">
        <f t="shared" si="77"/>
        <v>1608389528.75</v>
      </c>
      <c r="Y421" s="24">
        <f t="shared" si="78"/>
        <v>1608389528.75</v>
      </c>
      <c r="Z421" s="24">
        <f t="shared" si="79"/>
        <v>0</v>
      </c>
      <c r="AA421" s="25" t="str">
        <f t="shared" si="80"/>
        <v>No se realizó gasto en este corte</v>
      </c>
      <c r="AB421" s="26" t="str">
        <f t="shared" si="81"/>
        <v>Costo eficiente: se está gastando menos de lo presupuestado</v>
      </c>
      <c r="AC421" s="26">
        <f t="shared" si="82"/>
        <v>1</v>
      </c>
      <c r="AD421" s="26" t="str">
        <f t="shared" si="83"/>
        <v>Proyecto a tiempo según lo planificado</v>
      </c>
      <c r="AE421" s="27">
        <f t="shared" si="84"/>
        <v>0</v>
      </c>
      <c r="AF421" s="27">
        <f t="shared" si="85"/>
        <v>-6433558115</v>
      </c>
      <c r="AG421" s="28" t="str">
        <f>VLOOKUP(Indicador!E376,[1]Diccionario!C$1:AC$150,27,0)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21" s="28">
        <v>1</v>
      </c>
      <c r="AI421" s="28">
        <v>1</v>
      </c>
      <c r="AJ421" s="28"/>
      <c r="AK421" s="28"/>
    </row>
    <row r="422" spans="1:37" ht="18.75" customHeight="1" x14ac:dyDescent="0.25">
      <c r="A422" s="11">
        <v>2025</v>
      </c>
      <c r="B422" s="12" t="s">
        <v>54</v>
      </c>
      <c r="C422" s="15" t="s">
        <v>308</v>
      </c>
      <c r="D422" s="39">
        <v>45889.883283877316</v>
      </c>
      <c r="E422" s="15" t="s">
        <v>309</v>
      </c>
      <c r="F422" s="15" t="s">
        <v>310</v>
      </c>
      <c r="G422" s="15" t="s">
        <v>311</v>
      </c>
      <c r="H422" s="15" t="s">
        <v>312</v>
      </c>
      <c r="I422" s="15" t="s">
        <v>63</v>
      </c>
      <c r="J422" s="15" t="s">
        <v>313</v>
      </c>
      <c r="K422" s="15" t="s">
        <v>45</v>
      </c>
      <c r="L422" s="17">
        <f>VLOOKUP(E422,[1]Diccionario!C$2:AC$150,22,0)</f>
        <v>6433558115</v>
      </c>
      <c r="M422" s="18">
        <f>VLOOKUP(E422,[1]Diccionario!C$2:AC$150,24,0)</f>
        <v>45880</v>
      </c>
      <c r="N422" s="19">
        <f>VLOOKUP(E422,[1]Diccionario!C$2:AC$150,25,0)</f>
        <v>46203</v>
      </c>
      <c r="O422" s="20">
        <f>VLOOKUP(E422,[1]Diccionario!C$2:AC$150,26,0)</f>
        <v>10.63</v>
      </c>
      <c r="P422" s="20">
        <f t="shared" si="75"/>
        <v>-8.6300000000000008</v>
      </c>
      <c r="Q422" s="20">
        <v>2</v>
      </c>
      <c r="R422" s="15">
        <v>11</v>
      </c>
      <c r="S422" s="21">
        <v>0.38</v>
      </c>
      <c r="T422" s="21">
        <v>0.38</v>
      </c>
      <c r="U422" s="22"/>
      <c r="V422" s="24"/>
      <c r="W422" s="24">
        <f t="shared" si="76"/>
        <v>2444752083.6999998</v>
      </c>
      <c r="X422" s="24">
        <f t="shared" si="77"/>
        <v>2444752083.6999998</v>
      </c>
      <c r="Y422" s="24">
        <f t="shared" si="78"/>
        <v>2444752083.6999998</v>
      </c>
      <c r="Z422" s="24">
        <f t="shared" si="79"/>
        <v>0</v>
      </c>
      <c r="AA422" s="25" t="str">
        <f t="shared" si="80"/>
        <v>No se realizó gasto en este corte</v>
      </c>
      <c r="AB422" s="26" t="str">
        <f t="shared" si="81"/>
        <v>Costo eficiente: se está gastando menos de lo presupuestado</v>
      </c>
      <c r="AC422" s="26">
        <f t="shared" si="82"/>
        <v>1</v>
      </c>
      <c r="AD422" s="26" t="str">
        <f t="shared" si="83"/>
        <v>Proyecto a tiempo según lo planificado</v>
      </c>
      <c r="AE422" s="27">
        <f t="shared" si="84"/>
        <v>0</v>
      </c>
      <c r="AF422" s="27">
        <f t="shared" si="85"/>
        <v>-6433558115</v>
      </c>
      <c r="AG422" s="28" t="str">
        <f>VLOOKUP(Indicador!E377,[1]Diccionario!C$1:AC$150,27,0)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22" s="28">
        <v>1</v>
      </c>
      <c r="AI422" s="28">
        <v>1</v>
      </c>
      <c r="AJ422" s="28"/>
      <c r="AK422" s="28"/>
    </row>
    <row r="423" spans="1:37" ht="18.75" customHeight="1" x14ac:dyDescent="0.25">
      <c r="A423" s="11">
        <v>2025</v>
      </c>
      <c r="B423" s="12" t="s">
        <v>55</v>
      </c>
      <c r="C423" s="15" t="s">
        <v>308</v>
      </c>
      <c r="D423" s="39">
        <v>45889.883283877316</v>
      </c>
      <c r="E423" s="15" t="s">
        <v>309</v>
      </c>
      <c r="F423" s="15" t="s">
        <v>310</v>
      </c>
      <c r="G423" s="15" t="s">
        <v>311</v>
      </c>
      <c r="H423" s="15" t="s">
        <v>312</v>
      </c>
      <c r="I423" s="15" t="s">
        <v>63</v>
      </c>
      <c r="J423" s="15" t="s">
        <v>313</v>
      </c>
      <c r="K423" s="15" t="s">
        <v>45</v>
      </c>
      <c r="L423" s="17">
        <f>VLOOKUP(E423,[1]Diccionario!C$2:AC$150,22,0)</f>
        <v>6433558115</v>
      </c>
      <c r="M423" s="18">
        <f>VLOOKUP(E423,[1]Diccionario!C$2:AC$150,24,0)</f>
        <v>45880</v>
      </c>
      <c r="N423" s="19">
        <f>VLOOKUP(E423,[1]Diccionario!C$2:AC$150,25,0)</f>
        <v>46203</v>
      </c>
      <c r="O423" s="20">
        <f>VLOOKUP(E423,[1]Diccionario!C$2:AC$150,26,0)</f>
        <v>10.63</v>
      </c>
      <c r="P423" s="20">
        <f t="shared" si="75"/>
        <v>-7.6300000000000008</v>
      </c>
      <c r="Q423" s="20">
        <v>3</v>
      </c>
      <c r="R423" s="15">
        <v>11</v>
      </c>
      <c r="S423" s="21">
        <v>0.42</v>
      </c>
      <c r="T423" s="21">
        <v>0.42</v>
      </c>
      <c r="U423" s="22"/>
      <c r="V423" s="24"/>
      <c r="W423" s="24">
        <f t="shared" si="76"/>
        <v>2702094408.2999997</v>
      </c>
      <c r="X423" s="24">
        <f t="shared" si="77"/>
        <v>2702094408.2999997</v>
      </c>
      <c r="Y423" s="24">
        <f t="shared" si="78"/>
        <v>2702094408.2999997</v>
      </c>
      <c r="Z423" s="24">
        <f t="shared" si="79"/>
        <v>0</v>
      </c>
      <c r="AA423" s="25" t="str">
        <f t="shared" si="80"/>
        <v>No se realizó gasto en este corte</v>
      </c>
      <c r="AB423" s="26" t="str">
        <f t="shared" si="81"/>
        <v>Costo eficiente: se está gastando menos de lo presupuestado</v>
      </c>
      <c r="AC423" s="26">
        <f t="shared" si="82"/>
        <v>1</v>
      </c>
      <c r="AD423" s="26" t="str">
        <f t="shared" si="83"/>
        <v>Proyecto a tiempo según lo planificado</v>
      </c>
      <c r="AE423" s="27">
        <f t="shared" si="84"/>
        <v>0</v>
      </c>
      <c r="AF423" s="27">
        <f t="shared" si="85"/>
        <v>-6433558115</v>
      </c>
      <c r="AG423" s="28" t="str">
        <f>VLOOKUP(Indicador!E378,[1]Diccionario!C$1:AC$150,27,0)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23" s="28">
        <v>1</v>
      </c>
      <c r="AI423" s="28">
        <v>1</v>
      </c>
      <c r="AJ423" s="28"/>
      <c r="AK423" s="28"/>
    </row>
    <row r="424" spans="1:37" ht="18.75" customHeight="1" x14ac:dyDescent="0.25">
      <c r="A424" s="11">
        <v>2025</v>
      </c>
      <c r="B424" s="12" t="s">
        <v>56</v>
      </c>
      <c r="C424" s="15" t="s">
        <v>308</v>
      </c>
      <c r="D424" s="39">
        <v>45889.883283877316</v>
      </c>
      <c r="E424" s="15" t="s">
        <v>309</v>
      </c>
      <c r="F424" s="15" t="s">
        <v>310</v>
      </c>
      <c r="G424" s="15" t="s">
        <v>311</v>
      </c>
      <c r="H424" s="15" t="s">
        <v>312</v>
      </c>
      <c r="I424" s="15" t="s">
        <v>63</v>
      </c>
      <c r="J424" s="15" t="s">
        <v>313</v>
      </c>
      <c r="K424" s="15" t="s">
        <v>45</v>
      </c>
      <c r="L424" s="17">
        <f>VLOOKUP(E424,[1]Diccionario!C$2:AC$150,22,0)</f>
        <v>6433558115</v>
      </c>
      <c r="M424" s="18">
        <f>VLOOKUP(E424,[1]Diccionario!C$2:AC$150,24,0)</f>
        <v>45880</v>
      </c>
      <c r="N424" s="19">
        <f>VLOOKUP(E424,[1]Diccionario!C$2:AC$150,25,0)</f>
        <v>46203</v>
      </c>
      <c r="O424" s="20">
        <f>VLOOKUP(E424,[1]Diccionario!C$2:AC$150,26,0)</f>
        <v>10.63</v>
      </c>
      <c r="P424" s="20">
        <f t="shared" si="75"/>
        <v>-6.6300000000000008</v>
      </c>
      <c r="Q424" s="20">
        <v>4</v>
      </c>
      <c r="R424" s="15">
        <v>11</v>
      </c>
      <c r="S424" s="21">
        <v>0.55000000000000004</v>
      </c>
      <c r="T424" s="21">
        <v>0.55000000000000004</v>
      </c>
      <c r="U424" s="22"/>
      <c r="V424" s="24"/>
      <c r="W424" s="24">
        <f t="shared" si="76"/>
        <v>3538456963.2500005</v>
      </c>
      <c r="X424" s="24">
        <f t="shared" si="77"/>
        <v>3538456963.2500005</v>
      </c>
      <c r="Y424" s="24">
        <f t="shared" si="78"/>
        <v>3538456963.2500005</v>
      </c>
      <c r="Z424" s="24">
        <f t="shared" si="79"/>
        <v>0</v>
      </c>
      <c r="AA424" s="25" t="str">
        <f t="shared" si="80"/>
        <v>No se realizó gasto en este corte</v>
      </c>
      <c r="AB424" s="26" t="str">
        <f t="shared" si="81"/>
        <v>Costo eficiente: se está gastando menos de lo presupuestado</v>
      </c>
      <c r="AC424" s="26">
        <f t="shared" si="82"/>
        <v>1</v>
      </c>
      <c r="AD424" s="26" t="str">
        <f t="shared" si="83"/>
        <v>Proyecto a tiempo según lo planificado</v>
      </c>
      <c r="AE424" s="27">
        <f t="shared" si="84"/>
        <v>0</v>
      </c>
      <c r="AF424" s="27">
        <f t="shared" si="85"/>
        <v>-6433558115</v>
      </c>
      <c r="AG424" s="28" t="str">
        <f>VLOOKUP(Indicador!E379,[1]Diccionario!C$1:AC$150,27,0)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24" s="28">
        <v>1</v>
      </c>
      <c r="AI424" s="28">
        <v>1</v>
      </c>
      <c r="AJ424" s="28"/>
      <c r="AK424" s="28"/>
    </row>
    <row r="425" spans="1:37" ht="18.75" customHeight="1" x14ac:dyDescent="0.25">
      <c r="A425" s="11">
        <v>2025</v>
      </c>
      <c r="B425" s="12" t="s">
        <v>57</v>
      </c>
      <c r="C425" s="15" t="s">
        <v>308</v>
      </c>
      <c r="D425" s="39">
        <v>45889.883283877316</v>
      </c>
      <c r="E425" s="15" t="s">
        <v>309</v>
      </c>
      <c r="F425" s="15" t="s">
        <v>310</v>
      </c>
      <c r="G425" s="15" t="s">
        <v>311</v>
      </c>
      <c r="H425" s="15" t="s">
        <v>312</v>
      </c>
      <c r="I425" s="15" t="s">
        <v>63</v>
      </c>
      <c r="J425" s="15" t="s">
        <v>313</v>
      </c>
      <c r="K425" s="15" t="s">
        <v>45</v>
      </c>
      <c r="L425" s="17">
        <f>VLOOKUP(E425,[1]Diccionario!C$2:AC$150,22,0)</f>
        <v>6433558115</v>
      </c>
      <c r="M425" s="18">
        <f>VLOOKUP(E425,[1]Diccionario!C$2:AC$150,24,0)</f>
        <v>45880</v>
      </c>
      <c r="N425" s="19">
        <f>VLOOKUP(E425,[1]Diccionario!C$2:AC$150,25,0)</f>
        <v>46203</v>
      </c>
      <c r="O425" s="20">
        <f>VLOOKUP(E425,[1]Diccionario!C$2:AC$150,26,0)</f>
        <v>10.63</v>
      </c>
      <c r="P425" s="20">
        <f t="shared" si="75"/>
        <v>-5.6300000000000008</v>
      </c>
      <c r="Q425" s="20">
        <v>5</v>
      </c>
      <c r="R425" s="15">
        <v>11</v>
      </c>
      <c r="S425" s="21">
        <v>0.65</v>
      </c>
      <c r="T425" s="21">
        <v>0.65</v>
      </c>
      <c r="U425" s="22"/>
      <c r="V425" s="24"/>
      <c r="W425" s="24">
        <f t="shared" si="76"/>
        <v>4181812774.75</v>
      </c>
      <c r="X425" s="24">
        <f t="shared" si="77"/>
        <v>4181812774.75</v>
      </c>
      <c r="Y425" s="24">
        <f t="shared" si="78"/>
        <v>4181812774.75</v>
      </c>
      <c r="Z425" s="24">
        <f t="shared" si="79"/>
        <v>0</v>
      </c>
      <c r="AA425" s="25" t="str">
        <f t="shared" si="80"/>
        <v>No se realizó gasto en este corte</v>
      </c>
      <c r="AB425" s="26" t="str">
        <f t="shared" si="81"/>
        <v>Costo eficiente: se está gastando menos de lo presupuestado</v>
      </c>
      <c r="AC425" s="26">
        <f t="shared" si="82"/>
        <v>1</v>
      </c>
      <c r="AD425" s="26" t="str">
        <f t="shared" si="83"/>
        <v>Proyecto a tiempo según lo planificado</v>
      </c>
      <c r="AE425" s="27">
        <f t="shared" si="84"/>
        <v>0</v>
      </c>
      <c r="AF425" s="27">
        <f t="shared" si="85"/>
        <v>-6433558115</v>
      </c>
      <c r="AG425" s="28" t="str">
        <f>VLOOKUP(Indicador!E380,[1]Diccionario!C$1:AC$150,27,0)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25" s="28">
        <v>1</v>
      </c>
      <c r="AI425" s="28">
        <v>1</v>
      </c>
      <c r="AJ425" s="28"/>
      <c r="AK425" s="28"/>
    </row>
    <row r="426" spans="1:37" ht="18.75" customHeight="1" x14ac:dyDescent="0.25">
      <c r="A426" s="11">
        <v>2026</v>
      </c>
      <c r="B426" s="12" t="s">
        <v>37</v>
      </c>
      <c r="C426" s="15" t="s">
        <v>308</v>
      </c>
      <c r="D426" s="39">
        <v>45889.883283877316</v>
      </c>
      <c r="E426" s="15" t="s">
        <v>309</v>
      </c>
      <c r="F426" s="15" t="s">
        <v>310</v>
      </c>
      <c r="G426" s="15" t="s">
        <v>311</v>
      </c>
      <c r="H426" s="15" t="s">
        <v>312</v>
      </c>
      <c r="I426" s="15" t="s">
        <v>63</v>
      </c>
      <c r="J426" s="15" t="s">
        <v>313</v>
      </c>
      <c r="K426" s="15" t="s">
        <v>45</v>
      </c>
      <c r="L426" s="17">
        <f>VLOOKUP(E426,[1]Diccionario!C$2:AC$150,22,0)</f>
        <v>6433558115</v>
      </c>
      <c r="M426" s="18">
        <f>VLOOKUP(E426,[1]Diccionario!C$2:AC$150,24,0)</f>
        <v>45880</v>
      </c>
      <c r="N426" s="19">
        <f>VLOOKUP(E426,[1]Diccionario!C$2:AC$150,25,0)</f>
        <v>46203</v>
      </c>
      <c r="O426" s="20">
        <f>VLOOKUP(E426,[1]Diccionario!C$2:AC$150,26,0)</f>
        <v>10.63</v>
      </c>
      <c r="P426" s="20">
        <f t="shared" si="75"/>
        <v>-4.6300000000000008</v>
      </c>
      <c r="Q426" s="20">
        <v>6</v>
      </c>
      <c r="R426" s="15">
        <v>11</v>
      </c>
      <c r="S426" s="21">
        <v>0.7</v>
      </c>
      <c r="T426" s="21">
        <v>0.7</v>
      </c>
      <c r="U426" s="22"/>
      <c r="V426" s="24"/>
      <c r="W426" s="24">
        <f t="shared" si="76"/>
        <v>4503490680.5</v>
      </c>
      <c r="X426" s="24">
        <f t="shared" si="77"/>
        <v>4503490680.5</v>
      </c>
      <c r="Y426" s="24">
        <f t="shared" si="78"/>
        <v>4503490680.5</v>
      </c>
      <c r="Z426" s="24">
        <f t="shared" si="79"/>
        <v>0</v>
      </c>
      <c r="AA426" s="25" t="str">
        <f t="shared" si="80"/>
        <v>No se realizó gasto en este corte</v>
      </c>
      <c r="AB426" s="26" t="str">
        <f t="shared" si="81"/>
        <v>Costo eficiente: se está gastando menos de lo presupuestado</v>
      </c>
      <c r="AC426" s="26">
        <f t="shared" si="82"/>
        <v>1</v>
      </c>
      <c r="AD426" s="26" t="str">
        <f t="shared" si="83"/>
        <v>Proyecto a tiempo según lo planificado</v>
      </c>
      <c r="AE426" s="27">
        <f t="shared" si="84"/>
        <v>0</v>
      </c>
      <c r="AF426" s="27">
        <f t="shared" si="85"/>
        <v>-6433558115</v>
      </c>
      <c r="AG426" s="28" t="str">
        <f>VLOOKUP(Indicador!E381,[1]Diccionario!C$1:AC$150,27,0)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26" s="28">
        <v>1</v>
      </c>
      <c r="AI426" s="28">
        <v>1</v>
      </c>
      <c r="AJ426" s="28"/>
      <c r="AK426" s="28"/>
    </row>
    <row r="427" spans="1:37" ht="18.75" customHeight="1" x14ac:dyDescent="0.25">
      <c r="A427" s="11">
        <v>2026</v>
      </c>
      <c r="B427" s="12" t="s">
        <v>47</v>
      </c>
      <c r="C427" s="15" t="s">
        <v>308</v>
      </c>
      <c r="D427" s="39">
        <v>45889.883283877316</v>
      </c>
      <c r="E427" s="15" t="s">
        <v>309</v>
      </c>
      <c r="F427" s="15" t="s">
        <v>310</v>
      </c>
      <c r="G427" s="15" t="s">
        <v>311</v>
      </c>
      <c r="H427" s="15" t="s">
        <v>312</v>
      </c>
      <c r="I427" s="15" t="s">
        <v>63</v>
      </c>
      <c r="J427" s="15" t="s">
        <v>313</v>
      </c>
      <c r="K427" s="15" t="s">
        <v>45</v>
      </c>
      <c r="L427" s="17">
        <f>VLOOKUP(E427,[1]Diccionario!C$2:AC$150,22,0)</f>
        <v>6433558115</v>
      </c>
      <c r="M427" s="18">
        <f>VLOOKUP(E427,[1]Diccionario!C$2:AC$150,24,0)</f>
        <v>45880</v>
      </c>
      <c r="N427" s="19">
        <f>VLOOKUP(E427,[1]Diccionario!C$2:AC$150,25,0)</f>
        <v>46203</v>
      </c>
      <c r="O427" s="20">
        <f>VLOOKUP(E427,[1]Diccionario!C$2:AC$150,26,0)</f>
        <v>10.63</v>
      </c>
      <c r="P427" s="20">
        <f t="shared" si="75"/>
        <v>-3.6300000000000008</v>
      </c>
      <c r="Q427" s="20">
        <v>7</v>
      </c>
      <c r="R427" s="15">
        <v>11</v>
      </c>
      <c r="S427" s="21">
        <v>0.75</v>
      </c>
      <c r="T427" s="21">
        <v>0.75</v>
      </c>
      <c r="U427" s="22"/>
      <c r="V427" s="24"/>
      <c r="W427" s="24">
        <f t="shared" si="76"/>
        <v>4825168586.25</v>
      </c>
      <c r="X427" s="24">
        <f t="shared" si="77"/>
        <v>4825168586.25</v>
      </c>
      <c r="Y427" s="24">
        <f t="shared" si="78"/>
        <v>4825168586.25</v>
      </c>
      <c r="Z427" s="24">
        <f t="shared" si="79"/>
        <v>0</v>
      </c>
      <c r="AA427" s="25" t="str">
        <f t="shared" si="80"/>
        <v>No se realizó gasto en este corte</v>
      </c>
      <c r="AB427" s="26" t="str">
        <f t="shared" si="81"/>
        <v>Costo eficiente: se está gastando menos de lo presupuestado</v>
      </c>
      <c r="AC427" s="26">
        <f t="shared" si="82"/>
        <v>1</v>
      </c>
      <c r="AD427" s="26" t="str">
        <f t="shared" si="83"/>
        <v>Proyecto a tiempo según lo planificado</v>
      </c>
      <c r="AE427" s="27">
        <f t="shared" si="84"/>
        <v>0</v>
      </c>
      <c r="AF427" s="27">
        <f t="shared" si="85"/>
        <v>-6433558115</v>
      </c>
      <c r="AG427" s="28" t="str">
        <f>VLOOKUP(Indicador!E382,[1]Diccionario!C$1:AC$150,27,0)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27" s="28">
        <v>1</v>
      </c>
      <c r="AI427" s="28">
        <v>1</v>
      </c>
      <c r="AJ427" s="28"/>
      <c r="AK427" s="28"/>
    </row>
    <row r="428" spans="1:37" ht="18.75" customHeight="1" x14ac:dyDescent="0.25">
      <c r="A428" s="11">
        <v>2026</v>
      </c>
      <c r="B428" s="12" t="s">
        <v>48</v>
      </c>
      <c r="C428" s="15" t="s">
        <v>308</v>
      </c>
      <c r="D428" s="39">
        <v>45889.883283877316</v>
      </c>
      <c r="E428" s="15" t="s">
        <v>309</v>
      </c>
      <c r="F428" s="15" t="s">
        <v>310</v>
      </c>
      <c r="G428" s="15" t="s">
        <v>311</v>
      </c>
      <c r="H428" s="15" t="s">
        <v>312</v>
      </c>
      <c r="I428" s="15" t="s">
        <v>63</v>
      </c>
      <c r="J428" s="15" t="s">
        <v>313</v>
      </c>
      <c r="K428" s="15" t="s">
        <v>45</v>
      </c>
      <c r="L428" s="17">
        <f>VLOOKUP(E428,[1]Diccionario!C$2:AC$150,22,0)</f>
        <v>6433558115</v>
      </c>
      <c r="M428" s="18">
        <f>VLOOKUP(E428,[1]Diccionario!C$2:AC$150,24,0)</f>
        <v>45880</v>
      </c>
      <c r="N428" s="19">
        <f>VLOOKUP(E428,[1]Diccionario!C$2:AC$150,25,0)</f>
        <v>46203</v>
      </c>
      <c r="O428" s="20">
        <f>VLOOKUP(E428,[1]Diccionario!C$2:AC$150,26,0)</f>
        <v>10.63</v>
      </c>
      <c r="P428" s="20">
        <f t="shared" si="75"/>
        <v>-2.6300000000000008</v>
      </c>
      <c r="Q428" s="20">
        <v>8</v>
      </c>
      <c r="R428" s="15">
        <v>11</v>
      </c>
      <c r="S428" s="21">
        <v>0.8</v>
      </c>
      <c r="T428" s="21">
        <v>0.8</v>
      </c>
      <c r="U428" s="22"/>
      <c r="V428" s="24"/>
      <c r="W428" s="24">
        <f t="shared" si="76"/>
        <v>5146846492</v>
      </c>
      <c r="X428" s="24">
        <f t="shared" si="77"/>
        <v>5146846492</v>
      </c>
      <c r="Y428" s="24">
        <f t="shared" si="78"/>
        <v>5146846492</v>
      </c>
      <c r="Z428" s="24">
        <f t="shared" si="79"/>
        <v>0</v>
      </c>
      <c r="AA428" s="25" t="str">
        <f t="shared" si="80"/>
        <v>No se realizó gasto en este corte</v>
      </c>
      <c r="AB428" s="26" t="str">
        <f t="shared" si="81"/>
        <v>Costo eficiente: se está gastando menos de lo presupuestado</v>
      </c>
      <c r="AC428" s="26">
        <f t="shared" si="82"/>
        <v>1</v>
      </c>
      <c r="AD428" s="26" t="str">
        <f t="shared" si="83"/>
        <v>Proyecto a tiempo según lo planificado</v>
      </c>
      <c r="AE428" s="27">
        <f t="shared" si="84"/>
        <v>0</v>
      </c>
      <c r="AF428" s="27">
        <f t="shared" si="85"/>
        <v>-6433558115</v>
      </c>
      <c r="AG428" s="28" t="str">
        <f>VLOOKUP(Indicador!E383,[1]Diccionario!C$1:AC$150,27,0)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28" s="28">
        <v>1</v>
      </c>
      <c r="AI428" s="28">
        <v>1</v>
      </c>
      <c r="AJ428" s="28"/>
      <c r="AK428" s="28"/>
    </row>
    <row r="429" spans="1:37" ht="18.75" customHeight="1" x14ac:dyDescent="0.25">
      <c r="A429" s="11">
        <v>2026</v>
      </c>
      <c r="B429" s="12" t="s">
        <v>49</v>
      </c>
      <c r="C429" s="15" t="s">
        <v>308</v>
      </c>
      <c r="D429" s="39">
        <v>45889.883283877316</v>
      </c>
      <c r="E429" s="15" t="s">
        <v>309</v>
      </c>
      <c r="F429" s="15" t="s">
        <v>310</v>
      </c>
      <c r="G429" s="15" t="s">
        <v>311</v>
      </c>
      <c r="H429" s="15" t="s">
        <v>312</v>
      </c>
      <c r="I429" s="15" t="s">
        <v>63</v>
      </c>
      <c r="J429" s="15" t="s">
        <v>313</v>
      </c>
      <c r="K429" s="15" t="s">
        <v>45</v>
      </c>
      <c r="L429" s="17">
        <f>VLOOKUP(E429,[1]Diccionario!C$2:AC$150,22,0)</f>
        <v>6433558115</v>
      </c>
      <c r="M429" s="18">
        <f>VLOOKUP(E429,[1]Diccionario!C$2:AC$150,24,0)</f>
        <v>45880</v>
      </c>
      <c r="N429" s="19">
        <f>VLOOKUP(E429,[1]Diccionario!C$2:AC$150,25,0)</f>
        <v>46203</v>
      </c>
      <c r="O429" s="20">
        <f>VLOOKUP(E429,[1]Diccionario!C$2:AC$150,26,0)</f>
        <v>10.63</v>
      </c>
      <c r="P429" s="20">
        <f t="shared" si="75"/>
        <v>-1.6300000000000008</v>
      </c>
      <c r="Q429" s="20">
        <v>9</v>
      </c>
      <c r="R429" s="15">
        <v>11</v>
      </c>
      <c r="S429" s="21">
        <v>0.85</v>
      </c>
      <c r="T429" s="21">
        <v>0.85</v>
      </c>
      <c r="U429" s="22"/>
      <c r="V429" s="24"/>
      <c r="W429" s="24">
        <f t="shared" si="76"/>
        <v>5468524397.75</v>
      </c>
      <c r="X429" s="24">
        <f t="shared" si="77"/>
        <v>5468524397.75</v>
      </c>
      <c r="Y429" s="24">
        <f t="shared" si="78"/>
        <v>5468524397.75</v>
      </c>
      <c r="Z429" s="24">
        <f t="shared" si="79"/>
        <v>0</v>
      </c>
      <c r="AA429" s="25" t="str">
        <f t="shared" si="80"/>
        <v>No se realizó gasto en este corte</v>
      </c>
      <c r="AB429" s="26" t="str">
        <f t="shared" si="81"/>
        <v>Costo eficiente: se está gastando menos de lo presupuestado</v>
      </c>
      <c r="AC429" s="26">
        <f t="shared" si="82"/>
        <v>1</v>
      </c>
      <c r="AD429" s="26" t="str">
        <f t="shared" si="83"/>
        <v>Proyecto a tiempo según lo planificado</v>
      </c>
      <c r="AE429" s="27">
        <f t="shared" si="84"/>
        <v>0</v>
      </c>
      <c r="AF429" s="27">
        <f t="shared" si="85"/>
        <v>-6433558115</v>
      </c>
      <c r="AG429" s="28" t="str">
        <f>VLOOKUP(Indicador!E384,[1]Diccionario!C$1:AC$150,27,0)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29" s="28">
        <v>1</v>
      </c>
      <c r="AI429" s="28">
        <v>1</v>
      </c>
      <c r="AJ429" s="28"/>
      <c r="AK429" s="28"/>
    </row>
    <row r="430" spans="1:37" ht="18.75" customHeight="1" x14ac:dyDescent="0.25">
      <c r="A430" s="11">
        <v>2026</v>
      </c>
      <c r="B430" s="12" t="s">
        <v>50</v>
      </c>
      <c r="C430" s="15" t="s">
        <v>308</v>
      </c>
      <c r="D430" s="39">
        <v>45889.883283877316</v>
      </c>
      <c r="E430" s="15" t="s">
        <v>309</v>
      </c>
      <c r="F430" s="15" t="s">
        <v>310</v>
      </c>
      <c r="G430" s="15" t="s">
        <v>311</v>
      </c>
      <c r="H430" s="15" t="s">
        <v>312</v>
      </c>
      <c r="I430" s="15" t="s">
        <v>63</v>
      </c>
      <c r="J430" s="15" t="s">
        <v>313</v>
      </c>
      <c r="K430" s="15" t="s">
        <v>45</v>
      </c>
      <c r="L430" s="17">
        <f>VLOOKUP(E430,[1]Diccionario!C$2:AC$150,22,0)</f>
        <v>6433558115</v>
      </c>
      <c r="M430" s="18">
        <f>VLOOKUP(E430,[1]Diccionario!C$2:AC$150,24,0)</f>
        <v>45880</v>
      </c>
      <c r="N430" s="19">
        <f>VLOOKUP(E430,[1]Diccionario!C$2:AC$150,25,0)</f>
        <v>46203</v>
      </c>
      <c r="O430" s="20">
        <f>VLOOKUP(E430,[1]Diccionario!C$2:AC$150,26,0)</f>
        <v>10.63</v>
      </c>
      <c r="P430" s="20">
        <f t="shared" si="75"/>
        <v>-0.63000000000000078</v>
      </c>
      <c r="Q430" s="20">
        <v>10</v>
      </c>
      <c r="R430" s="15">
        <v>11</v>
      </c>
      <c r="S430" s="21">
        <v>0.95</v>
      </c>
      <c r="T430" s="21">
        <v>0.95</v>
      </c>
      <c r="U430" s="22"/>
      <c r="V430" s="24"/>
      <c r="W430" s="24">
        <f t="shared" si="76"/>
        <v>6111880209.25</v>
      </c>
      <c r="X430" s="24">
        <f t="shared" si="77"/>
        <v>6111880209.25</v>
      </c>
      <c r="Y430" s="24">
        <f t="shared" si="78"/>
        <v>6111880209.25</v>
      </c>
      <c r="Z430" s="24">
        <f t="shared" si="79"/>
        <v>0</v>
      </c>
      <c r="AA430" s="25" t="str">
        <f t="shared" si="80"/>
        <v>No se realizó gasto en este corte</v>
      </c>
      <c r="AB430" s="26" t="str">
        <f t="shared" si="81"/>
        <v>Costo eficiente: se está gastando menos de lo presupuestado</v>
      </c>
      <c r="AC430" s="26">
        <f t="shared" si="82"/>
        <v>1</v>
      </c>
      <c r="AD430" s="26" t="str">
        <f t="shared" si="83"/>
        <v>Proyecto a tiempo según lo planificado</v>
      </c>
      <c r="AE430" s="27">
        <f t="shared" si="84"/>
        <v>0</v>
      </c>
      <c r="AF430" s="27">
        <f t="shared" si="85"/>
        <v>-6433558115</v>
      </c>
      <c r="AG430" s="28" t="str">
        <f>VLOOKUP(Indicador!E385,[1]Diccionario!C$1:AC$150,27,0)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30" s="28">
        <v>1</v>
      </c>
      <c r="AI430" s="28">
        <v>1</v>
      </c>
      <c r="AJ430" s="28"/>
      <c r="AK430" s="28"/>
    </row>
    <row r="431" spans="1:37" ht="18.75" customHeight="1" x14ac:dyDescent="0.25">
      <c r="A431" s="11">
        <v>2026</v>
      </c>
      <c r="B431" s="12" t="s">
        <v>51</v>
      </c>
      <c r="C431" s="15" t="s">
        <v>308</v>
      </c>
      <c r="D431" s="39">
        <v>45889.883283877316</v>
      </c>
      <c r="E431" s="15" t="s">
        <v>309</v>
      </c>
      <c r="F431" s="15" t="s">
        <v>310</v>
      </c>
      <c r="G431" s="15" t="s">
        <v>311</v>
      </c>
      <c r="H431" s="15" t="s">
        <v>312</v>
      </c>
      <c r="I431" s="15" t="s">
        <v>63</v>
      </c>
      <c r="J431" s="15" t="s">
        <v>313</v>
      </c>
      <c r="K431" s="15" t="s">
        <v>45</v>
      </c>
      <c r="L431" s="17">
        <f>VLOOKUP(E431,[1]Diccionario!C$2:AC$150,22,0)</f>
        <v>6433558115</v>
      </c>
      <c r="M431" s="18">
        <f>VLOOKUP(E431,[1]Diccionario!C$2:AC$150,24,0)</f>
        <v>45880</v>
      </c>
      <c r="N431" s="19">
        <f>VLOOKUP(E431,[1]Diccionario!C$2:AC$150,25,0)</f>
        <v>46203</v>
      </c>
      <c r="O431" s="20">
        <f>VLOOKUP(E431,[1]Diccionario!C$2:AC$150,26,0)</f>
        <v>10.63</v>
      </c>
      <c r="P431" s="20">
        <f t="shared" si="75"/>
        <v>0.36999999999999922</v>
      </c>
      <c r="Q431" s="20">
        <v>11</v>
      </c>
      <c r="R431" s="15">
        <v>11</v>
      </c>
      <c r="S431" s="21">
        <v>1</v>
      </c>
      <c r="T431" s="21">
        <v>1</v>
      </c>
      <c r="U431" s="22"/>
      <c r="V431" s="24"/>
      <c r="W431" s="24">
        <f t="shared" si="76"/>
        <v>6433558115</v>
      </c>
      <c r="X431" s="24">
        <f t="shared" si="77"/>
        <v>6433558115</v>
      </c>
      <c r="Y431" s="24">
        <f t="shared" si="78"/>
        <v>6433558115</v>
      </c>
      <c r="Z431" s="24">
        <f t="shared" si="79"/>
        <v>0</v>
      </c>
      <c r="AA431" s="25" t="str">
        <f t="shared" si="80"/>
        <v>No se realizó gasto en este corte</v>
      </c>
      <c r="AB431" s="26" t="str">
        <f t="shared" si="81"/>
        <v>Costo eficiente: se está gastando menos de lo presupuestado</v>
      </c>
      <c r="AC431" s="26">
        <f t="shared" si="82"/>
        <v>1</v>
      </c>
      <c r="AD431" s="26" t="str">
        <f t="shared" si="83"/>
        <v>Proyecto a tiempo según lo planificado</v>
      </c>
      <c r="AE431" s="27">
        <f t="shared" si="84"/>
        <v>0</v>
      </c>
      <c r="AF431" s="27">
        <f t="shared" si="85"/>
        <v>-6433558115</v>
      </c>
      <c r="AG431" s="28" t="str">
        <f>VLOOKUP(Indicador!E386,[1]Diccionario!C$1:AC$150,27,0)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31" s="28">
        <v>1</v>
      </c>
      <c r="AI431" s="28">
        <v>1</v>
      </c>
      <c r="AJ431" s="28"/>
      <c r="AK431" s="28"/>
    </row>
    <row r="432" spans="1:37" ht="18.75" customHeight="1" x14ac:dyDescent="0.25">
      <c r="A432" s="64">
        <v>2025</v>
      </c>
      <c r="B432" s="65" t="s">
        <v>54</v>
      </c>
      <c r="C432" s="66" t="s">
        <v>314</v>
      </c>
      <c r="D432" s="67">
        <v>45889.901397719907</v>
      </c>
      <c r="E432" s="66" t="s">
        <v>315</v>
      </c>
      <c r="F432" s="66" t="s">
        <v>89</v>
      </c>
      <c r="G432" s="66" t="s">
        <v>316</v>
      </c>
      <c r="H432" s="66" t="s">
        <v>317</v>
      </c>
      <c r="I432" s="66" t="s">
        <v>43</v>
      </c>
      <c r="J432" s="66" t="s">
        <v>318</v>
      </c>
      <c r="K432" s="66" t="s">
        <v>45</v>
      </c>
      <c r="L432" s="68">
        <f>VLOOKUP(E432,[1]Diccionario!C$2:AC$150,22,0)</f>
        <v>4792442910</v>
      </c>
      <c r="M432" s="69">
        <f>VLOOKUP(E432,[1]Diccionario!C$2:AC$150,24,0)</f>
        <v>45901</v>
      </c>
      <c r="N432" s="70">
        <f>VLOOKUP(E432,[1]Diccionario!C$2:AC$150,25,0)</f>
        <v>46264</v>
      </c>
      <c r="O432" s="71">
        <f>VLOOKUP(E432,[1]Diccionario!C$2:AC$150,26,0)</f>
        <v>11.97</v>
      </c>
      <c r="P432" s="71">
        <f t="shared" si="75"/>
        <v>-10.97</v>
      </c>
      <c r="Q432" s="71">
        <v>1</v>
      </c>
      <c r="R432" s="66">
        <v>12</v>
      </c>
      <c r="S432" s="72">
        <v>0.15</v>
      </c>
      <c r="T432" s="72">
        <v>0.15</v>
      </c>
      <c r="U432" s="73">
        <f>TablaIndicador[[#This Row],[Costo Mensual]]</f>
        <v>32013333</v>
      </c>
      <c r="V432" s="74">
        <v>32013333</v>
      </c>
      <c r="W432" s="73">
        <f t="shared" si="76"/>
        <v>718866436.5</v>
      </c>
      <c r="X432" s="73">
        <f t="shared" si="77"/>
        <v>718866436.5</v>
      </c>
      <c r="Y432" s="73">
        <f t="shared" si="78"/>
        <v>686853103.5</v>
      </c>
      <c r="Z432" s="73">
        <f t="shared" si="79"/>
        <v>0</v>
      </c>
      <c r="AA432" s="75">
        <f t="shared" si="80"/>
        <v>22.455220032853187</v>
      </c>
      <c r="AB432" s="76" t="str">
        <f t="shared" si="81"/>
        <v>Costo eficiente: se está gastando menos de lo presupuestado</v>
      </c>
      <c r="AC432" s="76">
        <f t="shared" si="82"/>
        <v>1</v>
      </c>
      <c r="AD432" s="76" t="str">
        <f t="shared" si="83"/>
        <v>Proyecto a tiempo según lo planificado</v>
      </c>
      <c r="AE432" s="77">
        <f t="shared" si="84"/>
        <v>213422220</v>
      </c>
      <c r="AF432" s="77">
        <f t="shared" si="85"/>
        <v>-4579020690</v>
      </c>
      <c r="AG432" s="78" t="str">
        <f>VLOOKUP(Indicador!E400,[1]Diccionario!C$1:AC$150,27,0)</f>
        <v>https://growdatasas.sharepoint.com/:x:/r/sites/Gestiondocumental/Administrativa/GD/Financiera/_layouts/15/Doc.aspx?sourcedoc=%7B992F7B45-9CC9-43D2-9E9D-0F8A68C8C555%7D&amp;file=22052025%20MODELO%20FINANCIERO%20REFERENCIA%20V7.4_ANSV_V1.0.xlsm&amp;action=default&amp;mobileredirect=true</v>
      </c>
      <c r="AH432" s="78">
        <v>1</v>
      </c>
      <c r="AI432" s="78">
        <v>1</v>
      </c>
      <c r="AJ432" s="78"/>
      <c r="AK432" s="78" t="s">
        <v>319</v>
      </c>
    </row>
    <row r="433" spans="1:37" ht="18.75" customHeight="1" x14ac:dyDescent="0.25">
      <c r="A433" s="64">
        <v>2025</v>
      </c>
      <c r="B433" s="65" t="s">
        <v>55</v>
      </c>
      <c r="C433" s="66" t="s">
        <v>314</v>
      </c>
      <c r="D433" s="67">
        <v>45889.901397719907</v>
      </c>
      <c r="E433" s="66" t="s">
        <v>315</v>
      </c>
      <c r="F433" s="66" t="s">
        <v>89</v>
      </c>
      <c r="G433" s="66" t="s">
        <v>316</v>
      </c>
      <c r="H433" s="66" t="s">
        <v>317</v>
      </c>
      <c r="I433" s="66" t="s">
        <v>43</v>
      </c>
      <c r="J433" s="66" t="s">
        <v>318</v>
      </c>
      <c r="K433" s="66" t="s">
        <v>45</v>
      </c>
      <c r="L433" s="68">
        <f>VLOOKUP(E433,[1]Diccionario!C$2:AC$150,22,0)</f>
        <v>4792442910</v>
      </c>
      <c r="M433" s="69">
        <f>VLOOKUP(E433,[1]Diccionario!C$2:AC$150,24,0)</f>
        <v>45901</v>
      </c>
      <c r="N433" s="70">
        <f>VLOOKUP(E433,[1]Diccionario!C$2:AC$150,25,0)</f>
        <v>46264</v>
      </c>
      <c r="O433" s="71">
        <f>VLOOKUP(E433,[1]Diccionario!C$2:AC$150,26,0)</f>
        <v>11.97</v>
      </c>
      <c r="P433" s="71">
        <f t="shared" si="75"/>
        <v>-9.9700000000000006</v>
      </c>
      <c r="Q433" s="71">
        <v>2</v>
      </c>
      <c r="R433" s="66">
        <v>12</v>
      </c>
      <c r="S433" s="72">
        <v>0.25</v>
      </c>
      <c r="T433" s="72">
        <v>0.25</v>
      </c>
      <c r="U433" s="73">
        <f>TablaIndicador[[#This Row],[Costo Mensual]]+U432</f>
        <v>64813333</v>
      </c>
      <c r="V433" s="74">
        <v>32800000</v>
      </c>
      <c r="W433" s="73">
        <f t="shared" si="76"/>
        <v>1198110727.5</v>
      </c>
      <c r="X433" s="73">
        <f t="shared" si="77"/>
        <v>1198110727.5</v>
      </c>
      <c r="Y433" s="73">
        <f t="shared" si="78"/>
        <v>1133297394.5</v>
      </c>
      <c r="Z433" s="73">
        <f t="shared" si="79"/>
        <v>0</v>
      </c>
      <c r="AA433" s="75">
        <f t="shared" si="80"/>
        <v>18.485559560715693</v>
      </c>
      <c r="AB433" s="76" t="str">
        <f t="shared" si="81"/>
        <v>Costo eficiente: se está gastando menos de lo presupuestado</v>
      </c>
      <c r="AC433" s="76">
        <f t="shared" si="82"/>
        <v>1</v>
      </c>
      <c r="AD433" s="76" t="str">
        <f t="shared" si="83"/>
        <v>Proyecto a tiempo según lo planificado</v>
      </c>
      <c r="AE433" s="77">
        <f t="shared" si="84"/>
        <v>259253332.00000003</v>
      </c>
      <c r="AF433" s="77">
        <f t="shared" si="85"/>
        <v>-4533189578</v>
      </c>
      <c r="AG433" s="78" t="str">
        <f>VLOOKUP(Indicador!E401,[1]Diccionario!C$1:AC$150,27,0)</f>
        <v>https://growdatasas.sharepoint.com/:x:/r/sites/Gestiondocumental/Administrativa/GD/Financiera/_layouts/15/Doc.aspx?sourcedoc=%7BCBD85F36-19B3-4585-A509-7CFC7A30BABA%7D&amp;file=MODELO%20FINANCIERO%20CNE%202025_8%20(Fase%205%20aprobado).xlsm&amp;action=default&amp;mobileredirect=true</v>
      </c>
      <c r="AH433" s="78">
        <v>1</v>
      </c>
      <c r="AI433" s="78">
        <v>1</v>
      </c>
      <c r="AJ433" s="78"/>
      <c r="AK433" s="78" t="s">
        <v>319</v>
      </c>
    </row>
    <row r="434" spans="1:37" ht="18.75" customHeight="1" x14ac:dyDescent="0.25">
      <c r="A434" s="64">
        <v>2025</v>
      </c>
      <c r="B434" s="65" t="s">
        <v>56</v>
      </c>
      <c r="C434" s="66" t="s">
        <v>314</v>
      </c>
      <c r="D434" s="67">
        <v>45889.901397719907</v>
      </c>
      <c r="E434" s="66" t="s">
        <v>315</v>
      </c>
      <c r="F434" s="66" t="s">
        <v>89</v>
      </c>
      <c r="G434" s="66" t="s">
        <v>316</v>
      </c>
      <c r="H434" s="66" t="s">
        <v>317</v>
      </c>
      <c r="I434" s="66" t="s">
        <v>43</v>
      </c>
      <c r="J434" s="66" t="s">
        <v>318</v>
      </c>
      <c r="K434" s="66" t="s">
        <v>45</v>
      </c>
      <c r="L434" s="68">
        <f>VLOOKUP(E434,[1]Diccionario!C$2:AC$150,22,0)</f>
        <v>4792442910</v>
      </c>
      <c r="M434" s="69">
        <f>VLOOKUP(E434,[1]Diccionario!C$2:AC$150,24,0)</f>
        <v>45901</v>
      </c>
      <c r="N434" s="70">
        <f>VLOOKUP(E434,[1]Diccionario!C$2:AC$150,25,0)</f>
        <v>46264</v>
      </c>
      <c r="O434" s="71">
        <f>VLOOKUP(E434,[1]Diccionario!C$2:AC$150,26,0)</f>
        <v>11.97</v>
      </c>
      <c r="P434" s="71">
        <f t="shared" si="75"/>
        <v>-8.9700000000000006</v>
      </c>
      <c r="Q434" s="71">
        <v>3</v>
      </c>
      <c r="R434" s="66">
        <v>12</v>
      </c>
      <c r="S434" s="72">
        <v>0.3</v>
      </c>
      <c r="T434" s="72">
        <v>0.3</v>
      </c>
      <c r="U434" s="73">
        <f>TablaIndicador[[#This Row],[Costo Mensual]]+U433</f>
        <v>193613333</v>
      </c>
      <c r="V434" s="74">
        <v>128800000</v>
      </c>
      <c r="W434" s="73">
        <f t="shared" si="76"/>
        <v>1437732873</v>
      </c>
      <c r="X434" s="73">
        <f t="shared" si="77"/>
        <v>1437732873</v>
      </c>
      <c r="Y434" s="73">
        <f t="shared" si="78"/>
        <v>1244119540</v>
      </c>
      <c r="Z434" s="73">
        <f t="shared" si="79"/>
        <v>0</v>
      </c>
      <c r="AA434" s="75">
        <f t="shared" si="80"/>
        <v>7.4257947566038753</v>
      </c>
      <c r="AB434" s="76" t="str">
        <f t="shared" si="81"/>
        <v>Costo eficiente: se está gastando menos de lo presupuestado</v>
      </c>
      <c r="AC434" s="76">
        <f t="shared" si="82"/>
        <v>1</v>
      </c>
      <c r="AD434" s="76" t="str">
        <f t="shared" si="83"/>
        <v>Proyecto a tiempo según lo planificado</v>
      </c>
      <c r="AE434" s="77">
        <f t="shared" si="84"/>
        <v>645377776.66666663</v>
      </c>
      <c r="AF434" s="77">
        <f t="shared" si="85"/>
        <v>-4147065133.3333335</v>
      </c>
      <c r="AG434" s="78" t="str">
        <f>VLOOKUP(Indicador!E402,[1]Diccionario!C$1:AC$150,27,0)</f>
        <v>https://growdatasas.sharepoint.com/:x:/r/sites/Gestiondocumental/Administrativa/GD/Financiera/_layouts/15/Doc.aspx?sourcedoc=%7BCBD85F36-19B3-4585-A509-7CFC7A30BABA%7D&amp;file=MODELO%20FINANCIERO%20CNE%202025_8%20(Fase%205%20aprobado).xlsm&amp;action=default&amp;mobileredirect=true</v>
      </c>
      <c r="AH434" s="78">
        <v>1</v>
      </c>
      <c r="AI434" s="78">
        <v>1</v>
      </c>
      <c r="AJ434" s="78"/>
      <c r="AK434" s="78" t="s">
        <v>319</v>
      </c>
    </row>
    <row r="435" spans="1:37" ht="18.75" customHeight="1" x14ac:dyDescent="0.25">
      <c r="A435" s="64">
        <v>2025</v>
      </c>
      <c r="B435" s="65" t="s">
        <v>57</v>
      </c>
      <c r="C435" s="66" t="s">
        <v>314</v>
      </c>
      <c r="D435" s="67">
        <v>45889.901397719907</v>
      </c>
      <c r="E435" s="66" t="s">
        <v>315</v>
      </c>
      <c r="F435" s="66" t="s">
        <v>89</v>
      </c>
      <c r="G435" s="66" t="s">
        <v>316</v>
      </c>
      <c r="H435" s="66" t="s">
        <v>317</v>
      </c>
      <c r="I435" s="66" t="s">
        <v>43</v>
      </c>
      <c r="J435" s="66" t="s">
        <v>318</v>
      </c>
      <c r="K435" s="66" t="s">
        <v>45</v>
      </c>
      <c r="L435" s="68">
        <f>VLOOKUP(E435,[1]Diccionario!C$2:AC$150,22,0)</f>
        <v>4792442910</v>
      </c>
      <c r="M435" s="69">
        <f>VLOOKUP(E435,[1]Diccionario!C$2:AC$150,24,0)</f>
        <v>45901</v>
      </c>
      <c r="N435" s="70">
        <f>VLOOKUP(E435,[1]Diccionario!C$2:AC$150,25,0)</f>
        <v>46264</v>
      </c>
      <c r="O435" s="71">
        <f>VLOOKUP(E435,[1]Diccionario!C$2:AC$150,26,0)</f>
        <v>11.97</v>
      </c>
      <c r="P435" s="71">
        <f t="shared" si="75"/>
        <v>-7.9700000000000006</v>
      </c>
      <c r="Q435" s="71">
        <v>4</v>
      </c>
      <c r="R435" s="66">
        <v>12</v>
      </c>
      <c r="S435" s="72">
        <v>0.35</v>
      </c>
      <c r="T435" s="72">
        <v>0.35</v>
      </c>
      <c r="U435" s="73">
        <f>TablaIndicador[[#This Row],[Costo Mensual]]+U434</f>
        <v>278197333</v>
      </c>
      <c r="V435" s="74">
        <v>84584000</v>
      </c>
      <c r="W435" s="73">
        <f t="shared" si="76"/>
        <v>1677355018.5</v>
      </c>
      <c r="X435" s="73">
        <f t="shared" si="77"/>
        <v>1677355018.5</v>
      </c>
      <c r="Y435" s="73">
        <f t="shared" si="78"/>
        <v>1399157685.5</v>
      </c>
      <c r="Z435" s="73">
        <f t="shared" si="79"/>
        <v>0</v>
      </c>
      <c r="AA435" s="75">
        <f t="shared" si="80"/>
        <v>6.0293713114064973</v>
      </c>
      <c r="AB435" s="76" t="str">
        <f t="shared" si="81"/>
        <v>Costo eficiente: se está gastando menos de lo presupuestado</v>
      </c>
      <c r="AC435" s="76">
        <f t="shared" si="82"/>
        <v>1</v>
      </c>
      <c r="AD435" s="76" t="str">
        <f t="shared" si="83"/>
        <v>Proyecto a tiempo según lo planificado</v>
      </c>
      <c r="AE435" s="77">
        <f t="shared" si="84"/>
        <v>794849522.85714281</v>
      </c>
      <c r="AF435" s="77">
        <f t="shared" si="85"/>
        <v>-3997593387.1428571</v>
      </c>
      <c r="AG435" s="78" t="str">
        <f>VLOOKUP(Indicador!E403,[1]Diccionario!C$1:AC$150,27,0)</f>
        <v>https://growdatasas.sharepoint.com/:x:/r/sites/Gestiondocumental/Administrativa/GD/Financiera/_layouts/15/Doc.aspx?sourcedoc=%7BCBD85F36-19B3-4585-A509-7CFC7A30BABA%7D&amp;file=MODELO%20FINANCIERO%20CNE%202025_8%20(Fase%205%20aprobado).xlsm&amp;action=default&amp;mobileredirect=true</v>
      </c>
      <c r="AH435" s="78">
        <v>1</v>
      </c>
      <c r="AI435" s="78">
        <v>1</v>
      </c>
      <c r="AJ435" s="78"/>
      <c r="AK435" s="78" t="s">
        <v>319</v>
      </c>
    </row>
    <row r="436" spans="1:37" ht="18.75" customHeight="1" x14ac:dyDescent="0.25">
      <c r="A436" s="64">
        <v>2026</v>
      </c>
      <c r="B436" s="65" t="s">
        <v>37</v>
      </c>
      <c r="C436" s="66" t="s">
        <v>314</v>
      </c>
      <c r="D436" s="67">
        <v>45889.901397719907</v>
      </c>
      <c r="E436" s="66" t="s">
        <v>315</v>
      </c>
      <c r="F436" s="66" t="s">
        <v>89</v>
      </c>
      <c r="G436" s="66" t="s">
        <v>316</v>
      </c>
      <c r="H436" s="66" t="s">
        <v>317</v>
      </c>
      <c r="I436" s="66" t="s">
        <v>43</v>
      </c>
      <c r="J436" s="66" t="s">
        <v>318</v>
      </c>
      <c r="K436" s="66" t="s">
        <v>45</v>
      </c>
      <c r="L436" s="68">
        <f>VLOOKUP(E436,[1]Diccionario!C$2:AC$150,22,0)</f>
        <v>4792442910</v>
      </c>
      <c r="M436" s="69">
        <f>VLOOKUP(E436,[1]Diccionario!C$2:AC$150,24,0)</f>
        <v>45901</v>
      </c>
      <c r="N436" s="70">
        <f>VLOOKUP(E436,[1]Diccionario!C$2:AC$150,25,0)</f>
        <v>46264</v>
      </c>
      <c r="O436" s="71">
        <f>VLOOKUP(E436,[1]Diccionario!C$2:AC$150,26,0)</f>
        <v>11.97</v>
      </c>
      <c r="P436" s="71">
        <f t="shared" si="75"/>
        <v>-6.9700000000000006</v>
      </c>
      <c r="Q436" s="71">
        <v>5</v>
      </c>
      <c r="R436" s="66">
        <v>12</v>
      </c>
      <c r="S436" s="72">
        <v>0.5</v>
      </c>
      <c r="T436" s="72">
        <v>0.5</v>
      </c>
      <c r="U436" s="73">
        <f>TablaIndicador[[#This Row],[Costo Mensual]]+U435</f>
        <v>325997333</v>
      </c>
      <c r="V436" s="74">
        <v>47800000</v>
      </c>
      <c r="W436" s="73">
        <f t="shared" si="76"/>
        <v>2396221455</v>
      </c>
      <c r="X436" s="73">
        <f t="shared" si="77"/>
        <v>2396221455</v>
      </c>
      <c r="Y436" s="73">
        <f t="shared" si="78"/>
        <v>2070224122</v>
      </c>
      <c r="Z436" s="73">
        <f t="shared" si="79"/>
        <v>0</v>
      </c>
      <c r="AA436" s="75">
        <f t="shared" si="80"/>
        <v>7.3504326951042875</v>
      </c>
      <c r="AB436" s="76" t="str">
        <f t="shared" si="81"/>
        <v>Costo eficiente: se está gastando menos de lo presupuestado</v>
      </c>
      <c r="AC436" s="76">
        <f t="shared" si="82"/>
        <v>1</v>
      </c>
      <c r="AD436" s="76" t="str">
        <f t="shared" si="83"/>
        <v>Proyecto a tiempo según lo planificado</v>
      </c>
      <c r="AE436" s="77">
        <f t="shared" si="84"/>
        <v>651994666</v>
      </c>
      <c r="AF436" s="77">
        <f t="shared" si="85"/>
        <v>-4140448244</v>
      </c>
      <c r="AG436" s="78" t="str">
        <f>VLOOKUP(Indicador!E404,[1]Diccionario!C$1:AC$150,27,0)</f>
        <v>https://growdatasas.sharepoint.com/:x:/r/sites/Gestiondocumental/Administrativa/GD/Financiera/_layouts/15/Doc.aspx?sourcedoc=%7BCBD85F36-19B3-4585-A509-7CFC7A30BABA%7D&amp;file=MODELO%20FINANCIERO%20CNE%202025_8%20(Fase%205%20aprobado).xlsm&amp;action=default&amp;mobileredirect=true</v>
      </c>
      <c r="AH436" s="78">
        <v>1</v>
      </c>
      <c r="AI436" s="78">
        <v>1</v>
      </c>
      <c r="AJ436" s="78"/>
      <c r="AK436" s="78" t="s">
        <v>319</v>
      </c>
    </row>
    <row r="437" spans="1:37" ht="18.75" customHeight="1" x14ac:dyDescent="0.25">
      <c r="A437" s="64">
        <v>2026</v>
      </c>
      <c r="B437" s="65" t="s">
        <v>47</v>
      </c>
      <c r="C437" s="66" t="s">
        <v>314</v>
      </c>
      <c r="D437" s="67">
        <v>45889.901397719907</v>
      </c>
      <c r="E437" s="66" t="s">
        <v>315</v>
      </c>
      <c r="F437" s="66" t="s">
        <v>89</v>
      </c>
      <c r="G437" s="66" t="s">
        <v>316</v>
      </c>
      <c r="H437" s="66" t="s">
        <v>317</v>
      </c>
      <c r="I437" s="66" t="s">
        <v>43</v>
      </c>
      <c r="J437" s="66" t="s">
        <v>318</v>
      </c>
      <c r="K437" s="66" t="s">
        <v>45</v>
      </c>
      <c r="L437" s="68">
        <f>VLOOKUP(E437,[1]Diccionario!C$2:AC$150,22,0)</f>
        <v>4792442910</v>
      </c>
      <c r="M437" s="69">
        <f>VLOOKUP(E437,[1]Diccionario!C$2:AC$150,24,0)</f>
        <v>45901</v>
      </c>
      <c r="N437" s="70">
        <f>VLOOKUP(E437,[1]Diccionario!C$2:AC$150,25,0)</f>
        <v>46264</v>
      </c>
      <c r="O437" s="71">
        <f>VLOOKUP(E437,[1]Diccionario!C$2:AC$150,26,0)</f>
        <v>11.97</v>
      </c>
      <c r="P437" s="71">
        <f t="shared" si="75"/>
        <v>-5.9700000000000006</v>
      </c>
      <c r="Q437" s="71">
        <v>6</v>
      </c>
      <c r="R437" s="66">
        <v>12</v>
      </c>
      <c r="S437" s="72">
        <v>0.62</v>
      </c>
      <c r="T437" s="72">
        <v>0.62</v>
      </c>
      <c r="U437" s="73">
        <f>TablaIndicador[[#This Row],[Costo Mensual]]+U436</f>
        <v>376312333</v>
      </c>
      <c r="V437" s="74">
        <v>50315000</v>
      </c>
      <c r="W437" s="73">
        <f t="shared" si="76"/>
        <v>2971314604.1999998</v>
      </c>
      <c r="X437" s="73">
        <f t="shared" si="77"/>
        <v>2971314604.1999998</v>
      </c>
      <c r="Y437" s="73">
        <f t="shared" si="78"/>
        <v>2595002271.1999998</v>
      </c>
      <c r="Z437" s="73">
        <f t="shared" si="79"/>
        <v>0</v>
      </c>
      <c r="AA437" s="75">
        <f t="shared" si="80"/>
        <v>7.8958735700006937</v>
      </c>
      <c r="AB437" s="76" t="str">
        <f t="shared" si="81"/>
        <v>Costo eficiente: se está gastando menos de lo presupuestado</v>
      </c>
      <c r="AC437" s="76">
        <f t="shared" si="82"/>
        <v>1</v>
      </c>
      <c r="AD437" s="76" t="str">
        <f t="shared" si="83"/>
        <v>Proyecto a tiempo según lo planificado</v>
      </c>
      <c r="AE437" s="77">
        <f t="shared" si="84"/>
        <v>606955375.80645168</v>
      </c>
      <c r="AF437" s="77">
        <f t="shared" si="85"/>
        <v>-4185487534.1935482</v>
      </c>
      <c r="AG437" s="78" t="str">
        <f>VLOOKUP(Indicador!E405,[1]Diccionario!C$1:AC$150,27,0)</f>
        <v>https://growdatasas.sharepoint.com/:x:/r/sites/Gestiondocumental/Administrativa/GD/Financiera/_layouts/15/Doc.aspx?sourcedoc=%7BCBD85F36-19B3-4585-A509-7CFC7A30BABA%7D&amp;file=MODELO%20FINANCIERO%20CNE%202025_8%20(Fase%205%20aprobado).xlsm&amp;action=default&amp;mobileredirect=true</v>
      </c>
      <c r="AH437" s="78">
        <v>1</v>
      </c>
      <c r="AI437" s="78">
        <v>1</v>
      </c>
      <c r="AJ437" s="78"/>
      <c r="AK437" s="78" t="s">
        <v>319</v>
      </c>
    </row>
    <row r="438" spans="1:37" ht="18.75" customHeight="1" x14ac:dyDescent="0.25">
      <c r="A438" s="64">
        <v>2026</v>
      </c>
      <c r="B438" s="65" t="s">
        <v>48</v>
      </c>
      <c r="C438" s="66" t="s">
        <v>314</v>
      </c>
      <c r="D438" s="67">
        <v>45889.901397719907</v>
      </c>
      <c r="E438" s="66" t="s">
        <v>315</v>
      </c>
      <c r="F438" s="66" t="s">
        <v>89</v>
      </c>
      <c r="G438" s="66" t="s">
        <v>316</v>
      </c>
      <c r="H438" s="66" t="s">
        <v>317</v>
      </c>
      <c r="I438" s="66" t="s">
        <v>43</v>
      </c>
      <c r="J438" s="66" t="s">
        <v>318</v>
      </c>
      <c r="K438" s="66" t="s">
        <v>45</v>
      </c>
      <c r="L438" s="68">
        <f>VLOOKUP(E438,[1]Diccionario!C$2:AC$150,22,0)</f>
        <v>4792442910</v>
      </c>
      <c r="M438" s="69">
        <f>VLOOKUP(E438,[1]Diccionario!C$2:AC$150,24,0)</f>
        <v>45901</v>
      </c>
      <c r="N438" s="70">
        <f>VLOOKUP(E438,[1]Diccionario!C$2:AC$150,25,0)</f>
        <v>46264</v>
      </c>
      <c r="O438" s="71">
        <f>VLOOKUP(E438,[1]Diccionario!C$2:AC$150,26,0)</f>
        <v>11.97</v>
      </c>
      <c r="P438" s="71">
        <f t="shared" si="75"/>
        <v>-4.9700000000000006</v>
      </c>
      <c r="Q438" s="71">
        <v>7</v>
      </c>
      <c r="R438" s="66">
        <v>12</v>
      </c>
      <c r="S438" s="72">
        <v>0.7</v>
      </c>
      <c r="T438" s="72">
        <v>0.7</v>
      </c>
      <c r="U438" s="79"/>
      <c r="V438" s="73"/>
      <c r="W438" s="73">
        <f t="shared" si="76"/>
        <v>3354710037</v>
      </c>
      <c r="X438" s="73">
        <f t="shared" si="77"/>
        <v>3354710037</v>
      </c>
      <c r="Y438" s="73">
        <f t="shared" si="78"/>
        <v>3354710037</v>
      </c>
      <c r="Z438" s="73">
        <f t="shared" si="79"/>
        <v>0</v>
      </c>
      <c r="AA438" s="75" t="str">
        <f t="shared" si="80"/>
        <v>No se realizó gasto en este corte</v>
      </c>
      <c r="AB438" s="76" t="str">
        <f t="shared" si="81"/>
        <v>Costo eficiente: se está gastando menos de lo presupuestado</v>
      </c>
      <c r="AC438" s="76">
        <f t="shared" si="82"/>
        <v>1</v>
      </c>
      <c r="AD438" s="76" t="str">
        <f t="shared" si="83"/>
        <v>Proyecto a tiempo según lo planificado</v>
      </c>
      <c r="AE438" s="77">
        <f t="shared" si="84"/>
        <v>0</v>
      </c>
      <c r="AF438" s="77">
        <f t="shared" si="85"/>
        <v>-4792442910</v>
      </c>
      <c r="AG438" s="78" t="str">
        <f>VLOOKUP(Indicador!E406,[1]Diccionario!C$1:AC$150,27,0)</f>
        <v>https://growdatasas.sharepoint.com/:x:/r/sites/Gestiondocumental/Administrativa/GD/Financiera/_layouts/15/Doc.aspx?sourcedoc=%7BCBD85F36-19B3-4585-A509-7CFC7A30BABA%7D&amp;file=MODELO%20FINANCIERO%20CNE%202025_8%20(Fase%205%20aprobado).xlsm&amp;action=default&amp;mobileredirect=true</v>
      </c>
      <c r="AH438" s="78">
        <v>1</v>
      </c>
      <c r="AI438" s="78">
        <v>1</v>
      </c>
      <c r="AJ438" s="78"/>
      <c r="AK438" s="78" t="s">
        <v>319</v>
      </c>
    </row>
    <row r="439" spans="1:37" ht="18.75" customHeight="1" x14ac:dyDescent="0.25">
      <c r="A439" s="64">
        <v>2026</v>
      </c>
      <c r="B439" s="65" t="s">
        <v>49</v>
      </c>
      <c r="C439" s="66" t="s">
        <v>314</v>
      </c>
      <c r="D439" s="67">
        <v>45889.901397719907</v>
      </c>
      <c r="E439" s="66" t="s">
        <v>315</v>
      </c>
      <c r="F439" s="66" t="s">
        <v>89</v>
      </c>
      <c r="G439" s="66" t="s">
        <v>316</v>
      </c>
      <c r="H439" s="66" t="s">
        <v>317</v>
      </c>
      <c r="I439" s="66" t="s">
        <v>43</v>
      </c>
      <c r="J439" s="66" t="s">
        <v>318</v>
      </c>
      <c r="K439" s="66" t="s">
        <v>45</v>
      </c>
      <c r="L439" s="68">
        <f>VLOOKUP(E439,[1]Diccionario!C$2:AC$150,22,0)</f>
        <v>4792442910</v>
      </c>
      <c r="M439" s="69">
        <f>VLOOKUP(E439,[1]Diccionario!C$2:AC$150,24,0)</f>
        <v>45901</v>
      </c>
      <c r="N439" s="70">
        <f>VLOOKUP(E439,[1]Diccionario!C$2:AC$150,25,0)</f>
        <v>46264</v>
      </c>
      <c r="O439" s="71">
        <f>VLOOKUP(E439,[1]Diccionario!C$2:AC$150,26,0)</f>
        <v>11.97</v>
      </c>
      <c r="P439" s="71">
        <f t="shared" si="75"/>
        <v>-3.9700000000000006</v>
      </c>
      <c r="Q439" s="71">
        <v>8</v>
      </c>
      <c r="R439" s="66">
        <v>12</v>
      </c>
      <c r="S439" s="72">
        <v>0.78</v>
      </c>
      <c r="T439" s="72">
        <v>0.78</v>
      </c>
      <c r="U439" s="79"/>
      <c r="V439" s="73"/>
      <c r="W439" s="73">
        <f t="shared" si="76"/>
        <v>3738105469.8000002</v>
      </c>
      <c r="X439" s="73">
        <f t="shared" si="77"/>
        <v>3738105469.8000002</v>
      </c>
      <c r="Y439" s="73">
        <f t="shared" si="78"/>
        <v>3738105469.8000002</v>
      </c>
      <c r="Z439" s="73">
        <f t="shared" si="79"/>
        <v>0</v>
      </c>
      <c r="AA439" s="75" t="str">
        <f t="shared" si="80"/>
        <v>No se realizó gasto en este corte</v>
      </c>
      <c r="AB439" s="76" t="str">
        <f t="shared" si="81"/>
        <v>Costo eficiente: se está gastando menos de lo presupuestado</v>
      </c>
      <c r="AC439" s="76">
        <f t="shared" si="82"/>
        <v>1</v>
      </c>
      <c r="AD439" s="76" t="str">
        <f t="shared" si="83"/>
        <v>Proyecto a tiempo según lo planificado</v>
      </c>
      <c r="AE439" s="77">
        <f t="shared" si="84"/>
        <v>0</v>
      </c>
      <c r="AF439" s="77">
        <f t="shared" si="85"/>
        <v>-4792442910</v>
      </c>
      <c r="AG439" s="78" t="str">
        <f>VLOOKUP(Indicador!E407,[1]Diccionario!C$1:AC$150,27,0)</f>
        <v>https://growdatasas.sharepoint.com/:x:/r/sites/Gestiondocumental/Administrativa/GD/Financiera/_layouts/15/Doc.aspx?sourcedoc=%7BCBD85F36-19B3-4585-A509-7CFC7A30BABA%7D&amp;file=MODELO%20FINANCIERO%20CNE%202025_8%20(Fase%205%20aprobado).xlsm&amp;action=default&amp;mobileredirect=true</v>
      </c>
      <c r="AH439" s="78">
        <v>1</v>
      </c>
      <c r="AI439" s="78">
        <v>1</v>
      </c>
      <c r="AJ439" s="78"/>
      <c r="AK439" s="78" t="s">
        <v>319</v>
      </c>
    </row>
    <row r="440" spans="1:37" ht="18.75" customHeight="1" x14ac:dyDescent="0.25">
      <c r="A440" s="64">
        <v>2026</v>
      </c>
      <c r="B440" s="65" t="s">
        <v>50</v>
      </c>
      <c r="C440" s="66" t="s">
        <v>314</v>
      </c>
      <c r="D440" s="67">
        <v>45889.901397719907</v>
      </c>
      <c r="E440" s="66" t="s">
        <v>315</v>
      </c>
      <c r="F440" s="66" t="s">
        <v>89</v>
      </c>
      <c r="G440" s="66" t="s">
        <v>316</v>
      </c>
      <c r="H440" s="66" t="s">
        <v>317</v>
      </c>
      <c r="I440" s="66" t="s">
        <v>43</v>
      </c>
      <c r="J440" s="66" t="s">
        <v>318</v>
      </c>
      <c r="K440" s="66" t="s">
        <v>45</v>
      </c>
      <c r="L440" s="68">
        <f>VLOOKUP(E440,[1]Diccionario!C$2:AC$150,22,0)</f>
        <v>4792442910</v>
      </c>
      <c r="M440" s="69">
        <f>VLOOKUP(E440,[1]Diccionario!C$2:AC$150,24,0)</f>
        <v>45901</v>
      </c>
      <c r="N440" s="70">
        <f>VLOOKUP(E440,[1]Diccionario!C$2:AC$150,25,0)</f>
        <v>46264</v>
      </c>
      <c r="O440" s="71">
        <f>VLOOKUP(E440,[1]Diccionario!C$2:AC$150,26,0)</f>
        <v>11.97</v>
      </c>
      <c r="P440" s="71">
        <f t="shared" si="75"/>
        <v>-2.9700000000000006</v>
      </c>
      <c r="Q440" s="71">
        <v>9</v>
      </c>
      <c r="R440" s="66">
        <v>12</v>
      </c>
      <c r="S440" s="72">
        <v>0.8</v>
      </c>
      <c r="T440" s="72">
        <v>0.8</v>
      </c>
      <c r="U440" s="79"/>
      <c r="V440" s="73"/>
      <c r="W440" s="73">
        <f t="shared" si="76"/>
        <v>3833954328</v>
      </c>
      <c r="X440" s="73">
        <f t="shared" si="77"/>
        <v>3833954328</v>
      </c>
      <c r="Y440" s="73">
        <f t="shared" si="78"/>
        <v>3833954328</v>
      </c>
      <c r="Z440" s="73">
        <f t="shared" si="79"/>
        <v>0</v>
      </c>
      <c r="AA440" s="75" t="str">
        <f t="shared" si="80"/>
        <v>No se realizó gasto en este corte</v>
      </c>
      <c r="AB440" s="76" t="str">
        <f t="shared" si="81"/>
        <v>Costo eficiente: se está gastando menos de lo presupuestado</v>
      </c>
      <c r="AC440" s="76">
        <f t="shared" si="82"/>
        <v>1</v>
      </c>
      <c r="AD440" s="76" t="str">
        <f t="shared" si="83"/>
        <v>Proyecto a tiempo según lo planificado</v>
      </c>
      <c r="AE440" s="77">
        <f t="shared" si="84"/>
        <v>0</v>
      </c>
      <c r="AF440" s="77">
        <f t="shared" si="85"/>
        <v>-4792442910</v>
      </c>
      <c r="AG440" s="78" t="str">
        <f>VLOOKUP(Indicador!E408,[1]Diccionario!C$1:AC$150,27,0)</f>
        <v>https://growdatasas.sharepoint.com/:x:/r/sites/Gestiondocumental/Administrativa/GD/Financiera/_layouts/15/Doc.aspx?sourcedoc=%7BCBD85F36-19B3-4585-A509-7CFC7A30BABA%7D&amp;file=MODELO%20FINANCIERO%20CNE%202025_8%20(Fase%205%20aprobado).xlsm&amp;action=default&amp;mobileredirect=true</v>
      </c>
      <c r="AH440" s="78">
        <v>1</v>
      </c>
      <c r="AI440" s="78">
        <v>1</v>
      </c>
      <c r="AJ440" s="78"/>
      <c r="AK440" s="78" t="s">
        <v>319</v>
      </c>
    </row>
    <row r="441" spans="1:37" ht="18.75" customHeight="1" x14ac:dyDescent="0.25">
      <c r="A441" s="64">
        <v>2026</v>
      </c>
      <c r="B441" s="65" t="s">
        <v>51</v>
      </c>
      <c r="C441" s="66" t="s">
        <v>314</v>
      </c>
      <c r="D441" s="67">
        <v>45889.901397719907</v>
      </c>
      <c r="E441" s="66" t="s">
        <v>315</v>
      </c>
      <c r="F441" s="66" t="s">
        <v>89</v>
      </c>
      <c r="G441" s="66" t="s">
        <v>316</v>
      </c>
      <c r="H441" s="66" t="s">
        <v>317</v>
      </c>
      <c r="I441" s="66" t="s">
        <v>43</v>
      </c>
      <c r="J441" s="66" t="s">
        <v>318</v>
      </c>
      <c r="K441" s="66" t="s">
        <v>45</v>
      </c>
      <c r="L441" s="68">
        <f>VLOOKUP(E441,[1]Diccionario!C$2:AC$150,22,0)</f>
        <v>4792442910</v>
      </c>
      <c r="M441" s="69">
        <f>VLOOKUP(E441,[1]Diccionario!C$2:AC$150,24,0)</f>
        <v>45901</v>
      </c>
      <c r="N441" s="70">
        <f>VLOOKUP(E441,[1]Diccionario!C$2:AC$150,25,0)</f>
        <v>46264</v>
      </c>
      <c r="O441" s="71">
        <f>VLOOKUP(E441,[1]Diccionario!C$2:AC$150,26,0)</f>
        <v>11.97</v>
      </c>
      <c r="P441" s="71">
        <f t="shared" si="75"/>
        <v>-1.9700000000000006</v>
      </c>
      <c r="Q441" s="71">
        <v>10</v>
      </c>
      <c r="R441" s="66">
        <v>12</v>
      </c>
      <c r="S441" s="72">
        <v>0.85</v>
      </c>
      <c r="T441" s="72">
        <v>0.85</v>
      </c>
      <c r="U441" s="79"/>
      <c r="V441" s="73"/>
      <c r="W441" s="73">
        <f t="shared" si="76"/>
        <v>4073576473.5</v>
      </c>
      <c r="X441" s="73">
        <f t="shared" si="77"/>
        <v>4073576473.5</v>
      </c>
      <c r="Y441" s="73">
        <f t="shared" si="78"/>
        <v>4073576473.5</v>
      </c>
      <c r="Z441" s="73">
        <f t="shared" si="79"/>
        <v>0</v>
      </c>
      <c r="AA441" s="75" t="str">
        <f t="shared" si="80"/>
        <v>No se realizó gasto en este corte</v>
      </c>
      <c r="AB441" s="76" t="str">
        <f t="shared" si="81"/>
        <v>Costo eficiente: se está gastando menos de lo presupuestado</v>
      </c>
      <c r="AC441" s="76">
        <f t="shared" si="82"/>
        <v>1</v>
      </c>
      <c r="AD441" s="76" t="str">
        <f t="shared" si="83"/>
        <v>Proyecto a tiempo según lo planificado</v>
      </c>
      <c r="AE441" s="77">
        <f t="shared" si="84"/>
        <v>0</v>
      </c>
      <c r="AF441" s="77">
        <f t="shared" si="85"/>
        <v>-4792442910</v>
      </c>
      <c r="AG441" s="78" t="str">
        <f>VLOOKUP(Indicador!E409,[1]Diccionario!C$1:AC$150,27,0)</f>
        <v>https://growdatasas.sharepoint.com/:x:/r/sites/Gestiondocumental/Administrativa/GD/Financiera/_layouts/15/Doc.aspx?sourcedoc=%7BCBD85F36-19B3-4585-A509-7CFC7A30BABA%7D&amp;file=MODELO%20FINANCIERO%20CNE%202025_8%20(Fase%205%20aprobado).xlsm&amp;action=default&amp;mobileredirect=true</v>
      </c>
      <c r="AH441" s="78">
        <v>1</v>
      </c>
      <c r="AI441" s="78">
        <v>1</v>
      </c>
      <c r="AJ441" s="78"/>
      <c r="AK441" s="78" t="s">
        <v>319</v>
      </c>
    </row>
    <row r="442" spans="1:37" ht="18.75" customHeight="1" x14ac:dyDescent="0.25">
      <c r="A442" s="64">
        <v>2026</v>
      </c>
      <c r="B442" s="65" t="s">
        <v>52</v>
      </c>
      <c r="C442" s="66" t="s">
        <v>314</v>
      </c>
      <c r="D442" s="67">
        <v>45889.901397719907</v>
      </c>
      <c r="E442" s="66" t="s">
        <v>315</v>
      </c>
      <c r="F442" s="66" t="s">
        <v>89</v>
      </c>
      <c r="G442" s="66" t="s">
        <v>316</v>
      </c>
      <c r="H442" s="66" t="s">
        <v>317</v>
      </c>
      <c r="I442" s="66" t="s">
        <v>43</v>
      </c>
      <c r="J442" s="66" t="s">
        <v>318</v>
      </c>
      <c r="K442" s="66" t="s">
        <v>45</v>
      </c>
      <c r="L442" s="68">
        <f>VLOOKUP(E442,[1]Diccionario!C$2:AC$150,22,0)</f>
        <v>4792442910</v>
      </c>
      <c r="M442" s="69">
        <f>VLOOKUP(E442,[1]Diccionario!C$2:AC$150,24,0)</f>
        <v>45901</v>
      </c>
      <c r="N442" s="70">
        <f>VLOOKUP(E442,[1]Diccionario!C$2:AC$150,25,0)</f>
        <v>46264</v>
      </c>
      <c r="O442" s="71">
        <f>VLOOKUP(E442,[1]Diccionario!C$2:AC$150,26,0)</f>
        <v>11.97</v>
      </c>
      <c r="P442" s="71">
        <f t="shared" si="75"/>
        <v>-0.97000000000000064</v>
      </c>
      <c r="Q442" s="71">
        <v>11</v>
      </c>
      <c r="R442" s="66">
        <v>12</v>
      </c>
      <c r="S442" s="72">
        <v>0.95</v>
      </c>
      <c r="T442" s="72">
        <v>0.95</v>
      </c>
      <c r="U442" s="79"/>
      <c r="V442" s="73"/>
      <c r="W442" s="73">
        <f t="shared" si="76"/>
        <v>4552820764.5</v>
      </c>
      <c r="X442" s="73">
        <f t="shared" si="77"/>
        <v>4552820764.5</v>
      </c>
      <c r="Y442" s="73">
        <f t="shared" si="78"/>
        <v>4552820764.5</v>
      </c>
      <c r="Z442" s="73">
        <f t="shared" si="79"/>
        <v>0</v>
      </c>
      <c r="AA442" s="75" t="str">
        <f t="shared" si="80"/>
        <v>No se realizó gasto en este corte</v>
      </c>
      <c r="AB442" s="76" t="str">
        <f t="shared" si="81"/>
        <v>Costo eficiente: se está gastando menos de lo presupuestado</v>
      </c>
      <c r="AC442" s="76">
        <f t="shared" si="82"/>
        <v>1</v>
      </c>
      <c r="AD442" s="76" t="str">
        <f t="shared" si="83"/>
        <v>Proyecto a tiempo según lo planificado</v>
      </c>
      <c r="AE442" s="77">
        <f t="shared" si="84"/>
        <v>0</v>
      </c>
      <c r="AF442" s="77">
        <f t="shared" si="85"/>
        <v>-4792442910</v>
      </c>
      <c r="AG442" s="78" t="str">
        <f>VLOOKUP(Indicador!E410,[1]Diccionario!C$1:AC$150,27,0)</f>
        <v>https://growdatasas.sharepoint.com/:x:/r/sites/Gestiondocumental/Administrativa/GD/Financiera/_layouts/15/Doc.aspx?sourcedoc=%7B9C76270D-595C-496E-97BB-8004054AF14A%7D&amp;file=20251301%20MODELO%20FINANCIERO%20REFERENCIA%20V7.4_ADRES_2A%C3%91OS_VF.xlsm&amp;action=default&amp;mobileredirect=true</v>
      </c>
      <c r="AH442" s="78">
        <v>1</v>
      </c>
      <c r="AI442" s="78">
        <v>1</v>
      </c>
      <c r="AJ442" s="78"/>
      <c r="AK442" s="78" t="s">
        <v>319</v>
      </c>
    </row>
    <row r="443" spans="1:37" ht="18.75" customHeight="1" x14ac:dyDescent="0.25">
      <c r="A443" s="64">
        <v>2026</v>
      </c>
      <c r="B443" s="65" t="s">
        <v>53</v>
      </c>
      <c r="C443" s="66" t="s">
        <v>314</v>
      </c>
      <c r="D443" s="67">
        <v>45889.901397719907</v>
      </c>
      <c r="E443" s="66" t="s">
        <v>315</v>
      </c>
      <c r="F443" s="66" t="s">
        <v>89</v>
      </c>
      <c r="G443" s="66" t="s">
        <v>316</v>
      </c>
      <c r="H443" s="66" t="s">
        <v>317</v>
      </c>
      <c r="I443" s="66" t="s">
        <v>43</v>
      </c>
      <c r="J443" s="66" t="s">
        <v>318</v>
      </c>
      <c r="K443" s="66" t="s">
        <v>45</v>
      </c>
      <c r="L443" s="68">
        <f>VLOOKUP(E443,[1]Diccionario!C$2:AC$150,22,0)</f>
        <v>4792442910</v>
      </c>
      <c r="M443" s="69">
        <f>VLOOKUP(E443,[1]Diccionario!C$2:AC$150,24,0)</f>
        <v>45901</v>
      </c>
      <c r="N443" s="70">
        <f>VLOOKUP(E443,[1]Diccionario!C$2:AC$150,25,0)</f>
        <v>46264</v>
      </c>
      <c r="O443" s="71">
        <f>VLOOKUP(E443,[1]Diccionario!C$2:AC$150,26,0)</f>
        <v>11.97</v>
      </c>
      <c r="P443" s="71">
        <f t="shared" si="75"/>
        <v>2.9999999999999361E-2</v>
      </c>
      <c r="Q443" s="71">
        <v>12</v>
      </c>
      <c r="R443" s="66">
        <v>12</v>
      </c>
      <c r="S443" s="72">
        <v>1</v>
      </c>
      <c r="T443" s="72">
        <v>1</v>
      </c>
      <c r="U443" s="79"/>
      <c r="V443" s="73"/>
      <c r="W443" s="73">
        <f t="shared" si="76"/>
        <v>4792442910</v>
      </c>
      <c r="X443" s="73">
        <f t="shared" si="77"/>
        <v>4792442910</v>
      </c>
      <c r="Y443" s="73">
        <f t="shared" si="78"/>
        <v>4792442910</v>
      </c>
      <c r="Z443" s="73">
        <f t="shared" si="79"/>
        <v>0</v>
      </c>
      <c r="AA443" s="75" t="str">
        <f t="shared" si="80"/>
        <v>No se realizó gasto en este corte</v>
      </c>
      <c r="AB443" s="76" t="str">
        <f t="shared" si="81"/>
        <v>Costo eficiente: se está gastando menos de lo presupuestado</v>
      </c>
      <c r="AC443" s="76">
        <f t="shared" si="82"/>
        <v>1</v>
      </c>
      <c r="AD443" s="76" t="str">
        <f t="shared" si="83"/>
        <v>Proyecto a tiempo según lo planificado</v>
      </c>
      <c r="AE443" s="77">
        <f t="shared" si="84"/>
        <v>0</v>
      </c>
      <c r="AF443" s="77">
        <f t="shared" si="85"/>
        <v>-4792442910</v>
      </c>
      <c r="AG443" s="78" t="str">
        <f>VLOOKUP(Indicador!E411,[1]Diccionario!C$1:AC$150,27,0)</f>
        <v>https://growdatasas.sharepoint.com/:x:/r/sites/Gestiondocumental/Administrativa/GD/Financiera/_layouts/15/Doc.aspx?sourcedoc=%7B9C76270D-595C-496E-97BB-8004054AF14A%7D&amp;file=20251301%20MODELO%20FINANCIERO%20REFERENCIA%20V7.4_ADRES_2A%C3%91OS_VF.xlsm&amp;action=default&amp;mobileredirect=true</v>
      </c>
      <c r="AH443" s="78">
        <v>1</v>
      </c>
      <c r="AI443" s="78">
        <v>1</v>
      </c>
      <c r="AJ443" s="78"/>
      <c r="AK443" s="78" t="s">
        <v>319</v>
      </c>
    </row>
    <row r="444" spans="1:37" ht="18.75" customHeight="1" x14ac:dyDescent="0.25">
      <c r="A444" s="64">
        <v>2025</v>
      </c>
      <c r="B444" s="65" t="s">
        <v>53</v>
      </c>
      <c r="C444" s="66" t="s">
        <v>320</v>
      </c>
      <c r="D444" s="67">
        <v>45901.854656446762</v>
      </c>
      <c r="E444" s="66" t="s">
        <v>321</v>
      </c>
      <c r="F444" s="66" t="s">
        <v>89</v>
      </c>
      <c r="G444" s="66" t="s">
        <v>322</v>
      </c>
      <c r="H444" s="66" t="s">
        <v>323</v>
      </c>
      <c r="I444" s="66" t="s">
        <v>43</v>
      </c>
      <c r="J444" s="66" t="s">
        <v>324</v>
      </c>
      <c r="K444" s="66" t="s">
        <v>45</v>
      </c>
      <c r="L444" s="68">
        <f>VLOOKUP(E444,[1]Diccionario!C$2:AC$150,22,0)</f>
        <v>5018888965</v>
      </c>
      <c r="M444" s="69">
        <f>VLOOKUP(E444,[1]Diccionario!C$2:AC$150,24,0)</f>
        <v>45870</v>
      </c>
      <c r="N444" s="70">
        <f>VLOOKUP(E444,[1]Diccionario!C$2:AC$150,25,0)</f>
        <v>46022</v>
      </c>
      <c r="O444" s="71">
        <f>VLOOKUP(E444,[1]Diccionario!C$2:AC$150,26,0)</f>
        <v>5</v>
      </c>
      <c r="P444" s="71">
        <f t="shared" si="75"/>
        <v>-4</v>
      </c>
      <c r="Q444" s="71">
        <v>1</v>
      </c>
      <c r="R444" s="66">
        <v>5</v>
      </c>
      <c r="S444" s="72">
        <v>0.1</v>
      </c>
      <c r="T444" s="72">
        <v>0.1</v>
      </c>
      <c r="U444" s="73">
        <f>TablaIndicador[[#This Row],[Costo Mensual]]</f>
        <v>0</v>
      </c>
      <c r="V444" s="73">
        <v>0</v>
      </c>
      <c r="W444" s="73">
        <f t="shared" si="76"/>
        <v>501888896.5</v>
      </c>
      <c r="X444" s="73">
        <f t="shared" si="77"/>
        <v>501888896.5</v>
      </c>
      <c r="Y444" s="73">
        <f t="shared" si="78"/>
        <v>501888896.5</v>
      </c>
      <c r="Z444" s="73">
        <f t="shared" si="79"/>
        <v>0</v>
      </c>
      <c r="AA444" s="75" t="str">
        <f t="shared" si="80"/>
        <v>No se realizó gasto en este corte</v>
      </c>
      <c r="AB444" s="76" t="str">
        <f t="shared" si="81"/>
        <v>Costo eficiente: se está gastando menos de lo presupuestado</v>
      </c>
      <c r="AC444" s="76">
        <f t="shared" si="82"/>
        <v>1</v>
      </c>
      <c r="AD444" s="76" t="str">
        <f t="shared" si="83"/>
        <v>Proyecto a tiempo según lo planificado</v>
      </c>
      <c r="AE444" s="77">
        <f t="shared" si="84"/>
        <v>0</v>
      </c>
      <c r="AF444" s="77">
        <f t="shared" si="85"/>
        <v>-5018888965</v>
      </c>
      <c r="AG444" s="78" t="str">
        <f>VLOOKUP(Indicador!E344,[1]Diccionario!C$1:AC$150,27,0)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44" s="78">
        <v>1</v>
      </c>
      <c r="AI444" s="78">
        <v>1</v>
      </c>
      <c r="AJ444" s="78"/>
      <c r="AK444" s="78" t="s">
        <v>319</v>
      </c>
    </row>
    <row r="445" spans="1:37" ht="18.75" customHeight="1" x14ac:dyDescent="0.25">
      <c r="A445" s="64">
        <v>2025</v>
      </c>
      <c r="B445" s="65" t="s">
        <v>54</v>
      </c>
      <c r="C445" s="66" t="s">
        <v>320</v>
      </c>
      <c r="D445" s="67">
        <v>45901.854656446762</v>
      </c>
      <c r="E445" s="66" t="s">
        <v>321</v>
      </c>
      <c r="F445" s="66" t="s">
        <v>89</v>
      </c>
      <c r="G445" s="66" t="s">
        <v>322</v>
      </c>
      <c r="H445" s="66" t="s">
        <v>323</v>
      </c>
      <c r="I445" s="66" t="s">
        <v>43</v>
      </c>
      <c r="J445" s="66" t="s">
        <v>324</v>
      </c>
      <c r="K445" s="66" t="s">
        <v>45</v>
      </c>
      <c r="L445" s="68">
        <f>VLOOKUP(E445,[1]Diccionario!C$2:AC$150,22,0)</f>
        <v>5018888965</v>
      </c>
      <c r="M445" s="69">
        <f>VLOOKUP(E445,[1]Diccionario!C$2:AC$150,24,0)</f>
        <v>45870</v>
      </c>
      <c r="N445" s="70">
        <f>VLOOKUP(E445,[1]Diccionario!C$2:AC$150,25,0)</f>
        <v>46022</v>
      </c>
      <c r="O445" s="71">
        <f>VLOOKUP(E445,[1]Diccionario!C$2:AC$150,26,0)</f>
        <v>5</v>
      </c>
      <c r="P445" s="71">
        <f t="shared" si="75"/>
        <v>-3</v>
      </c>
      <c r="Q445" s="71">
        <v>2</v>
      </c>
      <c r="R445" s="66">
        <v>5</v>
      </c>
      <c r="S445" s="72">
        <v>0.45</v>
      </c>
      <c r="T445" s="72">
        <v>0.45</v>
      </c>
      <c r="U445" s="73">
        <f>U444+TablaIndicador[[#This Row],[Costo Mensual]]</f>
        <v>15600000</v>
      </c>
      <c r="V445" s="74">
        <v>15600000</v>
      </c>
      <c r="W445" s="73">
        <f t="shared" si="76"/>
        <v>2258500034.25</v>
      </c>
      <c r="X445" s="73">
        <f t="shared" si="77"/>
        <v>2258500034.25</v>
      </c>
      <c r="Y445" s="73">
        <f t="shared" si="78"/>
        <v>2242900034.25</v>
      </c>
      <c r="Z445" s="73">
        <f t="shared" si="79"/>
        <v>0</v>
      </c>
      <c r="AA445" s="75">
        <f t="shared" si="80"/>
        <v>144.77564322115384</v>
      </c>
      <c r="AB445" s="76" t="str">
        <f t="shared" si="81"/>
        <v>Costo eficiente: se está gastando menos de lo presupuestado</v>
      </c>
      <c r="AC445" s="76">
        <f t="shared" si="82"/>
        <v>1</v>
      </c>
      <c r="AD445" s="76" t="str">
        <f t="shared" si="83"/>
        <v>Proyecto a tiempo según lo planificado</v>
      </c>
      <c r="AE445" s="77">
        <f t="shared" si="84"/>
        <v>34666666.666666664</v>
      </c>
      <c r="AF445" s="77">
        <f t="shared" si="85"/>
        <v>-4984222298.333333</v>
      </c>
      <c r="AG445" s="78" t="str">
        <f>VLOOKUP(Indicador!E345,[1]Diccionario!C$1:AC$150,27,0)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45" s="78">
        <v>1</v>
      </c>
      <c r="AI445" s="78">
        <v>1</v>
      </c>
      <c r="AJ445" s="78"/>
      <c r="AK445" s="78" t="s">
        <v>319</v>
      </c>
    </row>
    <row r="446" spans="1:37" ht="18.75" customHeight="1" x14ac:dyDescent="0.25">
      <c r="A446" s="64">
        <v>2025</v>
      </c>
      <c r="B446" s="65" t="s">
        <v>55</v>
      </c>
      <c r="C446" s="66" t="s">
        <v>320</v>
      </c>
      <c r="D446" s="67">
        <v>45901.854656446762</v>
      </c>
      <c r="E446" s="66" t="s">
        <v>321</v>
      </c>
      <c r="F446" s="66" t="s">
        <v>89</v>
      </c>
      <c r="G446" s="66" t="s">
        <v>322</v>
      </c>
      <c r="H446" s="66" t="s">
        <v>323</v>
      </c>
      <c r="I446" s="66" t="s">
        <v>43</v>
      </c>
      <c r="J446" s="66" t="s">
        <v>324</v>
      </c>
      <c r="K446" s="66" t="s">
        <v>45</v>
      </c>
      <c r="L446" s="68">
        <f>VLOOKUP(E446,[1]Diccionario!C$2:AC$150,22,0)</f>
        <v>5018888965</v>
      </c>
      <c r="M446" s="69">
        <f>VLOOKUP(E446,[1]Diccionario!C$2:AC$150,24,0)</f>
        <v>45870</v>
      </c>
      <c r="N446" s="70">
        <f>VLOOKUP(E446,[1]Diccionario!C$2:AC$150,25,0)</f>
        <v>46022</v>
      </c>
      <c r="O446" s="71">
        <f>VLOOKUP(E446,[1]Diccionario!C$2:AC$150,26,0)</f>
        <v>5</v>
      </c>
      <c r="P446" s="71">
        <f t="shared" si="75"/>
        <v>-2</v>
      </c>
      <c r="Q446" s="71">
        <v>3</v>
      </c>
      <c r="R446" s="66">
        <v>5</v>
      </c>
      <c r="S446" s="72">
        <v>0.65</v>
      </c>
      <c r="T446" s="72">
        <v>0.65</v>
      </c>
      <c r="U446" s="73">
        <f>U445+TablaIndicador[[#This Row],[Costo Mensual]]</f>
        <v>1136323110</v>
      </c>
      <c r="V446" s="74">
        <v>1120723110</v>
      </c>
      <c r="W446" s="73">
        <f t="shared" si="76"/>
        <v>3262277827.25</v>
      </c>
      <c r="X446" s="73">
        <f t="shared" si="77"/>
        <v>3262277827.25</v>
      </c>
      <c r="Y446" s="73">
        <f t="shared" si="78"/>
        <v>2125954717.25</v>
      </c>
      <c r="Z446" s="73">
        <f t="shared" si="79"/>
        <v>0</v>
      </c>
      <c r="AA446" s="75">
        <f t="shared" si="80"/>
        <v>2.8709068737060184</v>
      </c>
      <c r="AB446" s="76" t="str">
        <f t="shared" si="81"/>
        <v>Costo eficiente: se está gastando menos de lo presupuestado</v>
      </c>
      <c r="AC446" s="76">
        <f t="shared" si="82"/>
        <v>1</v>
      </c>
      <c r="AD446" s="76" t="str">
        <f t="shared" si="83"/>
        <v>Proyecto a tiempo según lo planificado</v>
      </c>
      <c r="AE446" s="77">
        <f t="shared" si="84"/>
        <v>1748189400</v>
      </c>
      <c r="AF446" s="77">
        <f t="shared" si="85"/>
        <v>-3270699565</v>
      </c>
      <c r="AG446" s="78" t="str">
        <f>VLOOKUP(Indicador!E346,[1]Diccionario!C$1:AC$150,27,0)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46" s="78">
        <v>1</v>
      </c>
      <c r="AI446" s="78">
        <v>1</v>
      </c>
      <c r="AJ446" s="78"/>
      <c r="AK446" s="78" t="s">
        <v>319</v>
      </c>
    </row>
    <row r="447" spans="1:37" ht="18.75" customHeight="1" x14ac:dyDescent="0.25">
      <c r="A447" s="64">
        <v>2025</v>
      </c>
      <c r="B447" s="65" t="s">
        <v>56</v>
      </c>
      <c r="C447" s="66" t="s">
        <v>320</v>
      </c>
      <c r="D447" s="67">
        <v>45901.854656446762</v>
      </c>
      <c r="E447" s="66" t="s">
        <v>321</v>
      </c>
      <c r="F447" s="66" t="s">
        <v>89</v>
      </c>
      <c r="G447" s="66" t="s">
        <v>322</v>
      </c>
      <c r="H447" s="66" t="s">
        <v>323</v>
      </c>
      <c r="I447" s="66" t="s">
        <v>43</v>
      </c>
      <c r="J447" s="66" t="s">
        <v>324</v>
      </c>
      <c r="K447" s="66" t="s">
        <v>45</v>
      </c>
      <c r="L447" s="68">
        <f>VLOOKUP(E447,[1]Diccionario!C$2:AC$150,22,0)</f>
        <v>5018888965</v>
      </c>
      <c r="M447" s="69">
        <f>VLOOKUP(E447,[1]Diccionario!C$2:AC$150,24,0)</f>
        <v>45870</v>
      </c>
      <c r="N447" s="70">
        <f>VLOOKUP(E447,[1]Diccionario!C$2:AC$150,25,0)</f>
        <v>46022</v>
      </c>
      <c r="O447" s="71">
        <f>VLOOKUP(E447,[1]Diccionario!C$2:AC$150,26,0)</f>
        <v>5</v>
      </c>
      <c r="P447" s="71">
        <f t="shared" ref="P447:P510" si="86">Q447-O447</f>
        <v>-1</v>
      </c>
      <c r="Q447" s="71">
        <v>4</v>
      </c>
      <c r="R447" s="66">
        <v>5</v>
      </c>
      <c r="S447" s="72">
        <v>0.85</v>
      </c>
      <c r="T447" s="72">
        <v>0.85</v>
      </c>
      <c r="U447" s="73">
        <f>U446+TablaIndicador[[#This Row],[Costo Mensual]]</f>
        <v>2632467545</v>
      </c>
      <c r="V447" s="74">
        <v>1496144435</v>
      </c>
      <c r="W447" s="73">
        <f t="shared" si="76"/>
        <v>4266055620.25</v>
      </c>
      <c r="X447" s="73">
        <f t="shared" si="77"/>
        <v>4266055620.25</v>
      </c>
      <c r="Y447" s="73">
        <f t="shared" si="78"/>
        <v>1633588075.25</v>
      </c>
      <c r="Z447" s="73">
        <f t="shared" si="79"/>
        <v>0</v>
      </c>
      <c r="AA447" s="75">
        <f t="shared" si="80"/>
        <v>1.6205539279497556</v>
      </c>
      <c r="AB447" s="76" t="str">
        <f t="shared" si="81"/>
        <v>Costo eficiente: se está gastando menos de lo presupuestado</v>
      </c>
      <c r="AC447" s="76">
        <f t="shared" si="82"/>
        <v>1</v>
      </c>
      <c r="AD447" s="76" t="str">
        <f t="shared" si="83"/>
        <v>Proyecto a tiempo según lo planificado</v>
      </c>
      <c r="AE447" s="77">
        <f t="shared" si="84"/>
        <v>3097020641.1764708</v>
      </c>
      <c r="AF447" s="77">
        <f t="shared" si="85"/>
        <v>-1921868323.8235292</v>
      </c>
      <c r="AG447" s="78" t="str">
        <f>VLOOKUP(Indicador!E347,[1]Diccionario!C$1:AC$150,27,0)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47" s="78">
        <v>1</v>
      </c>
      <c r="AI447" s="78">
        <v>1</v>
      </c>
      <c r="AJ447" s="78"/>
      <c r="AK447" s="78" t="s">
        <v>319</v>
      </c>
    </row>
    <row r="448" spans="1:37" ht="18.75" customHeight="1" x14ac:dyDescent="0.25">
      <c r="A448" s="64">
        <v>2025</v>
      </c>
      <c r="B448" s="65" t="s">
        <v>57</v>
      </c>
      <c r="C448" s="66" t="s">
        <v>320</v>
      </c>
      <c r="D448" s="67">
        <v>45901.854656446762</v>
      </c>
      <c r="E448" s="66" t="s">
        <v>321</v>
      </c>
      <c r="F448" s="66" t="s">
        <v>89</v>
      </c>
      <c r="G448" s="66" t="s">
        <v>322</v>
      </c>
      <c r="H448" s="66" t="s">
        <v>323</v>
      </c>
      <c r="I448" s="66" t="s">
        <v>43</v>
      </c>
      <c r="J448" s="66" t="s">
        <v>324</v>
      </c>
      <c r="K448" s="66" t="s">
        <v>45</v>
      </c>
      <c r="L448" s="68">
        <f>VLOOKUP(E448,[1]Diccionario!C$2:AC$150,22,0)</f>
        <v>5018888965</v>
      </c>
      <c r="M448" s="69">
        <f>VLOOKUP(E448,[1]Diccionario!C$2:AC$150,24,0)</f>
        <v>45870</v>
      </c>
      <c r="N448" s="70">
        <f>VLOOKUP(E448,[1]Diccionario!C$2:AC$150,25,0)</f>
        <v>46022</v>
      </c>
      <c r="O448" s="71">
        <f>VLOOKUP(E448,[1]Diccionario!C$2:AC$150,26,0)</f>
        <v>5</v>
      </c>
      <c r="P448" s="71">
        <f t="shared" si="86"/>
        <v>0</v>
      </c>
      <c r="Q448" s="71">
        <v>5</v>
      </c>
      <c r="R448" s="66">
        <v>5</v>
      </c>
      <c r="S448" s="72">
        <v>1</v>
      </c>
      <c r="T448" s="72">
        <v>1</v>
      </c>
      <c r="U448" s="73">
        <f>U447+TablaIndicador[[#This Row],[Costo Mensual]]</f>
        <v>3060647480</v>
      </c>
      <c r="V448" s="74">
        <v>428179935</v>
      </c>
      <c r="W448" s="73">
        <f t="shared" si="76"/>
        <v>5018888965</v>
      </c>
      <c r="X448" s="73">
        <f t="shared" si="77"/>
        <v>5018888965</v>
      </c>
      <c r="Y448" s="73">
        <f t="shared" si="78"/>
        <v>1958241485</v>
      </c>
      <c r="Z448" s="73">
        <f t="shared" si="79"/>
        <v>0</v>
      </c>
      <c r="AA448" s="75">
        <f t="shared" si="80"/>
        <v>1.6398128166658383</v>
      </c>
      <c r="AB448" s="76" t="str">
        <f t="shared" si="81"/>
        <v>Costo eficiente: se está gastando menos de lo presupuestado</v>
      </c>
      <c r="AC448" s="76">
        <f t="shared" si="82"/>
        <v>1</v>
      </c>
      <c r="AD448" s="76" t="str">
        <f t="shared" si="83"/>
        <v>Proyecto a tiempo según lo planificado</v>
      </c>
      <c r="AE448" s="77">
        <f t="shared" si="84"/>
        <v>3060647480</v>
      </c>
      <c r="AF448" s="77">
        <f t="shared" si="85"/>
        <v>-1958241485</v>
      </c>
      <c r="AG448" s="78" t="str">
        <f>VLOOKUP(Indicador!E348,[1]Diccionario!C$1:AC$150,27,0)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48" s="78">
        <v>1</v>
      </c>
      <c r="AI448" s="78">
        <v>1</v>
      </c>
      <c r="AJ448" s="78"/>
      <c r="AK448" s="78" t="s">
        <v>319</v>
      </c>
    </row>
    <row r="449" spans="1:37" ht="18.75" customHeight="1" x14ac:dyDescent="0.25">
      <c r="A449" s="64">
        <v>2026</v>
      </c>
      <c r="B449" s="65" t="s">
        <v>37</v>
      </c>
      <c r="C449" s="66" t="s">
        <v>320</v>
      </c>
      <c r="D449" s="67">
        <v>45901.854656446762</v>
      </c>
      <c r="E449" s="66" t="s">
        <v>321</v>
      </c>
      <c r="F449" s="66" t="s">
        <v>89</v>
      </c>
      <c r="G449" s="66" t="s">
        <v>322</v>
      </c>
      <c r="H449" s="66" t="s">
        <v>323</v>
      </c>
      <c r="I449" s="66" t="s">
        <v>43</v>
      </c>
      <c r="J449" s="66" t="s">
        <v>324</v>
      </c>
      <c r="K449" s="66" t="s">
        <v>45</v>
      </c>
      <c r="L449" s="68">
        <f>VLOOKUP(E449,[1]Diccionario!C$2:AC$150,22,0)</f>
        <v>5018888965</v>
      </c>
      <c r="M449" s="69">
        <f>VLOOKUP(E449,[1]Diccionario!C$2:AC$150,24,0)</f>
        <v>45870</v>
      </c>
      <c r="N449" s="70">
        <f>VLOOKUP(E449,[1]Diccionario!C$2:AC$150,25,0)</f>
        <v>46022</v>
      </c>
      <c r="O449" s="71">
        <f>VLOOKUP(E449,[1]Diccionario!C$2:AC$150,26,0)</f>
        <v>5</v>
      </c>
      <c r="P449" s="71">
        <f t="shared" si="86"/>
        <v>1</v>
      </c>
      <c r="Q449" s="71">
        <v>6</v>
      </c>
      <c r="R449" s="66">
        <v>5</v>
      </c>
      <c r="S449" s="72">
        <v>1</v>
      </c>
      <c r="T449" s="72">
        <v>1</v>
      </c>
      <c r="U449" s="73">
        <f>U448+TablaIndicador[[#This Row],[Costo Mensual]]</f>
        <v>3738334660</v>
      </c>
      <c r="V449" s="74">
        <v>677687180</v>
      </c>
      <c r="W449" s="73">
        <f t="shared" si="76"/>
        <v>5018888965</v>
      </c>
      <c r="X449" s="73">
        <f t="shared" si="77"/>
        <v>5018888965</v>
      </c>
      <c r="Y449" s="73">
        <f t="shared" si="78"/>
        <v>1280554305</v>
      </c>
      <c r="Z449" s="73">
        <f t="shared" si="79"/>
        <v>0</v>
      </c>
      <c r="AA449" s="75">
        <f t="shared" si="80"/>
        <v>1.3425467277453431</v>
      </c>
      <c r="AB449" s="76" t="str">
        <f t="shared" si="81"/>
        <v>Costo eficiente: se está gastando menos de lo presupuestado</v>
      </c>
      <c r="AC449" s="76">
        <f t="shared" si="82"/>
        <v>1</v>
      </c>
      <c r="AD449" s="76" t="str">
        <f t="shared" si="83"/>
        <v>Proyecto a tiempo según lo planificado</v>
      </c>
      <c r="AE449" s="77">
        <f t="shared" si="84"/>
        <v>3738334660</v>
      </c>
      <c r="AF449" s="77">
        <f t="shared" si="85"/>
        <v>-1280554305</v>
      </c>
      <c r="AG449" s="78" t="str">
        <f>VLOOKUP(Indicador!E349,[1]Diccionario!C$1:AC$150,27,0)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49" s="78">
        <v>1</v>
      </c>
      <c r="AI449" s="78">
        <v>1</v>
      </c>
      <c r="AJ449" s="78"/>
      <c r="AK449" s="78" t="s">
        <v>319</v>
      </c>
    </row>
    <row r="450" spans="1:37" ht="18.75" customHeight="1" x14ac:dyDescent="0.25">
      <c r="A450" s="64">
        <v>2025</v>
      </c>
      <c r="B450" s="65" t="s">
        <v>54</v>
      </c>
      <c r="C450" s="66" t="s">
        <v>325</v>
      </c>
      <c r="D450" s="67">
        <v>45902.634798344909</v>
      </c>
      <c r="E450" s="66" t="s">
        <v>326</v>
      </c>
      <c r="F450" s="66" t="s">
        <v>40</v>
      </c>
      <c r="G450" s="80" t="s">
        <v>327</v>
      </c>
      <c r="H450" s="66" t="s">
        <v>328</v>
      </c>
      <c r="I450" s="66" t="s">
        <v>78</v>
      </c>
      <c r="J450" s="66" t="s">
        <v>329</v>
      </c>
      <c r="K450" s="66" t="s">
        <v>45</v>
      </c>
      <c r="L450" s="68">
        <f>VLOOKUP(E450,[1]Diccionario!C$2:AC$150,22,0)</f>
        <v>162301726</v>
      </c>
      <c r="M450" s="69">
        <f>VLOOKUP(E450,[1]Diccionario!C$2:AC$150,24,0)</f>
        <v>45901</v>
      </c>
      <c r="N450" s="70">
        <f>VLOOKUP(E450,[1]Diccionario!C$2:AC$150,25,0)</f>
        <v>46022</v>
      </c>
      <c r="O450" s="71">
        <f>VLOOKUP(E450,[1]Diccionario!C$2:AC$150,26,0)</f>
        <v>4</v>
      </c>
      <c r="P450" s="71">
        <f t="shared" si="86"/>
        <v>-2</v>
      </c>
      <c r="Q450" s="71">
        <v>2</v>
      </c>
      <c r="R450" s="66">
        <v>5</v>
      </c>
      <c r="S450" s="72">
        <v>0.25</v>
      </c>
      <c r="T450" s="72">
        <v>0.25</v>
      </c>
      <c r="U450" s="73">
        <f>TablaIndicador[[#This Row],[Costo Mensual]]</f>
        <v>0</v>
      </c>
      <c r="V450" s="73">
        <v>0</v>
      </c>
      <c r="W450" s="73">
        <f t="shared" ref="W450:W513" si="87">IFERROR(T450*L450,0)</f>
        <v>40575431.5</v>
      </c>
      <c r="X450" s="73">
        <f t="shared" ref="X450:X513" si="88">S450*L450</f>
        <v>40575431.5</v>
      </c>
      <c r="Y450" s="73">
        <f t="shared" ref="Y450:Y513" si="89">IFERROR(W450-U450,0)</f>
        <v>40575431.5</v>
      </c>
      <c r="Z450" s="73">
        <f t="shared" ref="Z450:Z513" si="90">W450-X450</f>
        <v>0</v>
      </c>
      <c r="AA450" s="75" t="str">
        <f t="shared" ref="AA450:AA513" si="91">IFERROR(W450/U450,"No se realizó gasto en este corte")</f>
        <v>No se realizó gasto en este corte</v>
      </c>
      <c r="AB450" s="76" t="str">
        <f t="shared" ref="AB450:AB513" si="92">IFERROR(
  IF(OR(AA450="",AA450=0),
    "No calculado",
    IF(AA450&gt;1,"Costo eficiente: se está gastando menos de lo presupuestado",
      IF(AA450=1,"Costo según lo presupuestado",
        "Costo ineficiente: se está gastando más de lo presupuestado"))),
"No calculado")</f>
        <v>Costo eficiente: se está gastando menos de lo presupuestado</v>
      </c>
      <c r="AC450" s="76">
        <f t="shared" ref="AC450:AC513" si="93">IFERROR(W450/X450,0)</f>
        <v>1</v>
      </c>
      <c r="AD450" s="76" t="str">
        <f t="shared" ref="AD450:AD513" si="94">IF(OR(AC450="",AC450=0),"Sin Línea Base",
IF(AC450&gt;1,"Proyecto adelantado respecto al cronograma",
IF(AC450=1,"Proyecto a tiempo según lo planificado",
IF(AC450&lt;1,"Proyecto atrasado con respecto al cronograma",
"No calculado"))))</f>
        <v>Proyecto a tiempo según lo planificado</v>
      </c>
      <c r="AE450" s="77">
        <f t="shared" ref="AE450:AE513" si="95">IFERROR(L450/AA450,0)</f>
        <v>0</v>
      </c>
      <c r="AF450" s="77">
        <f t="shared" ref="AF450:AF513" si="96">IFERROR(AE450-L450,0)</f>
        <v>-162301726</v>
      </c>
      <c r="AG450" s="78" t="str">
        <f>VLOOKUP(Indicador!E396,[1]Diccionario!C$1:AC$150,27,0)</f>
        <v>https://growdatasas.sharepoint.com/:x:/r/sites/Gestiondocumental/Administrativa/GD/Financiera/_layouts/15/Doc.aspx?sourcedoc=%7B992F7B45-9CC9-43D2-9E9D-0F8A68C8C555%7D&amp;file=22052025%20MODELO%20FINANCIERO%20REFERENCIA%20V7.4_ANSV_V1.0.xlsm&amp;action=default&amp;mobileredirect=true</v>
      </c>
      <c r="AH450" s="78">
        <v>1</v>
      </c>
      <c r="AI450" s="78">
        <v>1</v>
      </c>
      <c r="AJ450" s="78"/>
      <c r="AK450" s="78" t="s">
        <v>319</v>
      </c>
    </row>
    <row r="451" spans="1:37" ht="18.75" customHeight="1" x14ac:dyDescent="0.25">
      <c r="A451" s="64">
        <v>2025</v>
      </c>
      <c r="B451" s="65" t="s">
        <v>55</v>
      </c>
      <c r="C451" s="66" t="s">
        <v>325</v>
      </c>
      <c r="D451" s="67">
        <v>45902.634798344909</v>
      </c>
      <c r="E451" s="66" t="s">
        <v>326</v>
      </c>
      <c r="F451" s="66" t="s">
        <v>40</v>
      </c>
      <c r="G451" s="80" t="s">
        <v>327</v>
      </c>
      <c r="H451" s="66" t="s">
        <v>328</v>
      </c>
      <c r="I451" s="66" t="s">
        <v>78</v>
      </c>
      <c r="J451" s="66" t="s">
        <v>329</v>
      </c>
      <c r="K451" s="66" t="s">
        <v>45</v>
      </c>
      <c r="L451" s="68">
        <f>VLOOKUP(E451,[1]Diccionario!C$2:AC$150,22,0)</f>
        <v>162301726</v>
      </c>
      <c r="M451" s="69">
        <f>VLOOKUP(E451,[1]Diccionario!C$2:AC$150,24,0)</f>
        <v>45901</v>
      </c>
      <c r="N451" s="70">
        <f>VLOOKUP(E451,[1]Diccionario!C$2:AC$150,25,0)</f>
        <v>46022</v>
      </c>
      <c r="O451" s="71">
        <f>VLOOKUP(E451,[1]Diccionario!C$2:AC$150,26,0)</f>
        <v>4</v>
      </c>
      <c r="P451" s="71">
        <f t="shared" si="86"/>
        <v>-1</v>
      </c>
      <c r="Q451" s="71">
        <v>3</v>
      </c>
      <c r="R451" s="66">
        <v>5</v>
      </c>
      <c r="S451" s="72">
        <v>0.5</v>
      </c>
      <c r="T451" s="72">
        <v>0.5</v>
      </c>
      <c r="U451" s="73">
        <f>U450+TablaIndicador[[#This Row],[Costo Mensual]]</f>
        <v>0</v>
      </c>
      <c r="V451" s="73">
        <v>0</v>
      </c>
      <c r="W451" s="73">
        <f t="shared" si="87"/>
        <v>81150863</v>
      </c>
      <c r="X451" s="73">
        <f t="shared" si="88"/>
        <v>81150863</v>
      </c>
      <c r="Y451" s="73">
        <f t="shared" si="89"/>
        <v>81150863</v>
      </c>
      <c r="Z451" s="73">
        <f t="shared" si="90"/>
        <v>0</v>
      </c>
      <c r="AA451" s="75" t="str">
        <f t="shared" si="91"/>
        <v>No se realizó gasto en este corte</v>
      </c>
      <c r="AB451" s="76" t="str">
        <f t="shared" si="92"/>
        <v>Costo eficiente: se está gastando menos de lo presupuestado</v>
      </c>
      <c r="AC451" s="76">
        <f t="shared" si="93"/>
        <v>1</v>
      </c>
      <c r="AD451" s="76" t="str">
        <f t="shared" si="94"/>
        <v>Proyecto a tiempo según lo planificado</v>
      </c>
      <c r="AE451" s="77">
        <f t="shared" si="95"/>
        <v>0</v>
      </c>
      <c r="AF451" s="77">
        <f t="shared" si="96"/>
        <v>-162301726</v>
      </c>
      <c r="AG451" s="78" t="str">
        <f>VLOOKUP(Indicador!E397,[1]Diccionario!C$1:AC$150,27,0)</f>
        <v>https://growdatasas.sharepoint.com/:x:/r/sites/Gestiondocumental/Administrativa/GD/Financiera/_layouts/15/Doc.aspx?sourcedoc=%7B992F7B45-9CC9-43D2-9E9D-0F8A68C8C555%7D&amp;file=22052025%20MODELO%20FINANCIERO%20REFERENCIA%20V7.4_ANSV_V1.0.xlsm&amp;action=default&amp;mobileredirect=true</v>
      </c>
      <c r="AH451" s="78">
        <v>1</v>
      </c>
      <c r="AI451" s="78">
        <v>1</v>
      </c>
      <c r="AJ451" s="78"/>
      <c r="AK451" s="78" t="s">
        <v>319</v>
      </c>
    </row>
    <row r="452" spans="1:37" ht="18.75" customHeight="1" x14ac:dyDescent="0.25">
      <c r="A452" s="64">
        <v>2025</v>
      </c>
      <c r="B452" s="65" t="s">
        <v>56</v>
      </c>
      <c r="C452" s="66" t="s">
        <v>325</v>
      </c>
      <c r="D452" s="67">
        <v>45902.634798344909</v>
      </c>
      <c r="E452" s="66" t="s">
        <v>326</v>
      </c>
      <c r="F452" s="66" t="s">
        <v>40</v>
      </c>
      <c r="G452" s="80" t="s">
        <v>327</v>
      </c>
      <c r="H452" s="66" t="s">
        <v>328</v>
      </c>
      <c r="I452" s="66" t="s">
        <v>78</v>
      </c>
      <c r="J452" s="66" t="s">
        <v>329</v>
      </c>
      <c r="K452" s="66" t="s">
        <v>45</v>
      </c>
      <c r="L452" s="68">
        <f>VLOOKUP(E452,[1]Diccionario!C$2:AC$150,22,0)</f>
        <v>162301726</v>
      </c>
      <c r="M452" s="69">
        <f>VLOOKUP(E452,[1]Diccionario!C$2:AC$150,24,0)</f>
        <v>45901</v>
      </c>
      <c r="N452" s="70">
        <f>VLOOKUP(E452,[1]Diccionario!C$2:AC$150,25,0)</f>
        <v>46022</v>
      </c>
      <c r="O452" s="71">
        <f>VLOOKUP(E452,[1]Diccionario!C$2:AC$150,26,0)</f>
        <v>4</v>
      </c>
      <c r="P452" s="71">
        <f t="shared" si="86"/>
        <v>0</v>
      </c>
      <c r="Q452" s="71">
        <v>4</v>
      </c>
      <c r="R452" s="66">
        <v>5</v>
      </c>
      <c r="S452" s="72">
        <v>0.75</v>
      </c>
      <c r="T452" s="72">
        <v>0.75</v>
      </c>
      <c r="U452" s="73">
        <f>U451+TablaIndicador[[#This Row],[Costo Mensual]]</f>
        <v>0</v>
      </c>
      <c r="V452" s="73">
        <v>0</v>
      </c>
      <c r="W452" s="73">
        <f t="shared" si="87"/>
        <v>121726294.5</v>
      </c>
      <c r="X452" s="73">
        <f t="shared" si="88"/>
        <v>121726294.5</v>
      </c>
      <c r="Y452" s="73">
        <f t="shared" si="89"/>
        <v>121726294.5</v>
      </c>
      <c r="Z452" s="73">
        <f t="shared" si="90"/>
        <v>0</v>
      </c>
      <c r="AA452" s="75" t="str">
        <f t="shared" si="91"/>
        <v>No se realizó gasto en este corte</v>
      </c>
      <c r="AB452" s="76" t="str">
        <f t="shared" si="92"/>
        <v>Costo eficiente: se está gastando menos de lo presupuestado</v>
      </c>
      <c r="AC452" s="76">
        <f t="shared" si="93"/>
        <v>1</v>
      </c>
      <c r="AD452" s="76" t="str">
        <f t="shared" si="94"/>
        <v>Proyecto a tiempo según lo planificado</v>
      </c>
      <c r="AE452" s="77">
        <f t="shared" si="95"/>
        <v>0</v>
      </c>
      <c r="AF452" s="77">
        <f t="shared" si="96"/>
        <v>-162301726</v>
      </c>
      <c r="AG452" s="78" t="str">
        <f>VLOOKUP(Indicador!E398,[1]Diccionario!C$1:AC$150,27,0)</f>
        <v>https://growdatasas.sharepoint.com/:x:/r/sites/Gestiondocumental/Administrativa/GD/Financiera/_layouts/15/Doc.aspx?sourcedoc=%7B992F7B45-9CC9-43D2-9E9D-0F8A68C8C555%7D&amp;file=22052025%20MODELO%20FINANCIERO%20REFERENCIA%20V7.4_ANSV_V1.0.xlsm&amp;action=default&amp;mobileredirect=true</v>
      </c>
      <c r="AH452" s="78">
        <v>1</v>
      </c>
      <c r="AI452" s="78">
        <v>1</v>
      </c>
      <c r="AJ452" s="78"/>
      <c r="AK452" s="78" t="s">
        <v>319</v>
      </c>
    </row>
    <row r="453" spans="1:37" ht="18.75" customHeight="1" x14ac:dyDescent="0.25">
      <c r="A453" s="64">
        <v>2025</v>
      </c>
      <c r="B453" s="65" t="s">
        <v>57</v>
      </c>
      <c r="C453" s="66" t="s">
        <v>325</v>
      </c>
      <c r="D453" s="67">
        <v>45902.634798344909</v>
      </c>
      <c r="E453" s="66" t="s">
        <v>326</v>
      </c>
      <c r="F453" s="66" t="s">
        <v>40</v>
      </c>
      <c r="G453" s="80" t="s">
        <v>327</v>
      </c>
      <c r="H453" s="66" t="s">
        <v>328</v>
      </c>
      <c r="I453" s="66" t="s">
        <v>78</v>
      </c>
      <c r="J453" s="66" t="s">
        <v>329</v>
      </c>
      <c r="K453" s="66" t="s">
        <v>45</v>
      </c>
      <c r="L453" s="68">
        <f>VLOOKUP(E453,[1]Diccionario!C$2:AC$150,22,0)</f>
        <v>162301726</v>
      </c>
      <c r="M453" s="69">
        <f>VLOOKUP(E453,[1]Diccionario!C$2:AC$150,24,0)</f>
        <v>45901</v>
      </c>
      <c r="N453" s="70">
        <f>VLOOKUP(E453,[1]Diccionario!C$2:AC$150,25,0)</f>
        <v>46022</v>
      </c>
      <c r="O453" s="71">
        <f>VLOOKUP(E453,[1]Diccionario!C$2:AC$150,26,0)</f>
        <v>4</v>
      </c>
      <c r="P453" s="71">
        <f t="shared" si="86"/>
        <v>1</v>
      </c>
      <c r="Q453" s="71">
        <v>5</v>
      </c>
      <c r="R453" s="66">
        <v>5</v>
      </c>
      <c r="S453" s="72">
        <v>1</v>
      </c>
      <c r="T453" s="72">
        <v>1</v>
      </c>
      <c r="U453" s="73">
        <f>U452+TablaIndicador[[#This Row],[Costo Mensual]]</f>
        <v>138000000</v>
      </c>
      <c r="V453" s="81">
        <v>138000000</v>
      </c>
      <c r="W453" s="73">
        <f t="shared" si="87"/>
        <v>162301726</v>
      </c>
      <c r="X453" s="73">
        <f t="shared" si="88"/>
        <v>162301726</v>
      </c>
      <c r="Y453" s="73">
        <f t="shared" si="89"/>
        <v>24301726</v>
      </c>
      <c r="Z453" s="73">
        <f t="shared" si="90"/>
        <v>0</v>
      </c>
      <c r="AA453" s="75">
        <f t="shared" si="91"/>
        <v>1.1760994637681159</v>
      </c>
      <c r="AB453" s="76" t="str">
        <f t="shared" si="92"/>
        <v>Costo eficiente: se está gastando menos de lo presupuestado</v>
      </c>
      <c r="AC453" s="76">
        <f t="shared" si="93"/>
        <v>1</v>
      </c>
      <c r="AD453" s="76" t="str">
        <f t="shared" si="94"/>
        <v>Proyecto a tiempo según lo planificado</v>
      </c>
      <c r="AE453" s="77">
        <f t="shared" si="95"/>
        <v>138000000</v>
      </c>
      <c r="AF453" s="77">
        <f t="shared" si="96"/>
        <v>-24301726</v>
      </c>
      <c r="AG453" s="78" t="str">
        <f>VLOOKUP(Indicador!E399,[1]Diccionario!C$1:AC$150,27,0)</f>
        <v>https://growdatasas.sharepoint.com/:x:/r/sites/Gestiondocumental/Administrativa/GD/Financiera/_layouts/15/Doc.aspx?sourcedoc=%7B992F7B45-9CC9-43D2-9E9D-0F8A68C8C555%7D&amp;file=22052025%20MODELO%20FINANCIERO%20REFERENCIA%20V7.4_ANSV_V1.0.xlsm&amp;action=default&amp;mobileredirect=true</v>
      </c>
      <c r="AH453" s="78">
        <v>1</v>
      </c>
      <c r="AI453" s="78">
        <v>1</v>
      </c>
      <c r="AJ453" s="78"/>
      <c r="AK453" s="78" t="s">
        <v>319</v>
      </c>
    </row>
    <row r="454" spans="1:37" ht="18.75" customHeight="1" x14ac:dyDescent="0.25">
      <c r="A454" s="11">
        <v>2025</v>
      </c>
      <c r="B454" s="12" t="s">
        <v>54</v>
      </c>
      <c r="C454" s="15" t="s">
        <v>330</v>
      </c>
      <c r="D454" s="39">
        <v>45902.665949571761</v>
      </c>
      <c r="E454" s="63" t="s">
        <v>331</v>
      </c>
      <c r="F454" s="15" t="s">
        <v>60</v>
      </c>
      <c r="G454" s="15" t="s">
        <v>332</v>
      </c>
      <c r="H454" s="15" t="s">
        <v>333</v>
      </c>
      <c r="I454" s="15" t="s">
        <v>43</v>
      </c>
      <c r="J454" s="15" t="s">
        <v>334</v>
      </c>
      <c r="K454" s="15" t="s">
        <v>45</v>
      </c>
      <c r="L454" s="17">
        <f>VLOOKUP(E454,[1]Diccionario!C$2:AC$150,22,0)</f>
        <v>683254187</v>
      </c>
      <c r="M454" s="18">
        <f>VLOOKUP(E454,[1]Diccionario!C$2:AC$150,24,0)</f>
        <v>45901</v>
      </c>
      <c r="N454" s="19">
        <f>VLOOKUP(E454,[1]Diccionario!C$2:AC$150,25,0)</f>
        <v>46021</v>
      </c>
      <c r="O454" s="20">
        <f>VLOOKUP(E454,[1]Diccionario!C$2:AC$150,26,0)</f>
        <v>3.97</v>
      </c>
      <c r="P454" s="20">
        <f t="shared" si="86"/>
        <v>-1.9700000000000002</v>
      </c>
      <c r="Q454" s="20">
        <v>2</v>
      </c>
      <c r="R454" s="15">
        <v>5</v>
      </c>
      <c r="S454" s="21">
        <v>0.25</v>
      </c>
      <c r="T454" s="21">
        <v>0.25</v>
      </c>
      <c r="U454" s="22"/>
      <c r="V454" s="24"/>
      <c r="W454" s="24">
        <f t="shared" si="87"/>
        <v>170813546.75</v>
      </c>
      <c r="X454" s="24">
        <f t="shared" si="88"/>
        <v>170813546.75</v>
      </c>
      <c r="Y454" s="24">
        <f t="shared" si="89"/>
        <v>170813546.75</v>
      </c>
      <c r="Z454" s="24">
        <f t="shared" si="90"/>
        <v>0</v>
      </c>
      <c r="AA454" s="25" t="str">
        <f t="shared" si="91"/>
        <v>No se realizó gasto en este corte</v>
      </c>
      <c r="AB454" s="26" t="str">
        <f t="shared" si="92"/>
        <v>Costo eficiente: se está gastando menos de lo presupuestado</v>
      </c>
      <c r="AC454" s="26">
        <f t="shared" si="93"/>
        <v>1</v>
      </c>
      <c r="AD454" s="26" t="str">
        <f t="shared" si="94"/>
        <v>Proyecto a tiempo según lo planificado</v>
      </c>
      <c r="AE454" s="27">
        <f t="shared" si="95"/>
        <v>0</v>
      </c>
      <c r="AF454" s="27">
        <f t="shared" si="96"/>
        <v>-683254187</v>
      </c>
      <c r="AG454" s="28" t="str">
        <f>VLOOKUP(Indicador!E392,[1]Diccionario!C$1:AC$150,27,0)</f>
        <v>https://growdatasas.sharepoint.com/:x:/r/sites/Gestiondocumental/Administrativa/GD/Financiera/_layouts/15/Doc.aspx?sourcedoc=%7B992F7B45-9CC9-43D2-9E9D-0F8A68C8C555%7D&amp;file=22052025%20MODELO%20FINANCIERO%20REFERENCIA%20V7.4_ANSV_V1.0.xlsm&amp;action=default&amp;mobileredirect=true</v>
      </c>
      <c r="AH454" s="28">
        <v>1</v>
      </c>
      <c r="AI454" s="28">
        <v>1</v>
      </c>
      <c r="AJ454" s="28"/>
      <c r="AK454" s="28"/>
    </row>
    <row r="455" spans="1:37" ht="18.75" customHeight="1" x14ac:dyDescent="0.25">
      <c r="A455" s="11">
        <v>2025</v>
      </c>
      <c r="B455" s="12" t="s">
        <v>55</v>
      </c>
      <c r="C455" s="15" t="s">
        <v>330</v>
      </c>
      <c r="D455" s="39">
        <v>45902.665949571761</v>
      </c>
      <c r="E455" s="63" t="s">
        <v>331</v>
      </c>
      <c r="F455" s="15" t="s">
        <v>60</v>
      </c>
      <c r="G455" s="15" t="s">
        <v>332</v>
      </c>
      <c r="H455" s="15" t="s">
        <v>333</v>
      </c>
      <c r="I455" s="15" t="s">
        <v>43</v>
      </c>
      <c r="J455" s="15" t="s">
        <v>334</v>
      </c>
      <c r="K455" s="15" t="s">
        <v>45</v>
      </c>
      <c r="L455" s="17">
        <f>VLOOKUP(E455,[1]Diccionario!C$2:AC$150,22,0)</f>
        <v>683254187</v>
      </c>
      <c r="M455" s="18">
        <f>VLOOKUP(E455,[1]Diccionario!C$2:AC$150,24,0)</f>
        <v>45901</v>
      </c>
      <c r="N455" s="19">
        <f>VLOOKUP(E455,[1]Diccionario!C$2:AC$150,25,0)</f>
        <v>46021</v>
      </c>
      <c r="O455" s="20">
        <f>VLOOKUP(E455,[1]Diccionario!C$2:AC$150,26,0)</f>
        <v>3.97</v>
      </c>
      <c r="P455" s="20">
        <f t="shared" si="86"/>
        <v>-0.9700000000000002</v>
      </c>
      <c r="Q455" s="20">
        <v>3</v>
      </c>
      <c r="R455" s="15">
        <v>5</v>
      </c>
      <c r="S455" s="21">
        <v>0.5</v>
      </c>
      <c r="T455" s="21">
        <v>0.5</v>
      </c>
      <c r="U455" s="22"/>
      <c r="V455" s="24"/>
      <c r="W455" s="24">
        <f t="shared" si="87"/>
        <v>341627093.5</v>
      </c>
      <c r="X455" s="24">
        <f t="shared" si="88"/>
        <v>341627093.5</v>
      </c>
      <c r="Y455" s="24">
        <f t="shared" si="89"/>
        <v>341627093.5</v>
      </c>
      <c r="Z455" s="24">
        <f t="shared" si="90"/>
        <v>0</v>
      </c>
      <c r="AA455" s="25" t="str">
        <f t="shared" si="91"/>
        <v>No se realizó gasto en este corte</v>
      </c>
      <c r="AB455" s="26" t="str">
        <f t="shared" si="92"/>
        <v>Costo eficiente: se está gastando menos de lo presupuestado</v>
      </c>
      <c r="AC455" s="26">
        <f t="shared" si="93"/>
        <v>1</v>
      </c>
      <c r="AD455" s="26" t="str">
        <f t="shared" si="94"/>
        <v>Proyecto a tiempo según lo planificado</v>
      </c>
      <c r="AE455" s="27">
        <f t="shared" si="95"/>
        <v>0</v>
      </c>
      <c r="AF455" s="27">
        <f t="shared" si="96"/>
        <v>-683254187</v>
      </c>
      <c r="AG455" s="28" t="str">
        <f>VLOOKUP(Indicador!E393,[1]Diccionario!C$1:AC$150,27,0)</f>
        <v>https://growdatasas.sharepoint.com/:x:/r/sites/Gestiondocumental/Administrativa/GD/Financiera/_layouts/15/Doc.aspx?sourcedoc=%7B992F7B45-9CC9-43D2-9E9D-0F8A68C8C555%7D&amp;file=22052025%20MODELO%20FINANCIERO%20REFERENCIA%20V7.4_ANSV_V1.0.xlsm&amp;action=default&amp;mobileredirect=true</v>
      </c>
      <c r="AH455" s="28">
        <v>1</v>
      </c>
      <c r="AI455" s="28">
        <v>1</v>
      </c>
      <c r="AJ455" s="28"/>
      <c r="AK455" s="28"/>
    </row>
    <row r="456" spans="1:37" ht="18.75" customHeight="1" x14ac:dyDescent="0.25">
      <c r="A456" s="11">
        <v>2025</v>
      </c>
      <c r="B456" s="12" t="s">
        <v>56</v>
      </c>
      <c r="C456" s="15" t="s">
        <v>330</v>
      </c>
      <c r="D456" s="39">
        <v>45902.665949571761</v>
      </c>
      <c r="E456" s="63" t="s">
        <v>331</v>
      </c>
      <c r="F456" s="15" t="s">
        <v>60</v>
      </c>
      <c r="G456" s="15" t="s">
        <v>332</v>
      </c>
      <c r="H456" s="15" t="s">
        <v>333</v>
      </c>
      <c r="I456" s="15" t="s">
        <v>43</v>
      </c>
      <c r="J456" s="15" t="s">
        <v>334</v>
      </c>
      <c r="K456" s="15" t="s">
        <v>45</v>
      </c>
      <c r="L456" s="17">
        <f>VLOOKUP(E456,[1]Diccionario!C$2:AC$150,22,0)</f>
        <v>683254187</v>
      </c>
      <c r="M456" s="18">
        <f>VLOOKUP(E456,[1]Diccionario!C$2:AC$150,24,0)</f>
        <v>45901</v>
      </c>
      <c r="N456" s="19">
        <f>VLOOKUP(E456,[1]Diccionario!C$2:AC$150,25,0)</f>
        <v>46021</v>
      </c>
      <c r="O456" s="20">
        <f>VLOOKUP(E456,[1]Diccionario!C$2:AC$150,26,0)</f>
        <v>3.97</v>
      </c>
      <c r="P456" s="20">
        <f t="shared" si="86"/>
        <v>2.9999999999999805E-2</v>
      </c>
      <c r="Q456" s="20">
        <v>4</v>
      </c>
      <c r="R456" s="15">
        <v>5</v>
      </c>
      <c r="S456" s="21">
        <v>0.75</v>
      </c>
      <c r="T456" s="21">
        <v>0.75</v>
      </c>
      <c r="U456" s="22"/>
      <c r="V456" s="24"/>
      <c r="W456" s="24">
        <f t="shared" si="87"/>
        <v>512440640.25</v>
      </c>
      <c r="X456" s="24">
        <f t="shared" si="88"/>
        <v>512440640.25</v>
      </c>
      <c r="Y456" s="24">
        <f t="shared" si="89"/>
        <v>512440640.25</v>
      </c>
      <c r="Z456" s="24">
        <f t="shared" si="90"/>
        <v>0</v>
      </c>
      <c r="AA456" s="25" t="str">
        <f t="shared" si="91"/>
        <v>No se realizó gasto en este corte</v>
      </c>
      <c r="AB456" s="26" t="str">
        <f t="shared" si="92"/>
        <v>Costo eficiente: se está gastando menos de lo presupuestado</v>
      </c>
      <c r="AC456" s="26">
        <f t="shared" si="93"/>
        <v>1</v>
      </c>
      <c r="AD456" s="26" t="str">
        <f t="shared" si="94"/>
        <v>Proyecto a tiempo según lo planificado</v>
      </c>
      <c r="AE456" s="27">
        <f t="shared" si="95"/>
        <v>0</v>
      </c>
      <c r="AF456" s="27">
        <f t="shared" si="96"/>
        <v>-683254187</v>
      </c>
      <c r="AG456" s="28" t="str">
        <f>VLOOKUP(Indicador!E394,[1]Diccionario!C$1:AC$150,27,0)</f>
        <v>https://growdatasas.sharepoint.com/:x:/r/sites/Gestiondocumental/Administrativa/GD/Financiera/_layouts/15/Doc.aspx?sourcedoc=%7B992F7B45-9CC9-43D2-9E9D-0F8A68C8C555%7D&amp;file=22052025%20MODELO%20FINANCIERO%20REFERENCIA%20V7.4_ANSV_V1.0.xlsm&amp;action=default&amp;mobileredirect=true</v>
      </c>
      <c r="AH456" s="28">
        <v>1</v>
      </c>
      <c r="AI456" s="28">
        <v>1</v>
      </c>
      <c r="AJ456" s="28"/>
      <c r="AK456" s="28"/>
    </row>
    <row r="457" spans="1:37" ht="18.75" customHeight="1" x14ac:dyDescent="0.25">
      <c r="A457" s="11">
        <v>2025</v>
      </c>
      <c r="B457" s="12" t="s">
        <v>57</v>
      </c>
      <c r="C457" s="15" t="s">
        <v>330</v>
      </c>
      <c r="D457" s="39">
        <v>45902.665949571761</v>
      </c>
      <c r="E457" s="63" t="s">
        <v>331</v>
      </c>
      <c r="F457" s="15" t="s">
        <v>60</v>
      </c>
      <c r="G457" s="15" t="s">
        <v>332</v>
      </c>
      <c r="H457" s="15" t="s">
        <v>333</v>
      </c>
      <c r="I457" s="15" t="s">
        <v>43</v>
      </c>
      <c r="J457" s="15" t="s">
        <v>334</v>
      </c>
      <c r="K457" s="15" t="s">
        <v>45</v>
      </c>
      <c r="L457" s="17">
        <f>VLOOKUP(E457,[1]Diccionario!C$2:AC$150,22,0)</f>
        <v>683254187</v>
      </c>
      <c r="M457" s="18">
        <f>VLOOKUP(E457,[1]Diccionario!C$2:AC$150,24,0)</f>
        <v>45901</v>
      </c>
      <c r="N457" s="19">
        <f>VLOOKUP(E457,[1]Diccionario!C$2:AC$150,25,0)</f>
        <v>46021</v>
      </c>
      <c r="O457" s="20">
        <f>VLOOKUP(E457,[1]Diccionario!C$2:AC$150,26,0)</f>
        <v>3.97</v>
      </c>
      <c r="P457" s="20">
        <f t="shared" si="86"/>
        <v>-2.97</v>
      </c>
      <c r="Q457" s="20">
        <v>1</v>
      </c>
      <c r="R457" s="15">
        <v>5</v>
      </c>
      <c r="S457" s="21">
        <v>1</v>
      </c>
      <c r="T457" s="21">
        <v>1</v>
      </c>
      <c r="U457" s="22"/>
      <c r="V457" s="24"/>
      <c r="W457" s="24">
        <f t="shared" si="87"/>
        <v>683254187</v>
      </c>
      <c r="X457" s="24">
        <f t="shared" si="88"/>
        <v>683254187</v>
      </c>
      <c r="Y457" s="24">
        <f t="shared" si="89"/>
        <v>683254187</v>
      </c>
      <c r="Z457" s="24">
        <f t="shared" si="90"/>
        <v>0</v>
      </c>
      <c r="AA457" s="25" t="str">
        <f t="shared" si="91"/>
        <v>No se realizó gasto en este corte</v>
      </c>
      <c r="AB457" s="26" t="str">
        <f t="shared" si="92"/>
        <v>Costo eficiente: se está gastando menos de lo presupuestado</v>
      </c>
      <c r="AC457" s="26">
        <f t="shared" si="93"/>
        <v>1</v>
      </c>
      <c r="AD457" s="26" t="str">
        <f t="shared" si="94"/>
        <v>Proyecto a tiempo según lo planificado</v>
      </c>
      <c r="AE457" s="27">
        <f t="shared" si="95"/>
        <v>0</v>
      </c>
      <c r="AF457" s="27">
        <f t="shared" si="96"/>
        <v>-683254187</v>
      </c>
      <c r="AG457" s="28" t="str">
        <f>VLOOKUP(Indicador!E395,[1]Diccionario!C$1:AC$150,27,0)</f>
        <v>https://growdatasas.sharepoint.com/:x:/r/sites/Gestiondocumental/Administrativa/GD/Financiera/_layouts/15/Doc.aspx?sourcedoc=%7B992F7B45-9CC9-43D2-9E9D-0F8A68C8C555%7D&amp;file=22052025%20MODELO%20FINANCIERO%20REFERENCIA%20V7.4_ANSV_V1.0.xlsm&amp;action=default&amp;mobileredirect=true</v>
      </c>
      <c r="AH457" s="28">
        <v>1</v>
      </c>
      <c r="AI457" s="28">
        <v>1</v>
      </c>
      <c r="AJ457" s="28"/>
      <c r="AK457" s="28"/>
    </row>
    <row r="458" spans="1:37" ht="18.75" customHeight="1" x14ac:dyDescent="0.25">
      <c r="A458" s="64">
        <v>2025</v>
      </c>
      <c r="B458" s="65" t="s">
        <v>54</v>
      </c>
      <c r="C458" s="66" t="s">
        <v>335</v>
      </c>
      <c r="D458" s="67">
        <v>45915.66671759259</v>
      </c>
      <c r="E458" s="66" t="s">
        <v>336</v>
      </c>
      <c r="F458" s="66" t="s">
        <v>337</v>
      </c>
      <c r="G458" s="66" t="s">
        <v>338</v>
      </c>
      <c r="H458" s="66" t="s">
        <v>339</v>
      </c>
      <c r="I458" s="66" t="s">
        <v>43</v>
      </c>
      <c r="J458" s="66" t="s">
        <v>340</v>
      </c>
      <c r="K458" s="66" t="s">
        <v>45</v>
      </c>
      <c r="L458" s="68">
        <f>VLOOKUP(E458,[1]Diccionario!C$2:AC$150,22,0)</f>
        <v>3691676726</v>
      </c>
      <c r="M458" s="69">
        <f>VLOOKUP(E458,[1]Diccionario!C$2:AC$150,24,0)</f>
        <v>45905</v>
      </c>
      <c r="N458" s="70">
        <f>VLOOKUP(E458,[1]Diccionario!C$2:AC$150,25,0)</f>
        <v>46757</v>
      </c>
      <c r="O458" s="71">
        <f>VLOOKUP(E458,[1]Diccionario!C$2:AC$150,26,0)</f>
        <v>28</v>
      </c>
      <c r="P458" s="71">
        <f t="shared" si="86"/>
        <v>-27</v>
      </c>
      <c r="Q458" s="71">
        <v>1</v>
      </c>
      <c r="R458" s="66">
        <v>23</v>
      </c>
      <c r="S458" s="72">
        <v>0.05</v>
      </c>
      <c r="T458" s="72">
        <v>0.05</v>
      </c>
      <c r="U458" s="73">
        <f>TablaIndicador[[#This Row],[Costo Mensual]]</f>
        <v>0</v>
      </c>
      <c r="V458" s="73">
        <v>0</v>
      </c>
      <c r="W458" s="73">
        <f t="shared" si="87"/>
        <v>184583836.30000001</v>
      </c>
      <c r="X458" s="73">
        <f t="shared" si="88"/>
        <v>184583836.30000001</v>
      </c>
      <c r="Y458" s="73">
        <f t="shared" si="89"/>
        <v>184583836.30000001</v>
      </c>
      <c r="Z458" s="73">
        <f t="shared" si="90"/>
        <v>0</v>
      </c>
      <c r="AA458" s="75" t="str">
        <f t="shared" si="91"/>
        <v>No se realizó gasto en este corte</v>
      </c>
      <c r="AB458" s="76" t="str">
        <f t="shared" si="92"/>
        <v>Costo eficiente: se está gastando menos de lo presupuestado</v>
      </c>
      <c r="AC458" s="76">
        <f t="shared" si="93"/>
        <v>1</v>
      </c>
      <c r="AD458" s="76" t="str">
        <f t="shared" si="94"/>
        <v>Proyecto a tiempo según lo planificado</v>
      </c>
      <c r="AE458" s="77">
        <f t="shared" si="95"/>
        <v>0</v>
      </c>
      <c r="AF458" s="77">
        <f t="shared" si="96"/>
        <v>-3691676726</v>
      </c>
      <c r="AG458" s="78" t="str">
        <f>VLOOKUP(Indicador!E412,[1]Diccionario!C$1:AC$150,27,0)</f>
        <v>https://growdatasas.sharepoint.com/:x:/r/sites/Gestiondocumental/Administrativa/GD/Financiera/_layouts/15/Doc.aspx?sourcedoc=%7B9C76270D-595C-496E-97BB-8004054AF14A%7D&amp;file=20251301%20MODELO%20FINANCIERO%20REFERENCIA%20V7.4_ADRES_2A%C3%91OS_VF.xlsm&amp;action=default&amp;mobileredirect=true</v>
      </c>
      <c r="AH458" s="78">
        <v>1</v>
      </c>
      <c r="AI458" s="78">
        <v>1</v>
      </c>
      <c r="AJ458" s="78"/>
      <c r="AK458" s="78" t="s">
        <v>319</v>
      </c>
    </row>
    <row r="459" spans="1:37" ht="18.75" customHeight="1" x14ac:dyDescent="0.25">
      <c r="A459" s="64">
        <v>2025</v>
      </c>
      <c r="B459" s="65" t="s">
        <v>55</v>
      </c>
      <c r="C459" s="66" t="s">
        <v>335</v>
      </c>
      <c r="D459" s="67">
        <v>45915.66671759259</v>
      </c>
      <c r="E459" s="66" t="s">
        <v>336</v>
      </c>
      <c r="F459" s="66" t="s">
        <v>337</v>
      </c>
      <c r="G459" s="66" t="s">
        <v>338</v>
      </c>
      <c r="H459" s="66" t="s">
        <v>339</v>
      </c>
      <c r="I459" s="66" t="s">
        <v>43</v>
      </c>
      <c r="J459" s="66" t="s">
        <v>340</v>
      </c>
      <c r="K459" s="66" t="s">
        <v>45</v>
      </c>
      <c r="L459" s="68">
        <f>VLOOKUP(E459,[1]Diccionario!C$2:AC$150,22,0)</f>
        <v>3691676726</v>
      </c>
      <c r="M459" s="69">
        <f>VLOOKUP(E459,[1]Diccionario!C$2:AC$150,24,0)</f>
        <v>45905</v>
      </c>
      <c r="N459" s="70">
        <f>VLOOKUP(E459,[1]Diccionario!C$2:AC$150,25,0)</f>
        <v>46757</v>
      </c>
      <c r="O459" s="71">
        <f>VLOOKUP(E459,[1]Diccionario!C$2:AC$150,26,0)</f>
        <v>28</v>
      </c>
      <c r="P459" s="71">
        <f t="shared" si="86"/>
        <v>-26</v>
      </c>
      <c r="Q459" s="71">
        <v>2</v>
      </c>
      <c r="R459" s="66">
        <v>23</v>
      </c>
      <c r="S459" s="72">
        <v>7.0000000000000007E-2</v>
      </c>
      <c r="T459" s="72">
        <v>7.0000000000000007E-2</v>
      </c>
      <c r="U459" s="73">
        <f>U458+TablaIndicador[[#This Row],[Costo Mensual]]</f>
        <v>12500000</v>
      </c>
      <c r="V459" s="74">
        <v>12500000</v>
      </c>
      <c r="W459" s="73">
        <f t="shared" si="87"/>
        <v>258417370.82000002</v>
      </c>
      <c r="X459" s="73">
        <f t="shared" si="88"/>
        <v>258417370.82000002</v>
      </c>
      <c r="Y459" s="73">
        <f t="shared" si="89"/>
        <v>245917370.82000002</v>
      </c>
      <c r="Z459" s="73">
        <f t="shared" si="90"/>
        <v>0</v>
      </c>
      <c r="AA459" s="75">
        <f t="shared" si="91"/>
        <v>20.673389665600002</v>
      </c>
      <c r="AB459" s="76" t="str">
        <f t="shared" si="92"/>
        <v>Costo eficiente: se está gastando menos de lo presupuestado</v>
      </c>
      <c r="AC459" s="76">
        <f t="shared" si="93"/>
        <v>1</v>
      </c>
      <c r="AD459" s="76" t="str">
        <f t="shared" si="94"/>
        <v>Proyecto a tiempo según lo planificado</v>
      </c>
      <c r="AE459" s="77">
        <f t="shared" si="95"/>
        <v>178571428.57142857</v>
      </c>
      <c r="AF459" s="77">
        <f t="shared" si="96"/>
        <v>-3513105297.4285712</v>
      </c>
      <c r="AG459" s="78" t="str">
        <f>VLOOKUP(Indicador!E413,[1]Diccionario!C$1:AC$150,27,0)</f>
        <v>https://growdatasas.sharepoint.com/:x:/r/sites/Gestiondocumental/Administrativa/GD/Financiera/_layouts/15/Doc.aspx?sourcedoc=%7B9C76270D-595C-496E-97BB-8004054AF14A%7D&amp;file=20251301%20MODELO%20FINANCIERO%20REFERENCIA%20V7.4_ADRES_2A%C3%91OS_VF.xlsm&amp;action=default&amp;mobileredirect=true</v>
      </c>
      <c r="AH459" s="78">
        <v>1</v>
      </c>
      <c r="AI459" s="78">
        <v>1</v>
      </c>
      <c r="AJ459" s="78"/>
      <c r="AK459" s="78" t="s">
        <v>319</v>
      </c>
    </row>
    <row r="460" spans="1:37" ht="18.75" customHeight="1" x14ac:dyDescent="0.25">
      <c r="A460" s="64">
        <v>2025</v>
      </c>
      <c r="B460" s="65" t="s">
        <v>56</v>
      </c>
      <c r="C460" s="66" t="s">
        <v>335</v>
      </c>
      <c r="D460" s="67">
        <v>45915.66671759259</v>
      </c>
      <c r="E460" s="66" t="s">
        <v>336</v>
      </c>
      <c r="F460" s="66" t="s">
        <v>337</v>
      </c>
      <c r="G460" s="66" t="s">
        <v>338</v>
      </c>
      <c r="H460" s="66" t="s">
        <v>339</v>
      </c>
      <c r="I460" s="66" t="s">
        <v>43</v>
      </c>
      <c r="J460" s="66" t="s">
        <v>340</v>
      </c>
      <c r="K460" s="66" t="s">
        <v>45</v>
      </c>
      <c r="L460" s="68">
        <f>VLOOKUP(E460,[1]Diccionario!C$2:AC$150,22,0)</f>
        <v>3691676726</v>
      </c>
      <c r="M460" s="69">
        <f>VLOOKUP(E460,[1]Diccionario!C$2:AC$150,24,0)</f>
        <v>45905</v>
      </c>
      <c r="N460" s="70">
        <f>VLOOKUP(E460,[1]Diccionario!C$2:AC$150,25,0)</f>
        <v>46757</v>
      </c>
      <c r="O460" s="71">
        <f>VLOOKUP(E460,[1]Diccionario!C$2:AC$150,26,0)</f>
        <v>28</v>
      </c>
      <c r="P460" s="71">
        <f t="shared" si="86"/>
        <v>-25</v>
      </c>
      <c r="Q460" s="71">
        <v>3</v>
      </c>
      <c r="R460" s="66">
        <v>23</v>
      </c>
      <c r="S460" s="72">
        <v>0.11</v>
      </c>
      <c r="T460" s="72">
        <v>0.11</v>
      </c>
      <c r="U460" s="73">
        <f>U459+TablaIndicador[[#This Row],[Costo Mensual]]</f>
        <v>26258716</v>
      </c>
      <c r="V460" s="74">
        <v>13758716</v>
      </c>
      <c r="W460" s="73">
        <f t="shared" si="87"/>
        <v>406084439.86000001</v>
      </c>
      <c r="X460" s="73">
        <f t="shared" si="88"/>
        <v>406084439.86000001</v>
      </c>
      <c r="Y460" s="73">
        <f t="shared" si="89"/>
        <v>379825723.86000001</v>
      </c>
      <c r="Z460" s="73">
        <f t="shared" si="90"/>
        <v>0</v>
      </c>
      <c r="AA460" s="75">
        <f t="shared" si="91"/>
        <v>15.464748537590339</v>
      </c>
      <c r="AB460" s="76" t="str">
        <f t="shared" si="92"/>
        <v>Costo eficiente: se está gastando menos de lo presupuestado</v>
      </c>
      <c r="AC460" s="76">
        <f t="shared" si="93"/>
        <v>1</v>
      </c>
      <c r="AD460" s="76" t="str">
        <f t="shared" si="94"/>
        <v>Proyecto a tiempo según lo planificado</v>
      </c>
      <c r="AE460" s="77">
        <f t="shared" si="95"/>
        <v>238715599.99999997</v>
      </c>
      <c r="AF460" s="77">
        <f t="shared" si="96"/>
        <v>-3452961126</v>
      </c>
      <c r="AG460" s="78" t="str">
        <f>VLOOKUP(Indicador!E414,[1]Diccionario!C$1:AC$150,27,0)</f>
        <v>https://growdatasas.sharepoint.com/:x:/r/sites/Gestiondocumental/Administrativa/GD/Financiera/_layouts/15/Doc.aspx?sourcedoc=%7B9C76270D-595C-496E-97BB-8004054AF14A%7D&amp;file=20251301%20MODELO%20FINANCIERO%20REFERENCIA%20V7.4_ADRES_2A%C3%91OS_VF.xlsm&amp;action=default&amp;mobileredirect=true</v>
      </c>
      <c r="AH460" s="78">
        <v>1</v>
      </c>
      <c r="AI460" s="78">
        <v>1</v>
      </c>
      <c r="AJ460" s="78"/>
      <c r="AK460" s="78" t="s">
        <v>319</v>
      </c>
    </row>
    <row r="461" spans="1:37" ht="18.75" customHeight="1" x14ac:dyDescent="0.25">
      <c r="A461" s="64">
        <v>2025</v>
      </c>
      <c r="B461" s="65" t="s">
        <v>57</v>
      </c>
      <c r="C461" s="66" t="s">
        <v>335</v>
      </c>
      <c r="D461" s="67">
        <v>45915.66671759259</v>
      </c>
      <c r="E461" s="66" t="s">
        <v>336</v>
      </c>
      <c r="F461" s="66" t="s">
        <v>337</v>
      </c>
      <c r="G461" s="66" t="s">
        <v>338</v>
      </c>
      <c r="H461" s="66" t="s">
        <v>339</v>
      </c>
      <c r="I461" s="66" t="s">
        <v>43</v>
      </c>
      <c r="J461" s="66" t="s">
        <v>340</v>
      </c>
      <c r="K461" s="66" t="s">
        <v>45</v>
      </c>
      <c r="L461" s="68">
        <f>VLOOKUP(E461,[1]Diccionario!C$2:AC$150,22,0)</f>
        <v>3691676726</v>
      </c>
      <c r="M461" s="69">
        <f>VLOOKUP(E461,[1]Diccionario!C$2:AC$150,24,0)</f>
        <v>45905</v>
      </c>
      <c r="N461" s="70">
        <f>VLOOKUP(E461,[1]Diccionario!C$2:AC$150,25,0)</f>
        <v>46757</v>
      </c>
      <c r="O461" s="71">
        <f>VLOOKUP(E461,[1]Diccionario!C$2:AC$150,26,0)</f>
        <v>28</v>
      </c>
      <c r="P461" s="71">
        <f t="shared" si="86"/>
        <v>-24</v>
      </c>
      <c r="Q461" s="71">
        <v>4</v>
      </c>
      <c r="R461" s="66">
        <v>23</v>
      </c>
      <c r="S461" s="72">
        <v>0.13666666666666699</v>
      </c>
      <c r="T461" s="72">
        <v>0.13666666666666699</v>
      </c>
      <c r="U461" s="73">
        <f>U460+TablaIndicador[[#This Row],[Costo Mensual]]</f>
        <v>83601420</v>
      </c>
      <c r="V461" s="74">
        <v>57342704</v>
      </c>
      <c r="W461" s="73">
        <f t="shared" si="87"/>
        <v>504529152.55333453</v>
      </c>
      <c r="X461" s="73">
        <f t="shared" si="88"/>
        <v>504529152.55333453</v>
      </c>
      <c r="Y461" s="73">
        <f t="shared" si="89"/>
        <v>420927732.55333453</v>
      </c>
      <c r="Z461" s="73">
        <f t="shared" si="90"/>
        <v>0</v>
      </c>
      <c r="AA461" s="75">
        <f t="shared" si="91"/>
        <v>6.034935202695535</v>
      </c>
      <c r="AB461" s="76" t="str">
        <f t="shared" si="92"/>
        <v>Costo eficiente: se está gastando menos de lo presupuestado</v>
      </c>
      <c r="AC461" s="76">
        <f t="shared" si="93"/>
        <v>1</v>
      </c>
      <c r="AD461" s="76" t="str">
        <f t="shared" si="94"/>
        <v>Proyecto a tiempo según lo planificado</v>
      </c>
      <c r="AE461" s="77">
        <f t="shared" si="95"/>
        <v>611717707.31707168</v>
      </c>
      <c r="AF461" s="77">
        <f t="shared" si="96"/>
        <v>-3079959018.6829281</v>
      </c>
      <c r="AG461" s="78" t="str">
        <f>VLOOKUP(Indicador!E415,[1]Diccionario!C$1:AC$150,27,0)</f>
        <v>https://growdatasas.sharepoint.com/:x:/r/sites/Gestiondocumental/Administrativa/GD/Financiera/_layouts/15/Doc.aspx?sourcedoc=%7B9C76270D-595C-496E-97BB-8004054AF14A%7D&amp;file=20251301%20MODELO%20FINANCIERO%20REFERENCIA%20V7.4_ADRES_2A%C3%91OS_VF.xlsm&amp;action=default&amp;mobileredirect=true</v>
      </c>
      <c r="AH461" s="78">
        <v>1</v>
      </c>
      <c r="AI461" s="78">
        <v>1</v>
      </c>
      <c r="AJ461" s="78"/>
      <c r="AK461" s="78" t="s">
        <v>319</v>
      </c>
    </row>
    <row r="462" spans="1:37" ht="18.75" customHeight="1" x14ac:dyDescent="0.25">
      <c r="A462" s="64">
        <v>2026</v>
      </c>
      <c r="B462" s="65" t="s">
        <v>37</v>
      </c>
      <c r="C462" s="66" t="s">
        <v>335</v>
      </c>
      <c r="D462" s="67">
        <v>45915.66671759259</v>
      </c>
      <c r="E462" s="66" t="s">
        <v>336</v>
      </c>
      <c r="F462" s="66" t="s">
        <v>337</v>
      </c>
      <c r="G462" s="66" t="s">
        <v>338</v>
      </c>
      <c r="H462" s="66" t="s">
        <v>339</v>
      </c>
      <c r="I462" s="66" t="s">
        <v>43</v>
      </c>
      <c r="J462" s="66" t="s">
        <v>340</v>
      </c>
      <c r="K462" s="66" t="s">
        <v>45</v>
      </c>
      <c r="L462" s="68">
        <f>VLOOKUP(E462,[1]Diccionario!C$2:AC$150,22,0)</f>
        <v>3691676726</v>
      </c>
      <c r="M462" s="69">
        <f>VLOOKUP(E462,[1]Diccionario!C$2:AC$150,24,0)</f>
        <v>45905</v>
      </c>
      <c r="N462" s="70">
        <f>VLOOKUP(E462,[1]Diccionario!C$2:AC$150,25,0)</f>
        <v>46757</v>
      </c>
      <c r="O462" s="71">
        <f>VLOOKUP(E462,[1]Diccionario!C$2:AC$150,26,0)</f>
        <v>28</v>
      </c>
      <c r="P462" s="71">
        <f t="shared" si="86"/>
        <v>-23</v>
      </c>
      <c r="Q462" s="71">
        <v>5</v>
      </c>
      <c r="R462" s="66">
        <v>23</v>
      </c>
      <c r="S462" s="72">
        <v>0.16666666666666699</v>
      </c>
      <c r="T462" s="72">
        <v>0.16666666666666699</v>
      </c>
      <c r="U462" s="73">
        <f>U461+TablaIndicador[[#This Row],[Costo Mensual]]</f>
        <v>81742620</v>
      </c>
      <c r="V462" s="74">
        <v>-1858800</v>
      </c>
      <c r="W462" s="73">
        <f t="shared" si="87"/>
        <v>615279454.33333457</v>
      </c>
      <c r="X462" s="73">
        <f t="shared" si="88"/>
        <v>615279454.33333457</v>
      </c>
      <c r="Y462" s="73">
        <f t="shared" si="89"/>
        <v>533536834.33333457</v>
      </c>
      <c r="Z462" s="73">
        <f t="shared" si="90"/>
        <v>0</v>
      </c>
      <c r="AA462" s="75">
        <f t="shared" si="91"/>
        <v>7.5270336861399176</v>
      </c>
      <c r="AB462" s="76" t="str">
        <f t="shared" si="92"/>
        <v>Costo eficiente: se está gastando menos de lo presupuestado</v>
      </c>
      <c r="AC462" s="76">
        <f t="shared" si="93"/>
        <v>1</v>
      </c>
      <c r="AD462" s="76" t="str">
        <f t="shared" si="94"/>
        <v>Proyecto a tiempo según lo planificado</v>
      </c>
      <c r="AE462" s="77">
        <f t="shared" si="95"/>
        <v>490455719.99999905</v>
      </c>
      <c r="AF462" s="77">
        <f t="shared" si="96"/>
        <v>-3201221006.000001</v>
      </c>
      <c r="AG462" s="78" t="str">
        <f>VLOOKUP(Indicador!E416,[1]Diccionario!C$1:AC$150,27,0)</f>
        <v>https://growdatasas.sharepoint.com/:x:/r/sites/Gestiondocumental/Administrativa/GD/Financiera/_layouts/15/Doc.aspx?sourcedoc=%7B7342DE4F-42D6-43D5-B227-6B91A3A42F97%7D&amp;file=MODELO%20FINANCIERO%20ANT%20DESARROLLO%2BARQ%2BIA%2022.08.25%20V4.xlsm&amp;action=default&amp;mobileredirect=true</v>
      </c>
      <c r="AH462" s="78">
        <v>1</v>
      </c>
      <c r="AI462" s="78">
        <v>1</v>
      </c>
      <c r="AJ462" s="78"/>
      <c r="AK462" s="78" t="s">
        <v>319</v>
      </c>
    </row>
    <row r="463" spans="1:37" ht="18.75" customHeight="1" x14ac:dyDescent="0.25">
      <c r="A463" s="64">
        <v>2026</v>
      </c>
      <c r="B463" s="65" t="s">
        <v>47</v>
      </c>
      <c r="C463" s="66" t="s">
        <v>335</v>
      </c>
      <c r="D463" s="67">
        <v>45915.66671759259</v>
      </c>
      <c r="E463" s="66" t="s">
        <v>336</v>
      </c>
      <c r="F463" s="66" t="s">
        <v>337</v>
      </c>
      <c r="G463" s="66" t="s">
        <v>338</v>
      </c>
      <c r="H463" s="66" t="s">
        <v>339</v>
      </c>
      <c r="I463" s="66" t="s">
        <v>43</v>
      </c>
      <c r="J463" s="66" t="s">
        <v>340</v>
      </c>
      <c r="K463" s="66" t="s">
        <v>45</v>
      </c>
      <c r="L463" s="68">
        <f>VLOOKUP(E463,[1]Diccionario!C$2:AC$150,22,0)</f>
        <v>3691676726</v>
      </c>
      <c r="M463" s="69">
        <f>VLOOKUP(E463,[1]Diccionario!C$2:AC$150,24,0)</f>
        <v>45905</v>
      </c>
      <c r="N463" s="70">
        <f>VLOOKUP(E463,[1]Diccionario!C$2:AC$150,25,0)</f>
        <v>46757</v>
      </c>
      <c r="O463" s="71">
        <f>VLOOKUP(E463,[1]Diccionario!C$2:AC$150,26,0)</f>
        <v>28</v>
      </c>
      <c r="P463" s="71">
        <f t="shared" si="86"/>
        <v>-22</v>
      </c>
      <c r="Q463" s="71">
        <v>6</v>
      </c>
      <c r="R463" s="66">
        <v>23</v>
      </c>
      <c r="S463" s="72">
        <v>0.19666666666666699</v>
      </c>
      <c r="T463" s="72">
        <v>0.22</v>
      </c>
      <c r="U463" s="73">
        <f>U462+TablaIndicador[[#This Row],[Costo Mensual]]</f>
        <v>276353027.60000002</v>
      </c>
      <c r="V463" s="74">
        <v>194610407.60000002</v>
      </c>
      <c r="W463" s="73">
        <f t="shared" si="87"/>
        <v>812168879.72000003</v>
      </c>
      <c r="X463" s="73">
        <f t="shared" si="88"/>
        <v>726029756.11333454</v>
      </c>
      <c r="Y463" s="73">
        <f t="shared" si="89"/>
        <v>535815852.12</v>
      </c>
      <c r="Z463" s="73">
        <f t="shared" si="90"/>
        <v>86139123.606665492</v>
      </c>
      <c r="AA463" s="75">
        <f t="shared" si="91"/>
        <v>2.9388817874488882</v>
      </c>
      <c r="AB463" s="76" t="str">
        <f t="shared" si="92"/>
        <v>Costo eficiente: se está gastando menos de lo presupuestado</v>
      </c>
      <c r="AC463" s="76">
        <f t="shared" si="93"/>
        <v>1.1186440677966083</v>
      </c>
      <c r="AD463" s="76" t="str">
        <f t="shared" si="94"/>
        <v>Proyecto adelantado respecto al cronograma</v>
      </c>
      <c r="AE463" s="77">
        <f t="shared" si="95"/>
        <v>1256150125.4545455</v>
      </c>
      <c r="AF463" s="77">
        <f t="shared" si="96"/>
        <v>-2435526600.5454545</v>
      </c>
      <c r="AG463" s="78" t="str">
        <f>VLOOKUP(Indicador!E417,[1]Diccionario!C$1:AC$150,27,0)</f>
        <v>https://growdatasas.sharepoint.com/:x:/r/sites/Gestiondocumental/Administrativa/GD/Financiera/_layouts/15/Doc.aspx?sourcedoc=%7B7342DE4F-42D6-43D5-B227-6B91A3A42F97%7D&amp;file=MODELO%20FINANCIERO%20ANT%20DESARROLLO%2BARQ%2BIA%2022.08.25%20V4.xlsm&amp;action=default&amp;mobileredirect=true</v>
      </c>
      <c r="AH463" s="78">
        <v>1</v>
      </c>
      <c r="AI463" s="78">
        <v>1</v>
      </c>
      <c r="AJ463" s="78"/>
      <c r="AK463" s="78" t="s">
        <v>319</v>
      </c>
    </row>
    <row r="464" spans="1:37" ht="18.75" customHeight="1" x14ac:dyDescent="0.25">
      <c r="A464" s="64">
        <v>2026</v>
      </c>
      <c r="B464" s="65" t="s">
        <v>48</v>
      </c>
      <c r="C464" s="66" t="s">
        <v>335</v>
      </c>
      <c r="D464" s="67">
        <v>45915.66671759259</v>
      </c>
      <c r="E464" s="66" t="s">
        <v>336</v>
      </c>
      <c r="F464" s="66" t="s">
        <v>337</v>
      </c>
      <c r="G464" s="66" t="s">
        <v>338</v>
      </c>
      <c r="H464" s="66" t="s">
        <v>339</v>
      </c>
      <c r="I464" s="66" t="s">
        <v>43</v>
      </c>
      <c r="J464" s="66" t="s">
        <v>340</v>
      </c>
      <c r="K464" s="66" t="s">
        <v>45</v>
      </c>
      <c r="L464" s="68">
        <f>VLOOKUP(E464,[1]Diccionario!C$2:AC$150,22,0)</f>
        <v>3691676726</v>
      </c>
      <c r="M464" s="69">
        <f>VLOOKUP(E464,[1]Diccionario!C$2:AC$150,24,0)</f>
        <v>45905</v>
      </c>
      <c r="N464" s="70">
        <f>VLOOKUP(E464,[1]Diccionario!C$2:AC$150,25,0)</f>
        <v>46757</v>
      </c>
      <c r="O464" s="71">
        <f>VLOOKUP(E464,[1]Diccionario!C$2:AC$150,26,0)</f>
        <v>28</v>
      </c>
      <c r="P464" s="71">
        <f t="shared" si="86"/>
        <v>-21</v>
      </c>
      <c r="Q464" s="71">
        <v>7</v>
      </c>
      <c r="R464" s="66">
        <v>23</v>
      </c>
      <c r="S464" s="72">
        <v>0.22666666666666699</v>
      </c>
      <c r="T464" s="72"/>
      <c r="U464" s="73">
        <f>U463+TablaIndicador[[#This Row],[Costo Mensual]]</f>
        <v>276353027.60000002</v>
      </c>
      <c r="V464" s="73">
        <v>0</v>
      </c>
      <c r="W464" s="73">
        <f t="shared" si="87"/>
        <v>0</v>
      </c>
      <c r="X464" s="73">
        <f t="shared" si="88"/>
        <v>836780057.89333451</v>
      </c>
      <c r="Y464" s="73">
        <f t="shared" si="89"/>
        <v>-276353027.60000002</v>
      </c>
      <c r="Z464" s="73">
        <f t="shared" si="90"/>
        <v>-836780057.89333451</v>
      </c>
      <c r="AA464" s="75">
        <f t="shared" si="91"/>
        <v>0</v>
      </c>
      <c r="AB464" s="76" t="str">
        <f t="shared" si="92"/>
        <v>No calculado</v>
      </c>
      <c r="AC464" s="76">
        <f t="shared" si="93"/>
        <v>0</v>
      </c>
      <c r="AD464" s="76" t="str">
        <f t="shared" si="94"/>
        <v>Sin Línea Base</v>
      </c>
      <c r="AE464" s="77">
        <f t="shared" si="95"/>
        <v>0</v>
      </c>
      <c r="AF464" s="77">
        <f t="shared" si="96"/>
        <v>-3691676726</v>
      </c>
      <c r="AG464" s="78" t="str">
        <f>VLOOKUP(Indicador!E418,[1]Diccionario!C$1:AC$150,27,0)</f>
        <v>https://growdatasas.sharepoint.com/:x:/r/sites/Gestiondocumental/Administrativa/GD/Financiera/_layouts/15/Doc.aspx?sourcedoc=%7B7342DE4F-42D6-43D5-B227-6B91A3A42F97%7D&amp;file=MODELO%20FINANCIERO%20ANT%20DESARROLLO%2BARQ%2BIA%2022.08.25%20V4.xlsm&amp;action=default&amp;mobileredirect=true</v>
      </c>
      <c r="AH464" s="78">
        <v>1</v>
      </c>
      <c r="AI464" s="78">
        <v>1</v>
      </c>
      <c r="AJ464" s="78"/>
      <c r="AK464" s="78" t="s">
        <v>319</v>
      </c>
    </row>
    <row r="465" spans="1:37" ht="18.75" customHeight="1" x14ac:dyDescent="0.25">
      <c r="A465" s="64">
        <v>2026</v>
      </c>
      <c r="B465" s="65" t="s">
        <v>49</v>
      </c>
      <c r="C465" s="66" t="s">
        <v>335</v>
      </c>
      <c r="D465" s="67">
        <v>45915.66671759259</v>
      </c>
      <c r="E465" s="66" t="s">
        <v>336</v>
      </c>
      <c r="F465" s="66" t="s">
        <v>337</v>
      </c>
      <c r="G465" s="66" t="s">
        <v>338</v>
      </c>
      <c r="H465" s="66" t="s">
        <v>339</v>
      </c>
      <c r="I465" s="66" t="s">
        <v>43</v>
      </c>
      <c r="J465" s="66" t="s">
        <v>340</v>
      </c>
      <c r="K465" s="66" t="s">
        <v>45</v>
      </c>
      <c r="L465" s="68">
        <f>VLOOKUP(E465,[1]Diccionario!C$2:AC$150,22,0)</f>
        <v>3691676726</v>
      </c>
      <c r="M465" s="69">
        <f>VLOOKUP(E465,[1]Diccionario!C$2:AC$150,24,0)</f>
        <v>45905</v>
      </c>
      <c r="N465" s="70">
        <f>VLOOKUP(E465,[1]Diccionario!C$2:AC$150,25,0)</f>
        <v>46757</v>
      </c>
      <c r="O465" s="71">
        <f>VLOOKUP(E465,[1]Diccionario!C$2:AC$150,26,0)</f>
        <v>28</v>
      </c>
      <c r="P465" s="71">
        <f t="shared" si="86"/>
        <v>-20</v>
      </c>
      <c r="Q465" s="71">
        <v>8</v>
      </c>
      <c r="R465" s="66">
        <v>23</v>
      </c>
      <c r="S465" s="72">
        <v>0.25666666666666699</v>
      </c>
      <c r="T465" s="72"/>
      <c r="U465" s="73">
        <f>U464+TablaIndicador[[#This Row],[Costo Mensual]]</f>
        <v>276353027.60000002</v>
      </c>
      <c r="V465" s="73"/>
      <c r="W465" s="73">
        <f t="shared" si="87"/>
        <v>0</v>
      </c>
      <c r="X465" s="73">
        <f t="shared" si="88"/>
        <v>947530359.67333448</v>
      </c>
      <c r="Y465" s="73">
        <f t="shared" si="89"/>
        <v>-276353027.60000002</v>
      </c>
      <c r="Z465" s="73">
        <f t="shared" si="90"/>
        <v>-947530359.67333448</v>
      </c>
      <c r="AA465" s="75">
        <f t="shared" si="91"/>
        <v>0</v>
      </c>
      <c r="AB465" s="76" t="str">
        <f t="shared" si="92"/>
        <v>No calculado</v>
      </c>
      <c r="AC465" s="76">
        <f t="shared" si="93"/>
        <v>0</v>
      </c>
      <c r="AD465" s="76" t="str">
        <f t="shared" si="94"/>
        <v>Sin Línea Base</v>
      </c>
      <c r="AE465" s="77">
        <f t="shared" si="95"/>
        <v>0</v>
      </c>
      <c r="AF465" s="77">
        <f t="shared" si="96"/>
        <v>-3691676726</v>
      </c>
      <c r="AG465" s="78" t="str">
        <f>VLOOKUP(Indicador!E419,[1]Diccionario!C$1:AC$150,27,0)</f>
        <v>https://growdatasas.sharepoint.com/:x:/r/sites/Gestiondocumental/Administrativa/GD/Financiera/_layouts/15/Doc.aspx?sourcedoc=%7B7342DE4F-42D6-43D5-B227-6B91A3A42F97%7D&amp;file=MODELO%20FINANCIERO%20ANT%20DESARROLLO%2BARQ%2BIA%2022.08.25%20V4.xlsm&amp;action=default&amp;mobileredirect=true</v>
      </c>
      <c r="AH465" s="78">
        <v>1</v>
      </c>
      <c r="AI465" s="78">
        <v>1</v>
      </c>
      <c r="AJ465" s="78"/>
      <c r="AK465" s="78" t="s">
        <v>319</v>
      </c>
    </row>
    <row r="466" spans="1:37" ht="18.75" customHeight="1" x14ac:dyDescent="0.25">
      <c r="A466" s="64">
        <v>2026</v>
      </c>
      <c r="B466" s="65" t="s">
        <v>50</v>
      </c>
      <c r="C466" s="66" t="s">
        <v>335</v>
      </c>
      <c r="D466" s="67">
        <v>45915.66671759259</v>
      </c>
      <c r="E466" s="66" t="s">
        <v>336</v>
      </c>
      <c r="F466" s="66" t="s">
        <v>337</v>
      </c>
      <c r="G466" s="66" t="s">
        <v>338</v>
      </c>
      <c r="H466" s="66" t="s">
        <v>339</v>
      </c>
      <c r="I466" s="66" t="s">
        <v>43</v>
      </c>
      <c r="J466" s="66" t="s">
        <v>340</v>
      </c>
      <c r="K466" s="66" t="s">
        <v>45</v>
      </c>
      <c r="L466" s="68">
        <f>VLOOKUP(E466,[1]Diccionario!C$2:AC$150,22,0)</f>
        <v>3691676726</v>
      </c>
      <c r="M466" s="69">
        <f>VLOOKUP(E466,[1]Diccionario!C$2:AC$150,24,0)</f>
        <v>45905</v>
      </c>
      <c r="N466" s="70">
        <f>VLOOKUP(E466,[1]Diccionario!C$2:AC$150,25,0)</f>
        <v>46757</v>
      </c>
      <c r="O466" s="71">
        <f>VLOOKUP(E466,[1]Diccionario!C$2:AC$150,26,0)</f>
        <v>28</v>
      </c>
      <c r="P466" s="71">
        <f t="shared" si="86"/>
        <v>-19</v>
      </c>
      <c r="Q466" s="71">
        <v>9</v>
      </c>
      <c r="R466" s="66">
        <v>23</v>
      </c>
      <c r="S466" s="72">
        <v>0.28666666666666701</v>
      </c>
      <c r="T466" s="72"/>
      <c r="U466" s="73">
        <f>U465+TablaIndicador[[#This Row],[Costo Mensual]]</f>
        <v>276353027.60000002</v>
      </c>
      <c r="V466" s="73"/>
      <c r="W466" s="73">
        <f t="shared" si="87"/>
        <v>0</v>
      </c>
      <c r="X466" s="73">
        <f t="shared" si="88"/>
        <v>1058280661.4533346</v>
      </c>
      <c r="Y466" s="73">
        <f t="shared" si="89"/>
        <v>-276353027.60000002</v>
      </c>
      <c r="Z466" s="73">
        <f t="shared" si="90"/>
        <v>-1058280661.4533346</v>
      </c>
      <c r="AA466" s="75">
        <f t="shared" si="91"/>
        <v>0</v>
      </c>
      <c r="AB466" s="76" t="str">
        <f t="shared" si="92"/>
        <v>No calculado</v>
      </c>
      <c r="AC466" s="76">
        <f t="shared" si="93"/>
        <v>0</v>
      </c>
      <c r="AD466" s="76" t="str">
        <f t="shared" si="94"/>
        <v>Sin Línea Base</v>
      </c>
      <c r="AE466" s="77">
        <f t="shared" si="95"/>
        <v>0</v>
      </c>
      <c r="AF466" s="77">
        <f t="shared" si="96"/>
        <v>-3691676726</v>
      </c>
      <c r="AG466" s="78" t="str">
        <f>VLOOKUP(Indicador!E420,[1]Diccionario!C$1:AC$150,27,0)</f>
        <v>https://growdatasas.sharepoint.com/:x:/r/sites/Gestiondocumental/Administrativa/GD/Financiera/_layouts/15/Doc.aspx?sourcedoc=%7B7342DE4F-42D6-43D5-B227-6B91A3A42F97%7D&amp;file=MODELO%20FINANCIERO%20ANT%20DESARROLLO%2BARQ%2BIA%2022.08.25%20V4.xlsm&amp;action=default&amp;mobileredirect=true</v>
      </c>
      <c r="AH466" s="78">
        <v>1</v>
      </c>
      <c r="AI466" s="78">
        <v>1</v>
      </c>
      <c r="AJ466" s="78"/>
      <c r="AK466" s="78" t="s">
        <v>319</v>
      </c>
    </row>
    <row r="467" spans="1:37" ht="18.75" customHeight="1" x14ac:dyDescent="0.25">
      <c r="A467" s="64">
        <v>2026</v>
      </c>
      <c r="B467" s="65" t="s">
        <v>51</v>
      </c>
      <c r="C467" s="66" t="s">
        <v>335</v>
      </c>
      <c r="D467" s="67">
        <v>45915.66671759259</v>
      </c>
      <c r="E467" s="66" t="s">
        <v>336</v>
      </c>
      <c r="F467" s="66" t="s">
        <v>337</v>
      </c>
      <c r="G467" s="66" t="s">
        <v>338</v>
      </c>
      <c r="H467" s="66" t="s">
        <v>339</v>
      </c>
      <c r="I467" s="66" t="s">
        <v>43</v>
      </c>
      <c r="J467" s="66" t="s">
        <v>340</v>
      </c>
      <c r="K467" s="66" t="s">
        <v>45</v>
      </c>
      <c r="L467" s="68">
        <f>VLOOKUP(E467,[1]Diccionario!C$2:AC$150,22,0)</f>
        <v>3691676726</v>
      </c>
      <c r="M467" s="69">
        <f>VLOOKUP(E467,[1]Diccionario!C$2:AC$150,24,0)</f>
        <v>45905</v>
      </c>
      <c r="N467" s="70">
        <f>VLOOKUP(E467,[1]Diccionario!C$2:AC$150,25,0)</f>
        <v>46757</v>
      </c>
      <c r="O467" s="71">
        <f>VLOOKUP(E467,[1]Diccionario!C$2:AC$150,26,0)</f>
        <v>28</v>
      </c>
      <c r="P467" s="71">
        <f t="shared" si="86"/>
        <v>-18</v>
      </c>
      <c r="Q467" s="71">
        <v>10</v>
      </c>
      <c r="R467" s="66">
        <v>23</v>
      </c>
      <c r="S467" s="72">
        <v>0.31666666666666698</v>
      </c>
      <c r="T467" s="72"/>
      <c r="U467" s="73">
        <f>U466+TablaIndicador[[#This Row],[Costo Mensual]]</f>
        <v>276353027.60000002</v>
      </c>
      <c r="V467" s="73"/>
      <c r="W467" s="73">
        <f t="shared" si="87"/>
        <v>0</v>
      </c>
      <c r="X467" s="73">
        <f t="shared" si="88"/>
        <v>1169030963.2333345</v>
      </c>
      <c r="Y467" s="73">
        <f t="shared" si="89"/>
        <v>-276353027.60000002</v>
      </c>
      <c r="Z467" s="73">
        <f t="shared" si="90"/>
        <v>-1169030963.2333345</v>
      </c>
      <c r="AA467" s="75">
        <f t="shared" si="91"/>
        <v>0</v>
      </c>
      <c r="AB467" s="76" t="str">
        <f t="shared" si="92"/>
        <v>No calculado</v>
      </c>
      <c r="AC467" s="76">
        <f t="shared" si="93"/>
        <v>0</v>
      </c>
      <c r="AD467" s="76" t="str">
        <f t="shared" si="94"/>
        <v>Sin Línea Base</v>
      </c>
      <c r="AE467" s="77">
        <f t="shared" si="95"/>
        <v>0</v>
      </c>
      <c r="AF467" s="77">
        <f t="shared" si="96"/>
        <v>-3691676726</v>
      </c>
      <c r="AG467" s="78" t="str">
        <f>VLOOKUP(Indicador!E421,[1]Diccionario!C$1:AC$150,27,0)</f>
        <v>https://growdatasas.sharepoint.com/:x:/r/sites/Gestiondocumental/Administrativa/GD/Financiera/_layouts/15/Doc.aspx?sourcedoc=%7B41841B21-2BE8-4447-91BA-4CA8390FA143%7D&amp;file=MODELO%20FINANCIERO%20ELECCIONES%202025%20INTEGRADO%20V3%20DEF.xlsm&amp;action=default&amp;mobileredirect=true</v>
      </c>
      <c r="AH467" s="78">
        <v>1</v>
      </c>
      <c r="AI467" s="78">
        <v>1</v>
      </c>
      <c r="AJ467" s="78"/>
      <c r="AK467" s="78" t="s">
        <v>319</v>
      </c>
    </row>
    <row r="468" spans="1:37" ht="18.75" customHeight="1" x14ac:dyDescent="0.25">
      <c r="A468" s="64">
        <v>2026</v>
      </c>
      <c r="B468" s="65" t="s">
        <v>52</v>
      </c>
      <c r="C468" s="66" t="s">
        <v>335</v>
      </c>
      <c r="D468" s="67">
        <v>45915.66671759259</v>
      </c>
      <c r="E468" s="66" t="s">
        <v>336</v>
      </c>
      <c r="F468" s="66" t="s">
        <v>337</v>
      </c>
      <c r="G468" s="66" t="s">
        <v>338</v>
      </c>
      <c r="H468" s="66" t="s">
        <v>339</v>
      </c>
      <c r="I468" s="66" t="s">
        <v>43</v>
      </c>
      <c r="J468" s="66" t="s">
        <v>340</v>
      </c>
      <c r="K468" s="66" t="s">
        <v>45</v>
      </c>
      <c r="L468" s="68">
        <f>VLOOKUP(E468,[1]Diccionario!C$2:AC$150,22,0)</f>
        <v>3691676726</v>
      </c>
      <c r="M468" s="69">
        <f>VLOOKUP(E468,[1]Diccionario!C$2:AC$150,24,0)</f>
        <v>45905</v>
      </c>
      <c r="N468" s="70">
        <f>VLOOKUP(E468,[1]Diccionario!C$2:AC$150,25,0)</f>
        <v>46757</v>
      </c>
      <c r="O468" s="71">
        <f>VLOOKUP(E468,[1]Diccionario!C$2:AC$150,26,0)</f>
        <v>28</v>
      </c>
      <c r="P468" s="71">
        <f t="shared" si="86"/>
        <v>-17</v>
      </c>
      <c r="Q468" s="71">
        <v>11</v>
      </c>
      <c r="R468" s="66">
        <v>23</v>
      </c>
      <c r="S468" s="72">
        <v>0.34666666666666701</v>
      </c>
      <c r="T468" s="72"/>
      <c r="U468" s="73">
        <f>U467+TablaIndicador[[#This Row],[Costo Mensual]]</f>
        <v>276353027.60000002</v>
      </c>
      <c r="V468" s="73"/>
      <c r="W468" s="73">
        <f t="shared" si="87"/>
        <v>0</v>
      </c>
      <c r="X468" s="73">
        <f t="shared" si="88"/>
        <v>1279781265.0133345</v>
      </c>
      <c r="Y468" s="73">
        <f t="shared" si="89"/>
        <v>-276353027.60000002</v>
      </c>
      <c r="Z468" s="73">
        <f t="shared" si="90"/>
        <v>-1279781265.0133345</v>
      </c>
      <c r="AA468" s="75">
        <f t="shared" si="91"/>
        <v>0</v>
      </c>
      <c r="AB468" s="76" t="str">
        <f t="shared" si="92"/>
        <v>No calculado</v>
      </c>
      <c r="AC468" s="76">
        <f t="shared" si="93"/>
        <v>0</v>
      </c>
      <c r="AD468" s="76" t="str">
        <f t="shared" si="94"/>
        <v>Sin Línea Base</v>
      </c>
      <c r="AE468" s="77">
        <f t="shared" si="95"/>
        <v>0</v>
      </c>
      <c r="AF468" s="77">
        <f t="shared" si="96"/>
        <v>-3691676726</v>
      </c>
      <c r="AG468" s="78" t="str">
        <f>VLOOKUP(Indicador!E422,[1]Diccionario!C$1:AC$150,27,0)</f>
        <v>https://growdatasas.sharepoint.com/:x:/r/sites/Gestiondocumental/Administrativa/GD/Financiera/_layouts/15/Doc.aspx?sourcedoc=%7B41841B21-2BE8-4447-91BA-4CA8390FA143%7D&amp;file=MODELO%20FINANCIERO%20ELECCIONES%202025%20INTEGRADO%20V3%20DEF.xlsm&amp;action=default&amp;mobileredirect=true</v>
      </c>
      <c r="AH468" s="78">
        <v>1</v>
      </c>
      <c r="AI468" s="78">
        <v>1</v>
      </c>
      <c r="AJ468" s="78"/>
      <c r="AK468" s="78" t="s">
        <v>319</v>
      </c>
    </row>
    <row r="469" spans="1:37" ht="18.75" customHeight="1" x14ac:dyDescent="0.25">
      <c r="A469" s="64">
        <v>2026</v>
      </c>
      <c r="B469" s="65" t="s">
        <v>53</v>
      </c>
      <c r="C469" s="66" t="s">
        <v>335</v>
      </c>
      <c r="D469" s="67">
        <v>45915.66671759259</v>
      </c>
      <c r="E469" s="66" t="s">
        <v>336</v>
      </c>
      <c r="F469" s="66" t="s">
        <v>337</v>
      </c>
      <c r="G469" s="66" t="s">
        <v>338</v>
      </c>
      <c r="H469" s="66" t="s">
        <v>339</v>
      </c>
      <c r="I469" s="66" t="s">
        <v>43</v>
      </c>
      <c r="J469" s="66" t="s">
        <v>340</v>
      </c>
      <c r="K469" s="66" t="s">
        <v>45</v>
      </c>
      <c r="L469" s="68">
        <f>VLOOKUP(E469,[1]Diccionario!C$2:AC$150,22,0)</f>
        <v>3691676726</v>
      </c>
      <c r="M469" s="69">
        <f>VLOOKUP(E469,[1]Diccionario!C$2:AC$150,24,0)</f>
        <v>45905</v>
      </c>
      <c r="N469" s="70">
        <f>VLOOKUP(E469,[1]Diccionario!C$2:AC$150,25,0)</f>
        <v>46757</v>
      </c>
      <c r="O469" s="71">
        <f>VLOOKUP(E469,[1]Diccionario!C$2:AC$150,26,0)</f>
        <v>28</v>
      </c>
      <c r="P469" s="71">
        <f t="shared" si="86"/>
        <v>-16</v>
      </c>
      <c r="Q469" s="71">
        <v>12</v>
      </c>
      <c r="R469" s="66">
        <v>23</v>
      </c>
      <c r="S469" s="72">
        <v>0.37666666666666698</v>
      </c>
      <c r="T469" s="72"/>
      <c r="U469" s="73">
        <f>U468+TablaIndicador[[#This Row],[Costo Mensual]]</f>
        <v>276353027.60000002</v>
      </c>
      <c r="V469" s="73"/>
      <c r="W469" s="73">
        <f t="shared" si="87"/>
        <v>0</v>
      </c>
      <c r="X469" s="73">
        <f t="shared" si="88"/>
        <v>1390531566.7933345</v>
      </c>
      <c r="Y469" s="73">
        <f t="shared" si="89"/>
        <v>-276353027.60000002</v>
      </c>
      <c r="Z469" s="73">
        <f t="shared" si="90"/>
        <v>-1390531566.7933345</v>
      </c>
      <c r="AA469" s="75">
        <f t="shared" si="91"/>
        <v>0</v>
      </c>
      <c r="AB469" s="76" t="str">
        <f t="shared" si="92"/>
        <v>No calculado</v>
      </c>
      <c r="AC469" s="76">
        <f t="shared" si="93"/>
        <v>0</v>
      </c>
      <c r="AD469" s="76" t="str">
        <f t="shared" si="94"/>
        <v>Sin Línea Base</v>
      </c>
      <c r="AE469" s="77">
        <f t="shared" si="95"/>
        <v>0</v>
      </c>
      <c r="AF469" s="77">
        <f t="shared" si="96"/>
        <v>-3691676726</v>
      </c>
      <c r="AG469" s="78" t="str">
        <f>VLOOKUP(Indicador!E423,[1]Diccionario!C$1:AC$150,27,0)</f>
        <v>https://growdatasas.sharepoint.com/:x:/r/sites/Gestiondocumental/Administrativa/GD/Financiera/_layouts/15/Doc.aspx?sourcedoc=%7B41841B21-2BE8-4447-91BA-4CA8390FA143%7D&amp;file=MODELO%20FINANCIERO%20ELECCIONES%202025%20INTEGRADO%20V3%20DEF.xlsm&amp;action=default&amp;mobileredirect=true</v>
      </c>
      <c r="AH469" s="78">
        <v>1</v>
      </c>
      <c r="AI469" s="78">
        <v>1</v>
      </c>
      <c r="AJ469" s="78"/>
      <c r="AK469" s="78" t="s">
        <v>319</v>
      </c>
    </row>
    <row r="470" spans="1:37" ht="18.75" customHeight="1" x14ac:dyDescent="0.25">
      <c r="A470" s="64">
        <v>2026</v>
      </c>
      <c r="B470" s="65" t="s">
        <v>54</v>
      </c>
      <c r="C470" s="66" t="s">
        <v>335</v>
      </c>
      <c r="D470" s="67">
        <v>45915.66671759259</v>
      </c>
      <c r="E470" s="66" t="s">
        <v>336</v>
      </c>
      <c r="F470" s="66" t="s">
        <v>337</v>
      </c>
      <c r="G470" s="66" t="s">
        <v>338</v>
      </c>
      <c r="H470" s="66" t="s">
        <v>339</v>
      </c>
      <c r="I470" s="66" t="s">
        <v>43</v>
      </c>
      <c r="J470" s="66" t="s">
        <v>340</v>
      </c>
      <c r="K470" s="66" t="s">
        <v>45</v>
      </c>
      <c r="L470" s="68">
        <f>VLOOKUP(E470,[1]Diccionario!C$2:AC$150,22,0)</f>
        <v>3691676726</v>
      </c>
      <c r="M470" s="69">
        <f>VLOOKUP(E470,[1]Diccionario!C$2:AC$150,24,0)</f>
        <v>45905</v>
      </c>
      <c r="N470" s="70">
        <f>VLOOKUP(E470,[1]Diccionario!C$2:AC$150,25,0)</f>
        <v>46757</v>
      </c>
      <c r="O470" s="71">
        <f>VLOOKUP(E470,[1]Diccionario!C$2:AC$150,26,0)</f>
        <v>28</v>
      </c>
      <c r="P470" s="71">
        <f t="shared" si="86"/>
        <v>-15</v>
      </c>
      <c r="Q470" s="71">
        <v>13</v>
      </c>
      <c r="R470" s="66">
        <v>23</v>
      </c>
      <c r="S470" s="72">
        <v>0.40666666666666701</v>
      </c>
      <c r="T470" s="72"/>
      <c r="U470" s="73">
        <f>U469+TablaIndicador[[#This Row],[Costo Mensual]]</f>
        <v>276353027.60000002</v>
      </c>
      <c r="V470" s="73"/>
      <c r="W470" s="73">
        <f t="shared" si="87"/>
        <v>0</v>
      </c>
      <c r="X470" s="73">
        <f t="shared" si="88"/>
        <v>1501281868.5733347</v>
      </c>
      <c r="Y470" s="73">
        <f t="shared" si="89"/>
        <v>-276353027.60000002</v>
      </c>
      <c r="Z470" s="73">
        <f t="shared" si="90"/>
        <v>-1501281868.5733347</v>
      </c>
      <c r="AA470" s="75">
        <f t="shared" si="91"/>
        <v>0</v>
      </c>
      <c r="AB470" s="76" t="str">
        <f t="shared" si="92"/>
        <v>No calculado</v>
      </c>
      <c r="AC470" s="76">
        <f t="shared" si="93"/>
        <v>0</v>
      </c>
      <c r="AD470" s="76" t="str">
        <f t="shared" si="94"/>
        <v>Sin Línea Base</v>
      </c>
      <c r="AE470" s="77">
        <f t="shared" si="95"/>
        <v>0</v>
      </c>
      <c r="AF470" s="77">
        <f t="shared" si="96"/>
        <v>-3691676726</v>
      </c>
      <c r="AG470" s="78" t="str">
        <f>VLOOKUP(Indicador!E424,[1]Diccionario!C$1:AC$150,27,0)</f>
        <v>https://growdatasas.sharepoint.com/:x:/r/sites/Gestiondocumental/Administrativa/GD/Financiera/_layouts/15/Doc.aspx?sourcedoc=%7B41841B21-2BE8-4447-91BA-4CA8390FA143%7D&amp;file=MODELO%20FINANCIERO%20ELECCIONES%202025%20INTEGRADO%20V3%20DEF.xlsm&amp;action=default&amp;mobileredirect=true</v>
      </c>
      <c r="AH470" s="78">
        <v>1</v>
      </c>
      <c r="AI470" s="78">
        <v>1</v>
      </c>
      <c r="AJ470" s="78"/>
      <c r="AK470" s="78" t="s">
        <v>319</v>
      </c>
    </row>
    <row r="471" spans="1:37" ht="18.75" customHeight="1" x14ac:dyDescent="0.25">
      <c r="A471" s="64">
        <v>2026</v>
      </c>
      <c r="B471" s="65" t="s">
        <v>55</v>
      </c>
      <c r="C471" s="66" t="s">
        <v>335</v>
      </c>
      <c r="D471" s="67">
        <v>45915.66671759259</v>
      </c>
      <c r="E471" s="66" t="s">
        <v>336</v>
      </c>
      <c r="F471" s="66" t="s">
        <v>337</v>
      </c>
      <c r="G471" s="66" t="s">
        <v>338</v>
      </c>
      <c r="H471" s="66" t="s">
        <v>339</v>
      </c>
      <c r="I471" s="66" t="s">
        <v>43</v>
      </c>
      <c r="J471" s="66" t="s">
        <v>340</v>
      </c>
      <c r="K471" s="66" t="s">
        <v>45</v>
      </c>
      <c r="L471" s="68">
        <f>VLOOKUP(E471,[1]Diccionario!C$2:AC$150,22,0)</f>
        <v>3691676726</v>
      </c>
      <c r="M471" s="69">
        <f>VLOOKUP(E471,[1]Diccionario!C$2:AC$150,24,0)</f>
        <v>45905</v>
      </c>
      <c r="N471" s="70">
        <f>VLOOKUP(E471,[1]Diccionario!C$2:AC$150,25,0)</f>
        <v>46757</v>
      </c>
      <c r="O471" s="71">
        <f>VLOOKUP(E471,[1]Diccionario!C$2:AC$150,26,0)</f>
        <v>28</v>
      </c>
      <c r="P471" s="71">
        <f t="shared" si="86"/>
        <v>-14</v>
      </c>
      <c r="Q471" s="71">
        <v>14</v>
      </c>
      <c r="R471" s="66">
        <v>23</v>
      </c>
      <c r="S471" s="72">
        <v>0.43666666666666698</v>
      </c>
      <c r="T471" s="72"/>
      <c r="U471" s="73">
        <f>U470+TablaIndicador[[#This Row],[Costo Mensual]]</f>
        <v>276353027.60000002</v>
      </c>
      <c r="V471" s="73"/>
      <c r="W471" s="73">
        <f t="shared" si="87"/>
        <v>0</v>
      </c>
      <c r="X471" s="73">
        <f t="shared" si="88"/>
        <v>1612032170.3533344</v>
      </c>
      <c r="Y471" s="73">
        <f t="shared" si="89"/>
        <v>-276353027.60000002</v>
      </c>
      <c r="Z471" s="73">
        <f t="shared" si="90"/>
        <v>-1612032170.3533344</v>
      </c>
      <c r="AA471" s="75">
        <f t="shared" si="91"/>
        <v>0</v>
      </c>
      <c r="AB471" s="76" t="str">
        <f t="shared" si="92"/>
        <v>No calculado</v>
      </c>
      <c r="AC471" s="76">
        <f t="shared" si="93"/>
        <v>0</v>
      </c>
      <c r="AD471" s="76" t="str">
        <f t="shared" si="94"/>
        <v>Sin Línea Base</v>
      </c>
      <c r="AE471" s="77">
        <f t="shared" si="95"/>
        <v>0</v>
      </c>
      <c r="AF471" s="77">
        <f t="shared" si="96"/>
        <v>-3691676726</v>
      </c>
      <c r="AG471" s="78" t="str">
        <f>VLOOKUP(Indicador!E425,[1]Diccionario!C$1:AC$150,27,0)</f>
        <v>https://growdatasas.sharepoint.com/:x:/r/sites/Gestiondocumental/Administrativa/GD/Financiera/_layouts/15/Doc.aspx?sourcedoc=%7B41841B21-2BE8-4447-91BA-4CA8390FA143%7D&amp;file=MODELO%20FINANCIERO%20ELECCIONES%202025%20INTEGRADO%20V3%20DEF.xlsm&amp;action=default&amp;mobileredirect=true</v>
      </c>
      <c r="AH471" s="78">
        <v>1</v>
      </c>
      <c r="AI471" s="78">
        <v>1</v>
      </c>
      <c r="AJ471" s="78"/>
      <c r="AK471" s="78" t="s">
        <v>319</v>
      </c>
    </row>
    <row r="472" spans="1:37" ht="18.75" customHeight="1" x14ac:dyDescent="0.25">
      <c r="A472" s="64">
        <v>2026</v>
      </c>
      <c r="B472" s="65" t="s">
        <v>56</v>
      </c>
      <c r="C472" s="66" t="s">
        <v>335</v>
      </c>
      <c r="D472" s="67">
        <v>45915.66671759259</v>
      </c>
      <c r="E472" s="66" t="s">
        <v>336</v>
      </c>
      <c r="F472" s="66" t="s">
        <v>337</v>
      </c>
      <c r="G472" s="66" t="s">
        <v>338</v>
      </c>
      <c r="H472" s="66" t="s">
        <v>339</v>
      </c>
      <c r="I472" s="66" t="s">
        <v>43</v>
      </c>
      <c r="J472" s="66" t="s">
        <v>340</v>
      </c>
      <c r="K472" s="66" t="s">
        <v>45</v>
      </c>
      <c r="L472" s="68">
        <f>VLOOKUP(E472,[1]Diccionario!C$2:AC$150,22,0)</f>
        <v>3691676726</v>
      </c>
      <c r="M472" s="69">
        <f>VLOOKUP(E472,[1]Diccionario!C$2:AC$150,24,0)</f>
        <v>45905</v>
      </c>
      <c r="N472" s="70">
        <f>VLOOKUP(E472,[1]Diccionario!C$2:AC$150,25,0)</f>
        <v>46757</v>
      </c>
      <c r="O472" s="71">
        <f>VLOOKUP(E472,[1]Diccionario!C$2:AC$150,26,0)</f>
        <v>28</v>
      </c>
      <c r="P472" s="71">
        <f t="shared" si="86"/>
        <v>-13</v>
      </c>
      <c r="Q472" s="71">
        <v>15</v>
      </c>
      <c r="R472" s="66">
        <v>23</v>
      </c>
      <c r="S472" s="72">
        <v>0.46666666666666701</v>
      </c>
      <c r="T472" s="72"/>
      <c r="U472" s="73">
        <f>U471+TablaIndicador[[#This Row],[Costo Mensual]]</f>
        <v>276353027.60000002</v>
      </c>
      <c r="V472" s="73"/>
      <c r="W472" s="73">
        <f t="shared" si="87"/>
        <v>0</v>
      </c>
      <c r="X472" s="73">
        <f t="shared" si="88"/>
        <v>1722782472.1333346</v>
      </c>
      <c r="Y472" s="73">
        <f t="shared" si="89"/>
        <v>-276353027.60000002</v>
      </c>
      <c r="Z472" s="73">
        <f t="shared" si="90"/>
        <v>-1722782472.1333346</v>
      </c>
      <c r="AA472" s="75">
        <f t="shared" si="91"/>
        <v>0</v>
      </c>
      <c r="AB472" s="76" t="str">
        <f t="shared" si="92"/>
        <v>No calculado</v>
      </c>
      <c r="AC472" s="76">
        <f t="shared" si="93"/>
        <v>0</v>
      </c>
      <c r="AD472" s="76" t="str">
        <f t="shared" si="94"/>
        <v>Sin Línea Base</v>
      </c>
      <c r="AE472" s="77">
        <f t="shared" si="95"/>
        <v>0</v>
      </c>
      <c r="AF472" s="77">
        <f t="shared" si="96"/>
        <v>-3691676726</v>
      </c>
      <c r="AG472" s="78" t="str">
        <f>VLOOKUP(Indicador!E426,[1]Diccionario!C$1:AC$150,27,0)</f>
        <v>https://growdatasas.sharepoint.com/:x:/r/sites/Gestiondocumental/Administrativa/GD/Financiera/_layouts/15/Doc.aspx?sourcedoc=%7B41841B21-2BE8-4447-91BA-4CA8390FA143%7D&amp;file=MODELO%20FINANCIERO%20ELECCIONES%202025%20INTEGRADO%20V3%20DEF.xlsm&amp;action=default&amp;mobileredirect=true</v>
      </c>
      <c r="AH472" s="78">
        <v>1</v>
      </c>
      <c r="AI472" s="78">
        <v>1</v>
      </c>
      <c r="AJ472" s="78"/>
      <c r="AK472" s="78" t="s">
        <v>319</v>
      </c>
    </row>
    <row r="473" spans="1:37" ht="18.75" customHeight="1" x14ac:dyDescent="0.25">
      <c r="A473" s="64">
        <v>2026</v>
      </c>
      <c r="B473" s="65" t="s">
        <v>57</v>
      </c>
      <c r="C473" s="66" t="s">
        <v>335</v>
      </c>
      <c r="D473" s="67">
        <v>45915.66671759259</v>
      </c>
      <c r="E473" s="66" t="s">
        <v>336</v>
      </c>
      <c r="F473" s="66" t="s">
        <v>337</v>
      </c>
      <c r="G473" s="66" t="s">
        <v>338</v>
      </c>
      <c r="H473" s="66" t="s">
        <v>339</v>
      </c>
      <c r="I473" s="66" t="s">
        <v>43</v>
      </c>
      <c r="J473" s="66" t="s">
        <v>340</v>
      </c>
      <c r="K473" s="66" t="s">
        <v>45</v>
      </c>
      <c r="L473" s="68">
        <f>VLOOKUP(E473,[1]Diccionario!C$2:AC$150,22,0)</f>
        <v>3691676726</v>
      </c>
      <c r="M473" s="69">
        <f>VLOOKUP(E473,[1]Diccionario!C$2:AC$150,24,0)</f>
        <v>45905</v>
      </c>
      <c r="N473" s="70">
        <f>VLOOKUP(E473,[1]Diccionario!C$2:AC$150,25,0)</f>
        <v>46757</v>
      </c>
      <c r="O473" s="71">
        <f>VLOOKUP(E473,[1]Diccionario!C$2:AC$150,26,0)</f>
        <v>28</v>
      </c>
      <c r="P473" s="71">
        <f t="shared" si="86"/>
        <v>-12</v>
      </c>
      <c r="Q473" s="71">
        <v>16</v>
      </c>
      <c r="R473" s="66">
        <v>23</v>
      </c>
      <c r="S473" s="72">
        <v>0.49666666666666698</v>
      </c>
      <c r="T473" s="72"/>
      <c r="U473" s="73">
        <f>U472+TablaIndicador[[#This Row],[Costo Mensual]]</f>
        <v>276353027.60000002</v>
      </c>
      <c r="V473" s="73"/>
      <c r="W473" s="73">
        <f t="shared" si="87"/>
        <v>0</v>
      </c>
      <c r="X473" s="73">
        <f t="shared" si="88"/>
        <v>1833532773.9133344</v>
      </c>
      <c r="Y473" s="73">
        <f t="shared" si="89"/>
        <v>-276353027.60000002</v>
      </c>
      <c r="Z473" s="73">
        <f t="shared" si="90"/>
        <v>-1833532773.9133344</v>
      </c>
      <c r="AA473" s="75">
        <f t="shared" si="91"/>
        <v>0</v>
      </c>
      <c r="AB473" s="76" t="str">
        <f t="shared" si="92"/>
        <v>No calculado</v>
      </c>
      <c r="AC473" s="76">
        <f t="shared" si="93"/>
        <v>0</v>
      </c>
      <c r="AD473" s="76" t="str">
        <f t="shared" si="94"/>
        <v>Sin Línea Base</v>
      </c>
      <c r="AE473" s="77">
        <f t="shared" si="95"/>
        <v>0</v>
      </c>
      <c r="AF473" s="77">
        <f t="shared" si="96"/>
        <v>-3691676726</v>
      </c>
      <c r="AG473" s="78" t="str">
        <f>VLOOKUP(Indicador!E427,[1]Diccionario!C$1:AC$150,27,0)</f>
        <v>https://growdatasas.sharepoint.com/:x:/r/sites/Gestiondocumental/Administrativa/GD/Financiera/_layouts/15/Doc.aspx?sourcedoc=%7B41841B21-2BE8-4447-91BA-4CA8390FA143%7D&amp;file=MODELO%20FINANCIERO%20ELECCIONES%202025%20INTEGRADO%20V3%20DEF.xlsm&amp;action=default&amp;mobileredirect=true</v>
      </c>
      <c r="AH473" s="78">
        <v>1</v>
      </c>
      <c r="AI473" s="78">
        <v>1</v>
      </c>
      <c r="AJ473" s="78"/>
      <c r="AK473" s="78" t="s">
        <v>319</v>
      </c>
    </row>
    <row r="474" spans="1:37" ht="18.75" customHeight="1" x14ac:dyDescent="0.25">
      <c r="A474" s="64">
        <v>2027</v>
      </c>
      <c r="B474" s="65" t="s">
        <v>37</v>
      </c>
      <c r="C474" s="66" t="s">
        <v>335</v>
      </c>
      <c r="D474" s="67">
        <v>45915.66671759259</v>
      </c>
      <c r="E474" s="66" t="s">
        <v>336</v>
      </c>
      <c r="F474" s="66" t="s">
        <v>337</v>
      </c>
      <c r="G474" s="66" t="s">
        <v>338</v>
      </c>
      <c r="H474" s="66" t="s">
        <v>339</v>
      </c>
      <c r="I474" s="66" t="s">
        <v>43</v>
      </c>
      <c r="J474" s="66" t="s">
        <v>340</v>
      </c>
      <c r="K474" s="66" t="s">
        <v>45</v>
      </c>
      <c r="L474" s="68">
        <f>VLOOKUP(E474,[1]Diccionario!C$2:AC$150,22,0)</f>
        <v>3691676726</v>
      </c>
      <c r="M474" s="69">
        <f>VLOOKUP(E474,[1]Diccionario!C$2:AC$150,24,0)</f>
        <v>45905</v>
      </c>
      <c r="N474" s="70">
        <f>VLOOKUP(E474,[1]Diccionario!C$2:AC$150,25,0)</f>
        <v>46757</v>
      </c>
      <c r="O474" s="71">
        <f>VLOOKUP(E474,[1]Diccionario!C$2:AC$150,26,0)</f>
        <v>28</v>
      </c>
      <c r="P474" s="71">
        <f t="shared" si="86"/>
        <v>-11</v>
      </c>
      <c r="Q474" s="71">
        <v>17</v>
      </c>
      <c r="R474" s="66">
        <v>23</v>
      </c>
      <c r="S474" s="72">
        <v>0.52666666666666695</v>
      </c>
      <c r="T474" s="72"/>
      <c r="U474" s="73">
        <f>U473+TablaIndicador[[#This Row],[Costo Mensual]]</f>
        <v>276353027.60000002</v>
      </c>
      <c r="V474" s="73"/>
      <c r="W474" s="73">
        <f t="shared" si="87"/>
        <v>0</v>
      </c>
      <c r="X474" s="73">
        <f t="shared" si="88"/>
        <v>1944283075.6933343</v>
      </c>
      <c r="Y474" s="73">
        <f t="shared" si="89"/>
        <v>-276353027.60000002</v>
      </c>
      <c r="Z474" s="73">
        <f t="shared" si="90"/>
        <v>-1944283075.6933343</v>
      </c>
      <c r="AA474" s="75">
        <f t="shared" si="91"/>
        <v>0</v>
      </c>
      <c r="AB474" s="76" t="str">
        <f t="shared" si="92"/>
        <v>No calculado</v>
      </c>
      <c r="AC474" s="76">
        <f t="shared" si="93"/>
        <v>0</v>
      </c>
      <c r="AD474" s="76" t="str">
        <f t="shared" si="94"/>
        <v>Sin Línea Base</v>
      </c>
      <c r="AE474" s="77">
        <f t="shared" si="95"/>
        <v>0</v>
      </c>
      <c r="AF474" s="77">
        <f t="shared" si="96"/>
        <v>-3691676726</v>
      </c>
      <c r="AG474" s="78" t="str">
        <f>VLOOKUP(Indicador!E428,[1]Diccionario!C$1:AC$150,27,0)</f>
        <v>https://growdatasas.sharepoint.com/:x:/r/sites/Gestiondocumental/Administrativa/GD/Financiera/_layouts/15/Doc.aspx?sourcedoc=%7B41841B21-2BE8-4447-91BA-4CA8390FA143%7D&amp;file=MODELO%20FINANCIERO%20ELECCIONES%202025%20INTEGRADO%20V3%20DEF.xlsm&amp;action=default&amp;mobileredirect=true</v>
      </c>
      <c r="AH474" s="78">
        <v>1</v>
      </c>
      <c r="AI474" s="78">
        <v>1</v>
      </c>
      <c r="AJ474" s="78"/>
      <c r="AK474" s="78" t="s">
        <v>319</v>
      </c>
    </row>
    <row r="475" spans="1:37" ht="18.75" customHeight="1" x14ac:dyDescent="0.25">
      <c r="A475" s="64">
        <v>2027</v>
      </c>
      <c r="B475" s="65" t="s">
        <v>47</v>
      </c>
      <c r="C475" s="66" t="s">
        <v>335</v>
      </c>
      <c r="D475" s="67">
        <v>45915.66671759259</v>
      </c>
      <c r="E475" s="66" t="s">
        <v>336</v>
      </c>
      <c r="F475" s="66" t="s">
        <v>337</v>
      </c>
      <c r="G475" s="66" t="s">
        <v>338</v>
      </c>
      <c r="H475" s="66" t="s">
        <v>339</v>
      </c>
      <c r="I475" s="66" t="s">
        <v>43</v>
      </c>
      <c r="J475" s="66" t="s">
        <v>340</v>
      </c>
      <c r="K475" s="66" t="s">
        <v>45</v>
      </c>
      <c r="L475" s="68">
        <f>VLOOKUP(E475,[1]Diccionario!C$2:AC$150,22,0)</f>
        <v>3691676726</v>
      </c>
      <c r="M475" s="69">
        <f>VLOOKUP(E475,[1]Diccionario!C$2:AC$150,24,0)</f>
        <v>45905</v>
      </c>
      <c r="N475" s="70">
        <f>VLOOKUP(E475,[1]Diccionario!C$2:AC$150,25,0)</f>
        <v>46757</v>
      </c>
      <c r="O475" s="71">
        <f>VLOOKUP(E475,[1]Diccionario!C$2:AC$150,26,0)</f>
        <v>28</v>
      </c>
      <c r="P475" s="71">
        <f t="shared" si="86"/>
        <v>-10</v>
      </c>
      <c r="Q475" s="71">
        <v>18</v>
      </c>
      <c r="R475" s="66">
        <v>23</v>
      </c>
      <c r="S475" s="72">
        <v>0.55666666666666698</v>
      </c>
      <c r="T475" s="72"/>
      <c r="U475" s="73">
        <f>U474+TablaIndicador[[#This Row],[Costo Mensual]]</f>
        <v>276353027.60000002</v>
      </c>
      <c r="V475" s="73"/>
      <c r="W475" s="73">
        <f t="shared" si="87"/>
        <v>0</v>
      </c>
      <c r="X475" s="73">
        <f t="shared" si="88"/>
        <v>2055033377.4733346</v>
      </c>
      <c r="Y475" s="73">
        <f t="shared" si="89"/>
        <v>-276353027.60000002</v>
      </c>
      <c r="Z475" s="73">
        <f t="shared" si="90"/>
        <v>-2055033377.4733346</v>
      </c>
      <c r="AA475" s="75">
        <f t="shared" si="91"/>
        <v>0</v>
      </c>
      <c r="AB475" s="76" t="str">
        <f t="shared" si="92"/>
        <v>No calculado</v>
      </c>
      <c r="AC475" s="76">
        <f t="shared" si="93"/>
        <v>0</v>
      </c>
      <c r="AD475" s="76" t="str">
        <f t="shared" si="94"/>
        <v>Sin Línea Base</v>
      </c>
      <c r="AE475" s="77">
        <f t="shared" si="95"/>
        <v>0</v>
      </c>
      <c r="AF475" s="77">
        <f t="shared" si="96"/>
        <v>-3691676726</v>
      </c>
      <c r="AG475" s="78" t="str">
        <f>VLOOKUP(Indicador!E429,[1]Diccionario!C$1:AC$150,27,0)</f>
        <v>https://growdatasas.sharepoint.com/:x:/r/sites/Gestiondocumental/Administrativa/GD/Financiera/_layouts/15/Doc.aspx?sourcedoc=%7B41841B21-2BE8-4447-91BA-4CA8390FA143%7D&amp;file=MODELO%20FINANCIERO%20ELECCIONES%202025%20INTEGRADO%20V3%20DEF.xlsm&amp;action=default&amp;mobileredirect=true</v>
      </c>
      <c r="AH475" s="78">
        <v>1</v>
      </c>
      <c r="AI475" s="78">
        <v>1</v>
      </c>
      <c r="AJ475" s="78"/>
      <c r="AK475" s="78" t="s">
        <v>319</v>
      </c>
    </row>
    <row r="476" spans="1:37" ht="18.75" customHeight="1" x14ac:dyDescent="0.25">
      <c r="A476" s="64">
        <v>2027</v>
      </c>
      <c r="B476" s="65" t="s">
        <v>48</v>
      </c>
      <c r="C476" s="66" t="s">
        <v>335</v>
      </c>
      <c r="D476" s="67">
        <v>45915.66671759259</v>
      </c>
      <c r="E476" s="66" t="s">
        <v>336</v>
      </c>
      <c r="F476" s="66" t="s">
        <v>337</v>
      </c>
      <c r="G476" s="66" t="s">
        <v>338</v>
      </c>
      <c r="H476" s="66" t="s">
        <v>339</v>
      </c>
      <c r="I476" s="66" t="s">
        <v>43</v>
      </c>
      <c r="J476" s="66" t="s">
        <v>340</v>
      </c>
      <c r="K476" s="66" t="s">
        <v>45</v>
      </c>
      <c r="L476" s="68">
        <f>VLOOKUP(E476,[1]Diccionario!C$2:AC$150,22,0)</f>
        <v>3691676726</v>
      </c>
      <c r="M476" s="69">
        <f>VLOOKUP(E476,[1]Diccionario!C$2:AC$150,24,0)</f>
        <v>45905</v>
      </c>
      <c r="N476" s="70">
        <f>VLOOKUP(E476,[1]Diccionario!C$2:AC$150,25,0)</f>
        <v>46757</v>
      </c>
      <c r="O476" s="71">
        <f>VLOOKUP(E476,[1]Diccionario!C$2:AC$150,26,0)</f>
        <v>28</v>
      </c>
      <c r="P476" s="71">
        <f t="shared" si="86"/>
        <v>-9</v>
      </c>
      <c r="Q476" s="71">
        <v>19</v>
      </c>
      <c r="R476" s="66">
        <v>23</v>
      </c>
      <c r="S476" s="72">
        <v>0.586666666666667</v>
      </c>
      <c r="T476" s="72"/>
      <c r="U476" s="73">
        <f>U475+TablaIndicador[[#This Row],[Costo Mensual]]</f>
        <v>276353027.60000002</v>
      </c>
      <c r="V476" s="73"/>
      <c r="W476" s="73">
        <f t="shared" si="87"/>
        <v>0</v>
      </c>
      <c r="X476" s="73">
        <f t="shared" si="88"/>
        <v>2165783679.2533345</v>
      </c>
      <c r="Y476" s="73">
        <f t="shared" si="89"/>
        <v>-276353027.60000002</v>
      </c>
      <c r="Z476" s="73">
        <f t="shared" si="90"/>
        <v>-2165783679.2533345</v>
      </c>
      <c r="AA476" s="75">
        <f t="shared" si="91"/>
        <v>0</v>
      </c>
      <c r="AB476" s="76" t="str">
        <f t="shared" si="92"/>
        <v>No calculado</v>
      </c>
      <c r="AC476" s="76">
        <f t="shared" si="93"/>
        <v>0</v>
      </c>
      <c r="AD476" s="76" t="str">
        <f t="shared" si="94"/>
        <v>Sin Línea Base</v>
      </c>
      <c r="AE476" s="77">
        <f t="shared" si="95"/>
        <v>0</v>
      </c>
      <c r="AF476" s="77">
        <f t="shared" si="96"/>
        <v>-3691676726</v>
      </c>
      <c r="AG476" s="78" t="str">
        <f>VLOOKUP(Indicador!E430,[1]Diccionario!C$1:AC$150,27,0)</f>
        <v>https://growdatasas.sharepoint.com/:x:/r/sites/Gestiondocumental/Administrativa/GD/Financiera/_layouts/15/Doc.aspx?sourcedoc=%7B41841B21-2BE8-4447-91BA-4CA8390FA143%7D&amp;file=MODELO%20FINANCIERO%20ELECCIONES%202025%20INTEGRADO%20V3%20DEF.xlsm&amp;action=default&amp;mobileredirect=true</v>
      </c>
      <c r="AH476" s="78">
        <v>1</v>
      </c>
      <c r="AI476" s="78">
        <v>1</v>
      </c>
      <c r="AJ476" s="78"/>
      <c r="AK476" s="78" t="s">
        <v>319</v>
      </c>
    </row>
    <row r="477" spans="1:37" ht="18.75" customHeight="1" x14ac:dyDescent="0.25">
      <c r="A477" s="64">
        <v>2027</v>
      </c>
      <c r="B477" s="65" t="s">
        <v>49</v>
      </c>
      <c r="C477" s="66" t="s">
        <v>335</v>
      </c>
      <c r="D477" s="67">
        <v>45915.66671759259</v>
      </c>
      <c r="E477" s="66" t="s">
        <v>336</v>
      </c>
      <c r="F477" s="66" t="s">
        <v>337</v>
      </c>
      <c r="G477" s="66" t="s">
        <v>338</v>
      </c>
      <c r="H477" s="66" t="s">
        <v>339</v>
      </c>
      <c r="I477" s="66" t="s">
        <v>43</v>
      </c>
      <c r="J477" s="66" t="s">
        <v>340</v>
      </c>
      <c r="K477" s="66" t="s">
        <v>45</v>
      </c>
      <c r="L477" s="68">
        <f>VLOOKUP(E477,[1]Diccionario!C$2:AC$150,22,0)</f>
        <v>3691676726</v>
      </c>
      <c r="M477" s="69">
        <f>VLOOKUP(E477,[1]Diccionario!C$2:AC$150,24,0)</f>
        <v>45905</v>
      </c>
      <c r="N477" s="70">
        <f>VLOOKUP(E477,[1]Diccionario!C$2:AC$150,25,0)</f>
        <v>46757</v>
      </c>
      <c r="O477" s="71">
        <f>VLOOKUP(E477,[1]Diccionario!C$2:AC$150,26,0)</f>
        <v>28</v>
      </c>
      <c r="P477" s="71">
        <f t="shared" si="86"/>
        <v>-8</v>
      </c>
      <c r="Q477" s="71">
        <v>20</v>
      </c>
      <c r="R477" s="66">
        <v>23</v>
      </c>
      <c r="S477" s="72">
        <v>0.61666666666666703</v>
      </c>
      <c r="T477" s="72"/>
      <c r="U477" s="73">
        <f>U476+TablaIndicador[[#This Row],[Costo Mensual]]</f>
        <v>276353027.60000002</v>
      </c>
      <c r="V477" s="73"/>
      <c r="W477" s="73">
        <f t="shared" si="87"/>
        <v>0</v>
      </c>
      <c r="X477" s="73">
        <f t="shared" si="88"/>
        <v>2276533981.0333347</v>
      </c>
      <c r="Y477" s="73">
        <f t="shared" si="89"/>
        <v>-276353027.60000002</v>
      </c>
      <c r="Z477" s="73">
        <f t="shared" si="90"/>
        <v>-2276533981.0333347</v>
      </c>
      <c r="AA477" s="75">
        <f t="shared" si="91"/>
        <v>0</v>
      </c>
      <c r="AB477" s="76" t="str">
        <f t="shared" si="92"/>
        <v>No calculado</v>
      </c>
      <c r="AC477" s="76">
        <f t="shared" si="93"/>
        <v>0</v>
      </c>
      <c r="AD477" s="76" t="str">
        <f t="shared" si="94"/>
        <v>Sin Línea Base</v>
      </c>
      <c r="AE477" s="77">
        <f t="shared" si="95"/>
        <v>0</v>
      </c>
      <c r="AF477" s="77">
        <f t="shared" si="96"/>
        <v>-3691676726</v>
      </c>
      <c r="AG477" s="78" t="str">
        <f>VLOOKUP(Indicador!E431,[1]Diccionario!C$1:AC$150,27,0)</f>
        <v>https://growdatasas.sharepoint.com/:x:/r/sites/Gestiondocumental/Administrativa/GD/Financiera/_layouts/15/Doc.aspx?sourcedoc=%7B41841B21-2BE8-4447-91BA-4CA8390FA143%7D&amp;file=MODELO%20FINANCIERO%20ELECCIONES%202025%20INTEGRADO%20V3%20DEF.xlsm&amp;action=default&amp;mobileredirect=true</v>
      </c>
      <c r="AH477" s="78">
        <v>1</v>
      </c>
      <c r="AI477" s="78">
        <v>1</v>
      </c>
      <c r="AJ477" s="78"/>
      <c r="AK477" s="78" t="s">
        <v>319</v>
      </c>
    </row>
    <row r="478" spans="1:37" ht="18.75" customHeight="1" x14ac:dyDescent="0.25">
      <c r="A478" s="64">
        <v>2027</v>
      </c>
      <c r="B478" s="65" t="s">
        <v>50</v>
      </c>
      <c r="C478" s="66" t="s">
        <v>335</v>
      </c>
      <c r="D478" s="67">
        <v>45915.66671759259</v>
      </c>
      <c r="E478" s="66" t="s">
        <v>336</v>
      </c>
      <c r="F478" s="66" t="s">
        <v>337</v>
      </c>
      <c r="G478" s="66" t="s">
        <v>338</v>
      </c>
      <c r="H478" s="66" t="s">
        <v>339</v>
      </c>
      <c r="I478" s="66" t="s">
        <v>43</v>
      </c>
      <c r="J478" s="66" t="s">
        <v>340</v>
      </c>
      <c r="K478" s="66" t="s">
        <v>45</v>
      </c>
      <c r="L478" s="68">
        <f>VLOOKUP(E478,[1]Diccionario!C$2:AC$150,22,0)</f>
        <v>3691676726</v>
      </c>
      <c r="M478" s="69">
        <f>VLOOKUP(E478,[1]Diccionario!C$2:AC$150,24,0)</f>
        <v>45905</v>
      </c>
      <c r="N478" s="70">
        <f>VLOOKUP(E478,[1]Diccionario!C$2:AC$150,25,0)</f>
        <v>46757</v>
      </c>
      <c r="O478" s="71">
        <f>VLOOKUP(E478,[1]Diccionario!C$2:AC$150,26,0)</f>
        <v>28</v>
      </c>
      <c r="P478" s="71">
        <f t="shared" si="86"/>
        <v>-7</v>
      </c>
      <c r="Q478" s="71">
        <v>21</v>
      </c>
      <c r="R478" s="66">
        <v>23</v>
      </c>
      <c r="S478" s="72">
        <v>0.64666666666666694</v>
      </c>
      <c r="T478" s="72"/>
      <c r="U478" s="73">
        <f>U477+TablaIndicador[[#This Row],[Costo Mensual]]</f>
        <v>276353027.60000002</v>
      </c>
      <c r="V478" s="73"/>
      <c r="W478" s="73">
        <f t="shared" si="87"/>
        <v>0</v>
      </c>
      <c r="X478" s="73">
        <f t="shared" si="88"/>
        <v>2387284282.8133345</v>
      </c>
      <c r="Y478" s="73">
        <f t="shared" si="89"/>
        <v>-276353027.60000002</v>
      </c>
      <c r="Z478" s="73">
        <f t="shared" si="90"/>
        <v>-2387284282.8133345</v>
      </c>
      <c r="AA478" s="75">
        <f t="shared" si="91"/>
        <v>0</v>
      </c>
      <c r="AB478" s="76" t="str">
        <f t="shared" si="92"/>
        <v>No calculado</v>
      </c>
      <c r="AC478" s="76">
        <f t="shared" si="93"/>
        <v>0</v>
      </c>
      <c r="AD478" s="76" t="str">
        <f t="shared" si="94"/>
        <v>Sin Línea Base</v>
      </c>
      <c r="AE478" s="77">
        <f t="shared" si="95"/>
        <v>0</v>
      </c>
      <c r="AF478" s="77">
        <f t="shared" si="96"/>
        <v>-3691676726</v>
      </c>
      <c r="AG478" s="78" t="str">
        <f>VLOOKUP(Indicador!E432,[1]Diccionario!C$1:AC$150,27,0)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478" s="78">
        <v>1</v>
      </c>
      <c r="AI478" s="78">
        <v>1</v>
      </c>
      <c r="AJ478" s="78"/>
      <c r="AK478" s="78" t="s">
        <v>319</v>
      </c>
    </row>
    <row r="479" spans="1:37" ht="18.75" customHeight="1" x14ac:dyDescent="0.25">
      <c r="A479" s="64">
        <v>2027</v>
      </c>
      <c r="B479" s="65" t="s">
        <v>51</v>
      </c>
      <c r="C479" s="66" t="s">
        <v>335</v>
      </c>
      <c r="D479" s="67">
        <v>45915.66671759259</v>
      </c>
      <c r="E479" s="66" t="s">
        <v>336</v>
      </c>
      <c r="F479" s="66" t="s">
        <v>337</v>
      </c>
      <c r="G479" s="66" t="s">
        <v>338</v>
      </c>
      <c r="H479" s="66" t="s">
        <v>339</v>
      </c>
      <c r="I479" s="66" t="s">
        <v>43</v>
      </c>
      <c r="J479" s="66" t="s">
        <v>340</v>
      </c>
      <c r="K479" s="66" t="s">
        <v>45</v>
      </c>
      <c r="L479" s="68">
        <f>VLOOKUP(E479,[1]Diccionario!C$2:AC$150,22,0)</f>
        <v>3691676726</v>
      </c>
      <c r="M479" s="69">
        <f>VLOOKUP(E479,[1]Diccionario!C$2:AC$150,24,0)</f>
        <v>45905</v>
      </c>
      <c r="N479" s="70">
        <f>VLOOKUP(E479,[1]Diccionario!C$2:AC$150,25,0)</f>
        <v>46757</v>
      </c>
      <c r="O479" s="71">
        <f>VLOOKUP(E479,[1]Diccionario!C$2:AC$150,26,0)</f>
        <v>28</v>
      </c>
      <c r="P479" s="71">
        <f t="shared" si="86"/>
        <v>-6</v>
      </c>
      <c r="Q479" s="71">
        <v>22</v>
      </c>
      <c r="R479" s="66">
        <v>23</v>
      </c>
      <c r="S479" s="72">
        <v>0.67666666666666697</v>
      </c>
      <c r="T479" s="72"/>
      <c r="U479" s="73">
        <f>U478+TablaIndicador[[#This Row],[Costo Mensual]]</f>
        <v>276353027.60000002</v>
      </c>
      <c r="V479" s="73"/>
      <c r="W479" s="73">
        <f t="shared" si="87"/>
        <v>0</v>
      </c>
      <c r="X479" s="73">
        <f t="shared" si="88"/>
        <v>2498034584.5933347</v>
      </c>
      <c r="Y479" s="73">
        <f t="shared" si="89"/>
        <v>-276353027.60000002</v>
      </c>
      <c r="Z479" s="73">
        <f t="shared" si="90"/>
        <v>-2498034584.5933347</v>
      </c>
      <c r="AA479" s="75">
        <f t="shared" si="91"/>
        <v>0</v>
      </c>
      <c r="AB479" s="76" t="str">
        <f t="shared" si="92"/>
        <v>No calculado</v>
      </c>
      <c r="AC479" s="76">
        <f t="shared" si="93"/>
        <v>0</v>
      </c>
      <c r="AD479" s="76" t="str">
        <f t="shared" si="94"/>
        <v>Sin Línea Base</v>
      </c>
      <c r="AE479" s="77">
        <f t="shared" si="95"/>
        <v>0</v>
      </c>
      <c r="AF479" s="77">
        <f t="shared" si="96"/>
        <v>-3691676726</v>
      </c>
      <c r="AG479" s="78" t="str">
        <f>VLOOKUP(Indicador!E433,[1]Diccionario!C$1:AC$150,27,0)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479" s="78">
        <v>1</v>
      </c>
      <c r="AI479" s="78">
        <v>1</v>
      </c>
      <c r="AJ479" s="78"/>
      <c r="AK479" s="78" t="s">
        <v>319</v>
      </c>
    </row>
    <row r="480" spans="1:37" ht="18.75" customHeight="1" x14ac:dyDescent="0.25">
      <c r="A480" s="64">
        <v>2027</v>
      </c>
      <c r="B480" s="65" t="s">
        <v>52</v>
      </c>
      <c r="C480" s="66" t="s">
        <v>335</v>
      </c>
      <c r="D480" s="67">
        <v>45915.66671759259</v>
      </c>
      <c r="E480" s="66" t="s">
        <v>336</v>
      </c>
      <c r="F480" s="66" t="s">
        <v>337</v>
      </c>
      <c r="G480" s="66" t="s">
        <v>338</v>
      </c>
      <c r="H480" s="66" t="s">
        <v>339</v>
      </c>
      <c r="I480" s="66" t="s">
        <v>43</v>
      </c>
      <c r="J480" s="66" t="s">
        <v>340</v>
      </c>
      <c r="K480" s="66" t="s">
        <v>45</v>
      </c>
      <c r="L480" s="68">
        <f>VLOOKUP(E480,[1]Diccionario!C$2:AC$150,22,0)</f>
        <v>3691676726</v>
      </c>
      <c r="M480" s="69">
        <f>VLOOKUP(E480,[1]Diccionario!C$2:AC$150,24,0)</f>
        <v>45905</v>
      </c>
      <c r="N480" s="70">
        <f>VLOOKUP(E480,[1]Diccionario!C$2:AC$150,25,0)</f>
        <v>46757</v>
      </c>
      <c r="O480" s="71">
        <f>VLOOKUP(E480,[1]Diccionario!C$2:AC$150,26,0)</f>
        <v>28</v>
      </c>
      <c r="P480" s="71">
        <f t="shared" si="86"/>
        <v>-5</v>
      </c>
      <c r="Q480" s="71">
        <v>23</v>
      </c>
      <c r="R480" s="66">
        <v>23</v>
      </c>
      <c r="S480" s="72">
        <v>0.706666666666667</v>
      </c>
      <c r="T480" s="72"/>
      <c r="U480" s="73">
        <f>U479+TablaIndicador[[#This Row],[Costo Mensual]]</f>
        <v>276353027.60000002</v>
      </c>
      <c r="V480" s="73"/>
      <c r="W480" s="73">
        <f t="shared" si="87"/>
        <v>0</v>
      </c>
      <c r="X480" s="73">
        <f t="shared" si="88"/>
        <v>2608784886.3733344</v>
      </c>
      <c r="Y480" s="73">
        <f t="shared" si="89"/>
        <v>-276353027.60000002</v>
      </c>
      <c r="Z480" s="73">
        <f t="shared" si="90"/>
        <v>-2608784886.3733344</v>
      </c>
      <c r="AA480" s="75">
        <f t="shared" si="91"/>
        <v>0</v>
      </c>
      <c r="AB480" s="76" t="str">
        <f t="shared" si="92"/>
        <v>No calculado</v>
      </c>
      <c r="AC480" s="76">
        <f t="shared" si="93"/>
        <v>0</v>
      </c>
      <c r="AD480" s="76" t="str">
        <f t="shared" si="94"/>
        <v>Sin Línea Base</v>
      </c>
      <c r="AE480" s="77">
        <f t="shared" si="95"/>
        <v>0</v>
      </c>
      <c r="AF480" s="77">
        <f t="shared" si="96"/>
        <v>-3691676726</v>
      </c>
      <c r="AG480" s="78" t="str">
        <f>VLOOKUP(Indicador!E434,[1]Diccionario!C$1:AC$150,27,0)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480" s="78">
        <v>1</v>
      </c>
      <c r="AI480" s="78">
        <v>1</v>
      </c>
      <c r="AJ480" s="78"/>
      <c r="AK480" s="78" t="s">
        <v>319</v>
      </c>
    </row>
    <row r="481" spans="1:37" ht="18.75" customHeight="1" x14ac:dyDescent="0.25">
      <c r="A481" s="64">
        <v>2027</v>
      </c>
      <c r="B481" s="65" t="s">
        <v>53</v>
      </c>
      <c r="C481" s="66" t="s">
        <v>335</v>
      </c>
      <c r="D481" s="67">
        <v>45915.66671759259</v>
      </c>
      <c r="E481" s="66" t="s">
        <v>336</v>
      </c>
      <c r="F481" s="66" t="s">
        <v>337</v>
      </c>
      <c r="G481" s="66" t="s">
        <v>338</v>
      </c>
      <c r="H481" s="66" t="s">
        <v>339</v>
      </c>
      <c r="I481" s="66" t="s">
        <v>43</v>
      </c>
      <c r="J481" s="66" t="s">
        <v>340</v>
      </c>
      <c r="K481" s="66" t="s">
        <v>45</v>
      </c>
      <c r="L481" s="68">
        <f>VLOOKUP(E481,[1]Diccionario!C$2:AC$150,22,0)</f>
        <v>3691676726</v>
      </c>
      <c r="M481" s="69">
        <f>VLOOKUP(E481,[1]Diccionario!C$2:AC$150,24,0)</f>
        <v>45905</v>
      </c>
      <c r="N481" s="70">
        <f>VLOOKUP(E481,[1]Diccionario!C$2:AC$150,25,0)</f>
        <v>46757</v>
      </c>
      <c r="O481" s="71">
        <f>VLOOKUP(E481,[1]Diccionario!C$2:AC$150,26,0)</f>
        <v>28</v>
      </c>
      <c r="P481" s="71">
        <f t="shared" si="86"/>
        <v>-4</v>
      </c>
      <c r="Q481" s="71">
        <v>24</v>
      </c>
      <c r="R481" s="66">
        <v>23</v>
      </c>
      <c r="S481" s="72">
        <v>0.73666666666666702</v>
      </c>
      <c r="T481" s="72"/>
      <c r="U481" s="73">
        <f>U480+TablaIndicador[[#This Row],[Costo Mensual]]</f>
        <v>276353027.60000002</v>
      </c>
      <c r="V481" s="73"/>
      <c r="W481" s="73">
        <f t="shared" si="87"/>
        <v>0</v>
      </c>
      <c r="X481" s="73">
        <f t="shared" si="88"/>
        <v>2719535188.1533346</v>
      </c>
      <c r="Y481" s="73">
        <f t="shared" si="89"/>
        <v>-276353027.60000002</v>
      </c>
      <c r="Z481" s="73">
        <f t="shared" si="90"/>
        <v>-2719535188.1533346</v>
      </c>
      <c r="AA481" s="75">
        <f t="shared" si="91"/>
        <v>0</v>
      </c>
      <c r="AB481" s="76" t="str">
        <f t="shared" si="92"/>
        <v>No calculado</v>
      </c>
      <c r="AC481" s="76">
        <f t="shared" si="93"/>
        <v>0</v>
      </c>
      <c r="AD481" s="76" t="str">
        <f t="shared" si="94"/>
        <v>Sin Línea Base</v>
      </c>
      <c r="AE481" s="77">
        <f t="shared" si="95"/>
        <v>0</v>
      </c>
      <c r="AF481" s="77">
        <f t="shared" si="96"/>
        <v>-3691676726</v>
      </c>
      <c r="AG481" s="78" t="str">
        <f>VLOOKUP(Indicador!E435,[1]Diccionario!C$1:AC$150,27,0)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481" s="78">
        <v>1</v>
      </c>
      <c r="AI481" s="78">
        <v>1</v>
      </c>
      <c r="AJ481" s="78"/>
      <c r="AK481" s="78" t="s">
        <v>319</v>
      </c>
    </row>
    <row r="482" spans="1:37" ht="18.75" customHeight="1" x14ac:dyDescent="0.25">
      <c r="A482" s="64">
        <v>2027</v>
      </c>
      <c r="B482" s="65" t="s">
        <v>54</v>
      </c>
      <c r="C482" s="66" t="s">
        <v>335</v>
      </c>
      <c r="D482" s="67">
        <v>45915.66671759259</v>
      </c>
      <c r="E482" s="66" t="s">
        <v>336</v>
      </c>
      <c r="F482" s="66" t="s">
        <v>337</v>
      </c>
      <c r="G482" s="66" t="s">
        <v>338</v>
      </c>
      <c r="H482" s="66" t="s">
        <v>339</v>
      </c>
      <c r="I482" s="66" t="s">
        <v>43</v>
      </c>
      <c r="J482" s="66" t="s">
        <v>340</v>
      </c>
      <c r="K482" s="66" t="s">
        <v>45</v>
      </c>
      <c r="L482" s="68">
        <f>VLOOKUP(E482,[1]Diccionario!C$2:AC$150,22,0)</f>
        <v>3691676726</v>
      </c>
      <c r="M482" s="69">
        <f>VLOOKUP(E482,[1]Diccionario!C$2:AC$150,24,0)</f>
        <v>45905</v>
      </c>
      <c r="N482" s="70">
        <f>VLOOKUP(E482,[1]Diccionario!C$2:AC$150,25,0)</f>
        <v>46757</v>
      </c>
      <c r="O482" s="71">
        <f>VLOOKUP(E482,[1]Diccionario!C$2:AC$150,26,0)</f>
        <v>28</v>
      </c>
      <c r="P482" s="71">
        <f t="shared" si="86"/>
        <v>-3</v>
      </c>
      <c r="Q482" s="71">
        <v>25</v>
      </c>
      <c r="R482" s="66">
        <v>23</v>
      </c>
      <c r="S482" s="72">
        <v>0.76666666666666705</v>
      </c>
      <c r="T482" s="72"/>
      <c r="U482" s="73">
        <f>U481+TablaIndicador[[#This Row],[Costo Mensual]]</f>
        <v>276353027.60000002</v>
      </c>
      <c r="V482" s="73"/>
      <c r="W482" s="73">
        <f t="shared" si="87"/>
        <v>0</v>
      </c>
      <c r="X482" s="73">
        <f t="shared" si="88"/>
        <v>2830285489.9333348</v>
      </c>
      <c r="Y482" s="73">
        <f t="shared" si="89"/>
        <v>-276353027.60000002</v>
      </c>
      <c r="Z482" s="73">
        <f t="shared" si="90"/>
        <v>-2830285489.9333348</v>
      </c>
      <c r="AA482" s="75">
        <f t="shared" si="91"/>
        <v>0</v>
      </c>
      <c r="AB482" s="76" t="str">
        <f t="shared" si="92"/>
        <v>No calculado</v>
      </c>
      <c r="AC482" s="76">
        <f t="shared" si="93"/>
        <v>0</v>
      </c>
      <c r="AD482" s="76" t="str">
        <f t="shared" si="94"/>
        <v>Sin Línea Base</v>
      </c>
      <c r="AE482" s="77">
        <f t="shared" si="95"/>
        <v>0</v>
      </c>
      <c r="AF482" s="77">
        <f t="shared" si="96"/>
        <v>-3691676726</v>
      </c>
      <c r="AG482" s="78" t="str">
        <f>VLOOKUP(Indicador!E436,[1]Diccionario!C$1:AC$150,27,0)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482" s="78">
        <v>1</v>
      </c>
      <c r="AI482" s="78">
        <v>1</v>
      </c>
      <c r="AJ482" s="78"/>
      <c r="AK482" s="78" t="s">
        <v>319</v>
      </c>
    </row>
    <row r="483" spans="1:37" ht="18.75" customHeight="1" x14ac:dyDescent="0.25">
      <c r="A483" s="64">
        <v>2027</v>
      </c>
      <c r="B483" s="65" t="s">
        <v>55</v>
      </c>
      <c r="C483" s="66" t="s">
        <v>335</v>
      </c>
      <c r="D483" s="67">
        <v>45915.66671759259</v>
      </c>
      <c r="E483" s="66" t="s">
        <v>336</v>
      </c>
      <c r="F483" s="66" t="s">
        <v>337</v>
      </c>
      <c r="G483" s="66" t="s">
        <v>338</v>
      </c>
      <c r="H483" s="66" t="s">
        <v>339</v>
      </c>
      <c r="I483" s="66" t="s">
        <v>43</v>
      </c>
      <c r="J483" s="66" t="s">
        <v>340</v>
      </c>
      <c r="K483" s="66" t="s">
        <v>45</v>
      </c>
      <c r="L483" s="68">
        <f>VLOOKUP(E483,[1]Diccionario!C$2:AC$150,22,0)</f>
        <v>3691676726</v>
      </c>
      <c r="M483" s="69">
        <f>VLOOKUP(E483,[1]Diccionario!C$2:AC$150,24,0)</f>
        <v>45905</v>
      </c>
      <c r="N483" s="70">
        <f>VLOOKUP(E483,[1]Diccionario!C$2:AC$150,25,0)</f>
        <v>46757</v>
      </c>
      <c r="O483" s="71">
        <f>VLOOKUP(E483,[1]Diccionario!C$2:AC$150,26,0)</f>
        <v>28</v>
      </c>
      <c r="P483" s="71">
        <f t="shared" si="86"/>
        <v>-2</v>
      </c>
      <c r="Q483" s="71">
        <v>26</v>
      </c>
      <c r="R483" s="66">
        <v>23</v>
      </c>
      <c r="S483" s="72">
        <v>0.79666666666666697</v>
      </c>
      <c r="T483" s="72"/>
      <c r="U483" s="73">
        <f>U482+TablaIndicador[[#This Row],[Costo Mensual]]</f>
        <v>276353027.60000002</v>
      </c>
      <c r="V483" s="73"/>
      <c r="W483" s="73">
        <f t="shared" si="87"/>
        <v>0</v>
      </c>
      <c r="X483" s="73">
        <f t="shared" si="88"/>
        <v>2941035791.7133346</v>
      </c>
      <c r="Y483" s="73">
        <f t="shared" si="89"/>
        <v>-276353027.60000002</v>
      </c>
      <c r="Z483" s="73">
        <f t="shared" si="90"/>
        <v>-2941035791.7133346</v>
      </c>
      <c r="AA483" s="75">
        <f t="shared" si="91"/>
        <v>0</v>
      </c>
      <c r="AB483" s="76" t="str">
        <f t="shared" si="92"/>
        <v>No calculado</v>
      </c>
      <c r="AC483" s="76">
        <f t="shared" si="93"/>
        <v>0</v>
      </c>
      <c r="AD483" s="76" t="str">
        <f t="shared" si="94"/>
        <v>Sin Línea Base</v>
      </c>
      <c r="AE483" s="77">
        <f t="shared" si="95"/>
        <v>0</v>
      </c>
      <c r="AF483" s="77">
        <f t="shared" si="96"/>
        <v>-3691676726</v>
      </c>
      <c r="AG483" s="78" t="str">
        <f>VLOOKUP(Indicador!E437,[1]Diccionario!C$1:AC$150,27,0)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483" s="78">
        <v>1</v>
      </c>
      <c r="AI483" s="78">
        <v>1</v>
      </c>
      <c r="AJ483" s="78"/>
      <c r="AK483" s="78" t="s">
        <v>319</v>
      </c>
    </row>
    <row r="484" spans="1:37" ht="18.75" customHeight="1" x14ac:dyDescent="0.25">
      <c r="A484" s="64">
        <v>2027</v>
      </c>
      <c r="B484" s="65" t="s">
        <v>56</v>
      </c>
      <c r="C484" s="66" t="s">
        <v>335</v>
      </c>
      <c r="D484" s="67">
        <v>45915.66671759259</v>
      </c>
      <c r="E484" s="66" t="s">
        <v>336</v>
      </c>
      <c r="F484" s="66" t="s">
        <v>337</v>
      </c>
      <c r="G484" s="66" t="s">
        <v>338</v>
      </c>
      <c r="H484" s="66" t="s">
        <v>339</v>
      </c>
      <c r="I484" s="66" t="s">
        <v>43</v>
      </c>
      <c r="J484" s="66" t="s">
        <v>340</v>
      </c>
      <c r="K484" s="66" t="s">
        <v>45</v>
      </c>
      <c r="L484" s="68">
        <f>VLOOKUP(E484,[1]Diccionario!C$2:AC$150,22,0)</f>
        <v>3691676726</v>
      </c>
      <c r="M484" s="69">
        <f>VLOOKUP(E484,[1]Diccionario!C$2:AC$150,24,0)</f>
        <v>45905</v>
      </c>
      <c r="N484" s="70">
        <f>VLOOKUP(E484,[1]Diccionario!C$2:AC$150,25,0)</f>
        <v>46757</v>
      </c>
      <c r="O484" s="71">
        <f>VLOOKUP(E484,[1]Diccionario!C$2:AC$150,26,0)</f>
        <v>28</v>
      </c>
      <c r="P484" s="71">
        <f t="shared" si="86"/>
        <v>-1</v>
      </c>
      <c r="Q484" s="71">
        <v>27</v>
      </c>
      <c r="R484" s="66">
        <v>23</v>
      </c>
      <c r="S484" s="72">
        <v>0.85</v>
      </c>
      <c r="T484" s="72"/>
      <c r="U484" s="73">
        <f>U483+TablaIndicador[[#This Row],[Costo Mensual]]</f>
        <v>276353027.60000002</v>
      </c>
      <c r="V484" s="73"/>
      <c r="W484" s="73">
        <f t="shared" si="87"/>
        <v>0</v>
      </c>
      <c r="X484" s="73">
        <f t="shared" si="88"/>
        <v>3137925217.0999999</v>
      </c>
      <c r="Y484" s="73">
        <f t="shared" si="89"/>
        <v>-276353027.60000002</v>
      </c>
      <c r="Z484" s="73">
        <f t="shared" si="90"/>
        <v>-3137925217.0999999</v>
      </c>
      <c r="AA484" s="75">
        <f t="shared" si="91"/>
        <v>0</v>
      </c>
      <c r="AB484" s="76" t="str">
        <f t="shared" si="92"/>
        <v>No calculado</v>
      </c>
      <c r="AC484" s="76">
        <f t="shared" si="93"/>
        <v>0</v>
      </c>
      <c r="AD484" s="76" t="str">
        <f t="shared" si="94"/>
        <v>Sin Línea Base</v>
      </c>
      <c r="AE484" s="77">
        <f t="shared" si="95"/>
        <v>0</v>
      </c>
      <c r="AF484" s="77">
        <f t="shared" si="96"/>
        <v>-3691676726</v>
      </c>
      <c r="AG484" s="78" t="str">
        <f>VLOOKUP(Indicador!E438,[1]Diccionario!C$1:AC$150,27,0)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484" s="78">
        <v>1</v>
      </c>
      <c r="AI484" s="78">
        <v>1</v>
      </c>
      <c r="AJ484" s="78"/>
      <c r="AK484" s="78" t="s">
        <v>319</v>
      </c>
    </row>
    <row r="485" spans="1:37" ht="18.75" customHeight="1" x14ac:dyDescent="0.25">
      <c r="A485" s="64">
        <v>2027</v>
      </c>
      <c r="B485" s="65" t="s">
        <v>57</v>
      </c>
      <c r="C485" s="66" t="s">
        <v>335</v>
      </c>
      <c r="D485" s="67">
        <v>45915.66671759259</v>
      </c>
      <c r="E485" s="66" t="s">
        <v>336</v>
      </c>
      <c r="F485" s="66" t="s">
        <v>337</v>
      </c>
      <c r="G485" s="66" t="s">
        <v>338</v>
      </c>
      <c r="H485" s="66" t="s">
        <v>339</v>
      </c>
      <c r="I485" s="66" t="s">
        <v>43</v>
      </c>
      <c r="J485" s="66" t="s">
        <v>340</v>
      </c>
      <c r="K485" s="66" t="s">
        <v>45</v>
      </c>
      <c r="L485" s="68">
        <f>VLOOKUP(E485,[1]Diccionario!C$2:AC$150,22,0)</f>
        <v>3691676726</v>
      </c>
      <c r="M485" s="69">
        <f>VLOOKUP(E485,[1]Diccionario!C$2:AC$150,24,0)</f>
        <v>45905</v>
      </c>
      <c r="N485" s="70">
        <f>VLOOKUP(E485,[1]Diccionario!C$2:AC$150,25,0)</f>
        <v>46757</v>
      </c>
      <c r="O485" s="71">
        <f>VLOOKUP(E485,[1]Diccionario!C$2:AC$150,26,0)</f>
        <v>28</v>
      </c>
      <c r="P485" s="71">
        <f t="shared" si="86"/>
        <v>0</v>
      </c>
      <c r="Q485" s="71">
        <v>28</v>
      </c>
      <c r="R485" s="66">
        <v>23</v>
      </c>
      <c r="S485" s="72">
        <v>0.9</v>
      </c>
      <c r="T485" s="72"/>
      <c r="U485" s="73">
        <f>U484+TablaIndicador[[#This Row],[Costo Mensual]]</f>
        <v>276353027.60000002</v>
      </c>
      <c r="V485" s="73"/>
      <c r="W485" s="73">
        <f t="shared" si="87"/>
        <v>0</v>
      </c>
      <c r="X485" s="73">
        <f t="shared" si="88"/>
        <v>3322509053.4000001</v>
      </c>
      <c r="Y485" s="73">
        <f t="shared" si="89"/>
        <v>-276353027.60000002</v>
      </c>
      <c r="Z485" s="73">
        <f t="shared" si="90"/>
        <v>-3322509053.4000001</v>
      </c>
      <c r="AA485" s="75">
        <f t="shared" si="91"/>
        <v>0</v>
      </c>
      <c r="AB485" s="76" t="str">
        <f t="shared" si="92"/>
        <v>No calculado</v>
      </c>
      <c r="AC485" s="76">
        <f t="shared" si="93"/>
        <v>0</v>
      </c>
      <c r="AD485" s="76" t="str">
        <f t="shared" si="94"/>
        <v>Sin Línea Base</v>
      </c>
      <c r="AE485" s="77">
        <f t="shared" si="95"/>
        <v>0</v>
      </c>
      <c r="AF485" s="77">
        <f t="shared" si="96"/>
        <v>-3691676726</v>
      </c>
      <c r="AG485" s="78" t="str">
        <f>VLOOKUP(Indicador!E439,[1]Diccionario!C$1:AC$150,27,0)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485" s="78">
        <v>1</v>
      </c>
      <c r="AI485" s="78">
        <v>1</v>
      </c>
      <c r="AJ485" s="78"/>
      <c r="AK485" s="78" t="s">
        <v>319</v>
      </c>
    </row>
    <row r="486" spans="1:37" ht="18.75" customHeight="1" x14ac:dyDescent="0.25">
      <c r="A486" s="64">
        <v>2028</v>
      </c>
      <c r="B486" s="65" t="s">
        <v>37</v>
      </c>
      <c r="C486" s="66" t="s">
        <v>335</v>
      </c>
      <c r="D486" s="67">
        <v>45915.66671759259</v>
      </c>
      <c r="E486" s="66" t="s">
        <v>336</v>
      </c>
      <c r="F486" s="66" t="s">
        <v>337</v>
      </c>
      <c r="G486" s="66" t="s">
        <v>338</v>
      </c>
      <c r="H486" s="66" t="s">
        <v>339</v>
      </c>
      <c r="I486" s="66" t="s">
        <v>43</v>
      </c>
      <c r="J486" s="66" t="s">
        <v>340</v>
      </c>
      <c r="K486" s="66" t="s">
        <v>45</v>
      </c>
      <c r="L486" s="68">
        <f>VLOOKUP(E486,[1]Diccionario!C$2:AC$150,22,0)</f>
        <v>3691676726</v>
      </c>
      <c r="M486" s="69">
        <f>VLOOKUP(E486,[1]Diccionario!C$2:AC$150,24,0)</f>
        <v>45905</v>
      </c>
      <c r="N486" s="70">
        <f>VLOOKUP(E486,[1]Diccionario!C$2:AC$150,25,0)</f>
        <v>46757</v>
      </c>
      <c r="O486" s="71">
        <f>VLOOKUP(E486,[1]Diccionario!C$2:AC$150,26,0)</f>
        <v>28</v>
      </c>
      <c r="P486" s="71">
        <f t="shared" si="86"/>
        <v>1</v>
      </c>
      <c r="Q486" s="71">
        <v>29</v>
      </c>
      <c r="R486" s="66">
        <v>23</v>
      </c>
      <c r="S486" s="72">
        <v>1</v>
      </c>
      <c r="T486" s="72"/>
      <c r="U486" s="73">
        <f>U485+TablaIndicador[[#This Row],[Costo Mensual]]</f>
        <v>276353027.60000002</v>
      </c>
      <c r="V486" s="73"/>
      <c r="W486" s="73">
        <f t="shared" si="87"/>
        <v>0</v>
      </c>
      <c r="X486" s="73">
        <f t="shared" si="88"/>
        <v>3691676726</v>
      </c>
      <c r="Y486" s="73">
        <f t="shared" si="89"/>
        <v>-276353027.60000002</v>
      </c>
      <c r="Z486" s="73">
        <f t="shared" si="90"/>
        <v>-3691676726</v>
      </c>
      <c r="AA486" s="75">
        <f t="shared" si="91"/>
        <v>0</v>
      </c>
      <c r="AB486" s="76" t="str">
        <f t="shared" si="92"/>
        <v>No calculado</v>
      </c>
      <c r="AC486" s="76">
        <f t="shared" si="93"/>
        <v>0</v>
      </c>
      <c r="AD486" s="76" t="str">
        <f t="shared" si="94"/>
        <v>Sin Línea Base</v>
      </c>
      <c r="AE486" s="77">
        <f t="shared" si="95"/>
        <v>0</v>
      </c>
      <c r="AF486" s="77">
        <f t="shared" si="96"/>
        <v>-3691676726</v>
      </c>
      <c r="AG486" s="78" t="str">
        <f>VLOOKUP(Indicador!E440,[1]Diccionario!C$1:AC$150,27,0)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486" s="78">
        <v>1</v>
      </c>
      <c r="AI486" s="78">
        <v>1</v>
      </c>
      <c r="AJ486" s="78"/>
      <c r="AK486" s="78" t="s">
        <v>319</v>
      </c>
    </row>
    <row r="487" spans="1:37" ht="18.75" customHeight="1" x14ac:dyDescent="0.25">
      <c r="A487" s="11">
        <v>2025</v>
      </c>
      <c r="B487" s="12" t="s">
        <v>55</v>
      </c>
      <c r="C487" s="15" t="s">
        <v>341</v>
      </c>
      <c r="D487" s="39">
        <v>45932.836031516206</v>
      </c>
      <c r="E487" s="15" t="s">
        <v>342</v>
      </c>
      <c r="F487" s="15" t="s">
        <v>151</v>
      </c>
      <c r="G487" s="15" t="s">
        <v>343</v>
      </c>
      <c r="H487" s="15" t="s">
        <v>344</v>
      </c>
      <c r="I487" s="15" t="s">
        <v>63</v>
      </c>
      <c r="J487" s="15" t="s">
        <v>345</v>
      </c>
      <c r="K487" s="15" t="s">
        <v>45</v>
      </c>
      <c r="L487" s="17">
        <f>VLOOKUP(E487,[1]Diccionario!C$2:AC$150,22,0)</f>
        <v>3810581437</v>
      </c>
      <c r="M487" s="18">
        <f>VLOOKUP(E487,[1]Diccionario!C$2:AC$150,24,0)</f>
        <v>45931</v>
      </c>
      <c r="N487" s="19">
        <f>VLOOKUP(E487,[1]Diccionario!C$2:AC$150,25,0)</f>
        <v>47483</v>
      </c>
      <c r="O487" s="20">
        <f>VLOOKUP(E487,[1]Diccionario!C$2:AC$150,26,0)</f>
        <v>51</v>
      </c>
      <c r="P487" s="20">
        <f t="shared" si="86"/>
        <v>-50</v>
      </c>
      <c r="Q487" s="20">
        <v>1</v>
      </c>
      <c r="R487" s="15">
        <v>47</v>
      </c>
      <c r="S487" s="21">
        <v>0.5</v>
      </c>
      <c r="T487" s="21">
        <v>0.5</v>
      </c>
      <c r="U487" s="22"/>
      <c r="V487" s="24"/>
      <c r="W487" s="24">
        <f t="shared" si="87"/>
        <v>1905290718.5</v>
      </c>
      <c r="X487" s="24">
        <f t="shared" si="88"/>
        <v>1905290718.5</v>
      </c>
      <c r="Y487" s="24">
        <f t="shared" si="89"/>
        <v>1905290718.5</v>
      </c>
      <c r="Z487" s="24">
        <f t="shared" si="90"/>
        <v>0</v>
      </c>
      <c r="AA487" s="25" t="str">
        <f t="shared" si="91"/>
        <v>No se realizó gasto en este corte</v>
      </c>
      <c r="AB487" s="26" t="str">
        <f t="shared" si="92"/>
        <v>Costo eficiente: se está gastando menos de lo presupuestado</v>
      </c>
      <c r="AC487" s="26">
        <f t="shared" si="93"/>
        <v>1</v>
      </c>
      <c r="AD487" s="26" t="str">
        <f t="shared" si="94"/>
        <v>Proyecto a tiempo según lo planificado</v>
      </c>
      <c r="AE487" s="27">
        <f t="shared" si="95"/>
        <v>0</v>
      </c>
      <c r="AF487" s="27">
        <f t="shared" si="96"/>
        <v>-3810581437</v>
      </c>
      <c r="AG487" s="28" t="str">
        <f>VLOOKUP(Indicador!E502,[1]Diccionario!C$1:AC$150,27,0)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487" s="28">
        <v>1</v>
      </c>
      <c r="AI487" s="28">
        <v>1</v>
      </c>
      <c r="AJ487" s="28"/>
      <c r="AK487" s="28"/>
    </row>
    <row r="488" spans="1:37" ht="18.75" customHeight="1" x14ac:dyDescent="0.25">
      <c r="A488" s="11">
        <v>2025</v>
      </c>
      <c r="B488" s="12" t="s">
        <v>56</v>
      </c>
      <c r="C488" s="15" t="s">
        <v>341</v>
      </c>
      <c r="D488" s="39">
        <v>45932.836031516206</v>
      </c>
      <c r="E488" s="15" t="s">
        <v>342</v>
      </c>
      <c r="F488" s="15" t="s">
        <v>151</v>
      </c>
      <c r="G488" s="15" t="s">
        <v>343</v>
      </c>
      <c r="H488" s="15" t="s">
        <v>344</v>
      </c>
      <c r="I488" s="15" t="s">
        <v>63</v>
      </c>
      <c r="J488" s="15" t="s">
        <v>345</v>
      </c>
      <c r="K488" s="15" t="s">
        <v>45</v>
      </c>
      <c r="L488" s="17">
        <f>VLOOKUP(E488,[1]Diccionario!C$2:AC$150,22,0)</f>
        <v>3810581437</v>
      </c>
      <c r="M488" s="18">
        <f>VLOOKUP(E488,[1]Diccionario!C$2:AC$150,24,0)</f>
        <v>45931</v>
      </c>
      <c r="N488" s="19">
        <f>VLOOKUP(E488,[1]Diccionario!C$2:AC$150,25,0)</f>
        <v>47483</v>
      </c>
      <c r="O488" s="20">
        <f>VLOOKUP(E488,[1]Diccionario!C$2:AC$150,26,0)</f>
        <v>51</v>
      </c>
      <c r="P488" s="20">
        <f t="shared" si="86"/>
        <v>-49</v>
      </c>
      <c r="Q488" s="20">
        <v>2</v>
      </c>
      <c r="R488" s="15">
        <v>47</v>
      </c>
      <c r="S488" s="21">
        <v>0.75</v>
      </c>
      <c r="T488" s="21">
        <v>0.75</v>
      </c>
      <c r="U488" s="22"/>
      <c r="V488" s="24"/>
      <c r="W488" s="24">
        <f t="shared" si="87"/>
        <v>2857936077.75</v>
      </c>
      <c r="X488" s="24">
        <f t="shared" si="88"/>
        <v>2857936077.75</v>
      </c>
      <c r="Y488" s="24">
        <f t="shared" si="89"/>
        <v>2857936077.75</v>
      </c>
      <c r="Z488" s="24">
        <f t="shared" si="90"/>
        <v>0</v>
      </c>
      <c r="AA488" s="25" t="str">
        <f t="shared" si="91"/>
        <v>No se realizó gasto en este corte</v>
      </c>
      <c r="AB488" s="26" t="str">
        <f t="shared" si="92"/>
        <v>Costo eficiente: se está gastando menos de lo presupuestado</v>
      </c>
      <c r="AC488" s="26">
        <f t="shared" si="93"/>
        <v>1</v>
      </c>
      <c r="AD488" s="26" t="str">
        <f t="shared" si="94"/>
        <v>Proyecto a tiempo según lo planificado</v>
      </c>
      <c r="AE488" s="27">
        <f t="shared" si="95"/>
        <v>0</v>
      </c>
      <c r="AF488" s="27">
        <f t="shared" si="96"/>
        <v>-3810581437</v>
      </c>
      <c r="AG488" s="28" t="str">
        <f>VLOOKUP(Indicador!E503,[1]Diccionario!C$1:AC$150,27,0)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488" s="28">
        <v>1</v>
      </c>
      <c r="AI488" s="28">
        <v>1</v>
      </c>
      <c r="AJ488" s="28"/>
      <c r="AK488" s="28"/>
    </row>
    <row r="489" spans="1:37" ht="18.75" customHeight="1" x14ac:dyDescent="0.25">
      <c r="A489" s="11">
        <v>2025</v>
      </c>
      <c r="B489" s="12" t="s">
        <v>57</v>
      </c>
      <c r="C489" s="15" t="s">
        <v>341</v>
      </c>
      <c r="D489" s="39">
        <v>45932.836031516206</v>
      </c>
      <c r="E489" s="15" t="s">
        <v>342</v>
      </c>
      <c r="F489" s="15" t="s">
        <v>151</v>
      </c>
      <c r="G489" s="15" t="s">
        <v>343</v>
      </c>
      <c r="H489" s="15" t="s">
        <v>344</v>
      </c>
      <c r="I489" s="15" t="s">
        <v>63</v>
      </c>
      <c r="J489" s="15" t="s">
        <v>345</v>
      </c>
      <c r="K489" s="15" t="s">
        <v>45</v>
      </c>
      <c r="L489" s="17">
        <f>VLOOKUP(E489,[1]Diccionario!C$2:AC$150,22,0)</f>
        <v>3810581437</v>
      </c>
      <c r="M489" s="18">
        <f>VLOOKUP(E489,[1]Diccionario!C$2:AC$150,24,0)</f>
        <v>45931</v>
      </c>
      <c r="N489" s="19">
        <f>VLOOKUP(E489,[1]Diccionario!C$2:AC$150,25,0)</f>
        <v>47483</v>
      </c>
      <c r="O489" s="20">
        <f>VLOOKUP(E489,[1]Diccionario!C$2:AC$150,26,0)</f>
        <v>51</v>
      </c>
      <c r="P489" s="20">
        <f t="shared" si="86"/>
        <v>-48</v>
      </c>
      <c r="Q489" s="20">
        <v>3</v>
      </c>
      <c r="R489" s="15">
        <v>47</v>
      </c>
      <c r="S489" s="62">
        <v>0.999</v>
      </c>
      <c r="T489" s="62">
        <v>0.999</v>
      </c>
      <c r="U489" s="22"/>
      <c r="V489" s="24"/>
      <c r="W489" s="24">
        <f t="shared" si="87"/>
        <v>3806770855.5630002</v>
      </c>
      <c r="X489" s="24">
        <f t="shared" si="88"/>
        <v>3806770855.5630002</v>
      </c>
      <c r="Y489" s="24">
        <f t="shared" si="89"/>
        <v>3806770855.5630002</v>
      </c>
      <c r="Z489" s="24">
        <f t="shared" si="90"/>
        <v>0</v>
      </c>
      <c r="AA489" s="25" t="str">
        <f t="shared" si="91"/>
        <v>No se realizó gasto en este corte</v>
      </c>
      <c r="AB489" s="26" t="str">
        <f t="shared" si="92"/>
        <v>Costo eficiente: se está gastando menos de lo presupuestado</v>
      </c>
      <c r="AC489" s="26">
        <f t="shared" si="93"/>
        <v>1</v>
      </c>
      <c r="AD489" s="26" t="str">
        <f t="shared" si="94"/>
        <v>Proyecto a tiempo según lo planificado</v>
      </c>
      <c r="AE489" s="27">
        <f t="shared" si="95"/>
        <v>0</v>
      </c>
      <c r="AF489" s="27">
        <f t="shared" si="96"/>
        <v>-3810581437</v>
      </c>
      <c r="AG489" s="28" t="str">
        <f>VLOOKUP(Indicador!E504,[1]Diccionario!C$1:AC$150,27,0)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489" s="28">
        <v>1</v>
      </c>
      <c r="AI489" s="28">
        <v>1</v>
      </c>
      <c r="AJ489" s="28"/>
      <c r="AK489" s="28"/>
    </row>
    <row r="490" spans="1:37" ht="18.75" customHeight="1" x14ac:dyDescent="0.25">
      <c r="A490" s="11">
        <v>2026</v>
      </c>
      <c r="B490" s="12" t="s">
        <v>37</v>
      </c>
      <c r="C490" s="15" t="s">
        <v>341</v>
      </c>
      <c r="D490" s="39">
        <v>45932.836031516206</v>
      </c>
      <c r="E490" s="15" t="s">
        <v>342</v>
      </c>
      <c r="F490" s="15" t="s">
        <v>151</v>
      </c>
      <c r="G490" s="15" t="s">
        <v>343</v>
      </c>
      <c r="H490" s="15" t="s">
        <v>344</v>
      </c>
      <c r="I490" s="15" t="s">
        <v>63</v>
      </c>
      <c r="J490" s="15" t="s">
        <v>345</v>
      </c>
      <c r="K490" s="15" t="s">
        <v>45</v>
      </c>
      <c r="L490" s="17">
        <f>VLOOKUP(E490,[1]Diccionario!C$2:AC$150,22,0)</f>
        <v>3810581437</v>
      </c>
      <c r="M490" s="18">
        <f>VLOOKUP(E490,[1]Diccionario!C$2:AC$150,24,0)</f>
        <v>45931</v>
      </c>
      <c r="N490" s="19">
        <f>VLOOKUP(E490,[1]Diccionario!C$2:AC$150,25,0)</f>
        <v>47483</v>
      </c>
      <c r="O490" s="20">
        <f>VLOOKUP(E490,[1]Diccionario!C$2:AC$150,26,0)</f>
        <v>51</v>
      </c>
      <c r="P490" s="20">
        <f t="shared" si="86"/>
        <v>-47</v>
      </c>
      <c r="Q490" s="20">
        <v>4</v>
      </c>
      <c r="R490" s="15">
        <v>47</v>
      </c>
      <c r="S490" s="62">
        <v>0.999</v>
      </c>
      <c r="T490" s="21"/>
      <c r="U490" s="22"/>
      <c r="V490" s="24"/>
      <c r="W490" s="24">
        <f t="shared" si="87"/>
        <v>0</v>
      </c>
      <c r="X490" s="22">
        <f t="shared" si="88"/>
        <v>3806770855.5630002</v>
      </c>
      <c r="Y490" s="24">
        <f t="shared" si="89"/>
        <v>0</v>
      </c>
      <c r="Z490" s="24">
        <f t="shared" si="90"/>
        <v>-3806770855.5630002</v>
      </c>
      <c r="AA490" s="25" t="str">
        <f t="shared" si="91"/>
        <v>No se realizó gasto en este corte</v>
      </c>
      <c r="AB490" s="26" t="str">
        <f t="shared" si="92"/>
        <v>Costo eficiente: se está gastando menos de lo presupuestado</v>
      </c>
      <c r="AC490" s="26">
        <f t="shared" si="93"/>
        <v>0</v>
      </c>
      <c r="AD490" s="26" t="str">
        <f t="shared" si="94"/>
        <v>Sin Línea Base</v>
      </c>
      <c r="AE490" s="27">
        <f t="shared" si="95"/>
        <v>0</v>
      </c>
      <c r="AF490" s="27">
        <f t="shared" si="96"/>
        <v>-3810581437</v>
      </c>
      <c r="AG490" s="28" t="str">
        <f>VLOOKUP(Indicador!E505,[1]Diccionario!C$1:AC$150,27,0)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490" s="28">
        <v>1</v>
      </c>
      <c r="AI490" s="28">
        <v>1</v>
      </c>
      <c r="AJ490" s="28"/>
      <c r="AK490" s="28"/>
    </row>
    <row r="491" spans="1:37" ht="18.75" customHeight="1" x14ac:dyDescent="0.25">
      <c r="A491" s="11">
        <v>2026</v>
      </c>
      <c r="B491" s="12" t="s">
        <v>47</v>
      </c>
      <c r="C491" s="15" t="s">
        <v>341</v>
      </c>
      <c r="D491" s="39">
        <v>45932.836031516206</v>
      </c>
      <c r="E491" s="15" t="s">
        <v>342</v>
      </c>
      <c r="F491" s="15" t="s">
        <v>151</v>
      </c>
      <c r="G491" s="15" t="s">
        <v>343</v>
      </c>
      <c r="H491" s="15" t="s">
        <v>344</v>
      </c>
      <c r="I491" s="15" t="s">
        <v>63</v>
      </c>
      <c r="J491" s="15" t="s">
        <v>345</v>
      </c>
      <c r="K491" s="15" t="s">
        <v>45</v>
      </c>
      <c r="L491" s="17">
        <f>VLOOKUP(E491,[1]Diccionario!C$2:AC$150,22,0)</f>
        <v>3810581437</v>
      </c>
      <c r="M491" s="18">
        <f>VLOOKUP(E491,[1]Diccionario!C$2:AC$150,24,0)</f>
        <v>45931</v>
      </c>
      <c r="N491" s="19">
        <f>VLOOKUP(E491,[1]Diccionario!C$2:AC$150,25,0)</f>
        <v>47483</v>
      </c>
      <c r="O491" s="20">
        <f>VLOOKUP(E491,[1]Diccionario!C$2:AC$150,26,0)</f>
        <v>51</v>
      </c>
      <c r="P491" s="20">
        <f t="shared" si="86"/>
        <v>-46</v>
      </c>
      <c r="Q491" s="20">
        <v>5</v>
      </c>
      <c r="R491" s="15">
        <v>47</v>
      </c>
      <c r="S491" s="62">
        <v>0.999</v>
      </c>
      <c r="T491" s="21"/>
      <c r="U491" s="22"/>
      <c r="V491" s="24"/>
      <c r="W491" s="24">
        <f t="shared" si="87"/>
        <v>0</v>
      </c>
      <c r="X491" s="24">
        <f t="shared" si="88"/>
        <v>3806770855.5630002</v>
      </c>
      <c r="Y491" s="24">
        <f t="shared" si="89"/>
        <v>0</v>
      </c>
      <c r="Z491" s="24">
        <f t="shared" si="90"/>
        <v>-3806770855.5630002</v>
      </c>
      <c r="AA491" s="25" t="str">
        <f t="shared" si="91"/>
        <v>No se realizó gasto en este corte</v>
      </c>
      <c r="AB491" s="26" t="str">
        <f t="shared" si="92"/>
        <v>Costo eficiente: se está gastando menos de lo presupuestado</v>
      </c>
      <c r="AC491" s="26">
        <f t="shared" si="93"/>
        <v>0</v>
      </c>
      <c r="AD491" s="26" t="str">
        <f t="shared" si="94"/>
        <v>Sin Línea Base</v>
      </c>
      <c r="AE491" s="27">
        <f t="shared" si="95"/>
        <v>0</v>
      </c>
      <c r="AF491" s="27">
        <f t="shared" si="96"/>
        <v>-3810581437</v>
      </c>
      <c r="AG491" s="28" t="str">
        <f>VLOOKUP(Indicador!E506,[1]Diccionario!C$1:AC$150,27,0)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491" s="28">
        <v>1</v>
      </c>
      <c r="AI491" s="28">
        <v>1</v>
      </c>
      <c r="AJ491" s="28"/>
      <c r="AK491" s="28"/>
    </row>
    <row r="492" spans="1:37" ht="18.75" customHeight="1" x14ac:dyDescent="0.25">
      <c r="A492" s="11">
        <v>2026</v>
      </c>
      <c r="B492" s="12" t="s">
        <v>48</v>
      </c>
      <c r="C492" s="15" t="s">
        <v>341</v>
      </c>
      <c r="D492" s="39">
        <v>45932.836031516206</v>
      </c>
      <c r="E492" s="15" t="s">
        <v>342</v>
      </c>
      <c r="F492" s="15" t="s">
        <v>151</v>
      </c>
      <c r="G492" s="15" t="s">
        <v>343</v>
      </c>
      <c r="H492" s="15" t="s">
        <v>344</v>
      </c>
      <c r="I492" s="15" t="s">
        <v>63</v>
      </c>
      <c r="J492" s="15" t="s">
        <v>345</v>
      </c>
      <c r="K492" s="15" t="s">
        <v>45</v>
      </c>
      <c r="L492" s="17">
        <f>VLOOKUP(E492,[1]Diccionario!C$2:AC$150,22,0)</f>
        <v>3810581437</v>
      </c>
      <c r="M492" s="18">
        <f>VLOOKUP(E492,[1]Diccionario!C$2:AC$150,24,0)</f>
        <v>45931</v>
      </c>
      <c r="N492" s="19">
        <f>VLOOKUP(E492,[1]Diccionario!C$2:AC$150,25,0)</f>
        <v>47483</v>
      </c>
      <c r="O492" s="20">
        <f>VLOOKUP(E492,[1]Diccionario!C$2:AC$150,26,0)</f>
        <v>51</v>
      </c>
      <c r="P492" s="20">
        <f t="shared" si="86"/>
        <v>-45</v>
      </c>
      <c r="Q492" s="20">
        <v>6</v>
      </c>
      <c r="R492" s="15">
        <v>47</v>
      </c>
      <c r="S492" s="62">
        <v>0.999</v>
      </c>
      <c r="T492" s="21"/>
      <c r="U492" s="22"/>
      <c r="V492" s="24"/>
      <c r="W492" s="24">
        <f t="shared" si="87"/>
        <v>0</v>
      </c>
      <c r="X492" s="24">
        <f t="shared" si="88"/>
        <v>3806770855.5630002</v>
      </c>
      <c r="Y492" s="24">
        <f t="shared" si="89"/>
        <v>0</v>
      </c>
      <c r="Z492" s="24">
        <f t="shared" si="90"/>
        <v>-3806770855.5630002</v>
      </c>
      <c r="AA492" s="25" t="str">
        <f t="shared" si="91"/>
        <v>No se realizó gasto en este corte</v>
      </c>
      <c r="AB492" s="26" t="str">
        <f t="shared" si="92"/>
        <v>Costo eficiente: se está gastando menos de lo presupuestado</v>
      </c>
      <c r="AC492" s="26">
        <f t="shared" si="93"/>
        <v>0</v>
      </c>
      <c r="AD492" s="26" t="str">
        <f t="shared" si="94"/>
        <v>Sin Línea Base</v>
      </c>
      <c r="AE492" s="27">
        <f t="shared" si="95"/>
        <v>0</v>
      </c>
      <c r="AF492" s="27">
        <f t="shared" si="96"/>
        <v>-3810581437</v>
      </c>
      <c r="AG492" s="28" t="str">
        <f>VLOOKUP(Indicador!E507,[1]Diccionario!C$1:AC$150,27,0)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492" s="28">
        <v>1</v>
      </c>
      <c r="AI492" s="28">
        <v>1</v>
      </c>
      <c r="AJ492" s="28"/>
      <c r="AK492" s="28"/>
    </row>
    <row r="493" spans="1:37" ht="18.75" customHeight="1" x14ac:dyDescent="0.25">
      <c r="A493" s="11">
        <v>2026</v>
      </c>
      <c r="B493" s="12" t="s">
        <v>49</v>
      </c>
      <c r="C493" s="15" t="s">
        <v>341</v>
      </c>
      <c r="D493" s="39">
        <v>45932.836031516206</v>
      </c>
      <c r="E493" s="15" t="s">
        <v>342</v>
      </c>
      <c r="F493" s="15" t="s">
        <v>151</v>
      </c>
      <c r="G493" s="15" t="s">
        <v>343</v>
      </c>
      <c r="H493" s="15" t="s">
        <v>344</v>
      </c>
      <c r="I493" s="15" t="s">
        <v>63</v>
      </c>
      <c r="J493" s="15" t="s">
        <v>345</v>
      </c>
      <c r="K493" s="15" t="s">
        <v>45</v>
      </c>
      <c r="L493" s="17">
        <f>VLOOKUP(E493,[1]Diccionario!C$2:AC$150,22,0)</f>
        <v>3810581437</v>
      </c>
      <c r="M493" s="18">
        <f>VLOOKUP(E493,[1]Diccionario!C$2:AC$150,24,0)</f>
        <v>45931</v>
      </c>
      <c r="N493" s="19">
        <f>VLOOKUP(E493,[1]Diccionario!C$2:AC$150,25,0)</f>
        <v>47483</v>
      </c>
      <c r="O493" s="20">
        <f>VLOOKUP(E493,[1]Diccionario!C$2:AC$150,26,0)</f>
        <v>51</v>
      </c>
      <c r="P493" s="20">
        <f t="shared" si="86"/>
        <v>-44</v>
      </c>
      <c r="Q493" s="20">
        <v>7</v>
      </c>
      <c r="R493" s="15">
        <v>47</v>
      </c>
      <c r="S493" s="62">
        <v>0.999</v>
      </c>
      <c r="T493" s="21"/>
      <c r="U493" s="22"/>
      <c r="V493" s="24"/>
      <c r="W493" s="24">
        <f t="shared" si="87"/>
        <v>0</v>
      </c>
      <c r="X493" s="24">
        <f t="shared" si="88"/>
        <v>3806770855.5630002</v>
      </c>
      <c r="Y493" s="24">
        <f t="shared" si="89"/>
        <v>0</v>
      </c>
      <c r="Z493" s="24">
        <f t="shared" si="90"/>
        <v>-3806770855.5630002</v>
      </c>
      <c r="AA493" s="25" t="str">
        <f t="shared" si="91"/>
        <v>No se realizó gasto en este corte</v>
      </c>
      <c r="AB493" s="26" t="str">
        <f t="shared" si="92"/>
        <v>Costo eficiente: se está gastando menos de lo presupuestado</v>
      </c>
      <c r="AC493" s="26">
        <f t="shared" si="93"/>
        <v>0</v>
      </c>
      <c r="AD493" s="26" t="str">
        <f t="shared" si="94"/>
        <v>Sin Línea Base</v>
      </c>
      <c r="AE493" s="27">
        <f t="shared" si="95"/>
        <v>0</v>
      </c>
      <c r="AF493" s="27">
        <f t="shared" si="96"/>
        <v>-3810581437</v>
      </c>
      <c r="AG493" s="28" t="str">
        <f>VLOOKUP(Indicador!E508,[1]Diccionario!C$1:AC$150,27,0)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493" s="28">
        <v>1</v>
      </c>
      <c r="AI493" s="28">
        <v>1</v>
      </c>
      <c r="AJ493" s="28"/>
      <c r="AK493" s="28"/>
    </row>
    <row r="494" spans="1:37" ht="18.75" customHeight="1" x14ac:dyDescent="0.25">
      <c r="A494" s="11">
        <v>2026</v>
      </c>
      <c r="B494" s="12" t="s">
        <v>50</v>
      </c>
      <c r="C494" s="15" t="s">
        <v>341</v>
      </c>
      <c r="D494" s="39">
        <v>45932.836031516206</v>
      </c>
      <c r="E494" s="15" t="s">
        <v>342</v>
      </c>
      <c r="F494" s="15" t="s">
        <v>151</v>
      </c>
      <c r="G494" s="15" t="s">
        <v>343</v>
      </c>
      <c r="H494" s="15" t="s">
        <v>344</v>
      </c>
      <c r="I494" s="15" t="s">
        <v>63</v>
      </c>
      <c r="J494" s="15" t="s">
        <v>345</v>
      </c>
      <c r="K494" s="15" t="s">
        <v>45</v>
      </c>
      <c r="L494" s="17">
        <f>VLOOKUP(E494,[1]Diccionario!C$2:AC$150,22,0)</f>
        <v>3810581437</v>
      </c>
      <c r="M494" s="18">
        <f>VLOOKUP(E494,[1]Diccionario!C$2:AC$150,24,0)</f>
        <v>45931</v>
      </c>
      <c r="N494" s="19">
        <f>VLOOKUP(E494,[1]Diccionario!C$2:AC$150,25,0)</f>
        <v>47483</v>
      </c>
      <c r="O494" s="20">
        <f>VLOOKUP(E494,[1]Diccionario!C$2:AC$150,26,0)</f>
        <v>51</v>
      </c>
      <c r="P494" s="20">
        <f t="shared" si="86"/>
        <v>-43</v>
      </c>
      <c r="Q494" s="20">
        <v>8</v>
      </c>
      <c r="R494" s="15">
        <v>47</v>
      </c>
      <c r="S494" s="62">
        <v>0.999</v>
      </c>
      <c r="T494" s="21"/>
      <c r="U494" s="22"/>
      <c r="V494" s="24"/>
      <c r="W494" s="24">
        <f t="shared" si="87"/>
        <v>0</v>
      </c>
      <c r="X494" s="24">
        <f t="shared" si="88"/>
        <v>3806770855.5630002</v>
      </c>
      <c r="Y494" s="24">
        <f t="shared" si="89"/>
        <v>0</v>
      </c>
      <c r="Z494" s="24">
        <f t="shared" si="90"/>
        <v>-3806770855.5630002</v>
      </c>
      <c r="AA494" s="25" t="str">
        <f t="shared" si="91"/>
        <v>No se realizó gasto en este corte</v>
      </c>
      <c r="AB494" s="26" t="str">
        <f t="shared" si="92"/>
        <v>Costo eficiente: se está gastando menos de lo presupuestado</v>
      </c>
      <c r="AC494" s="26">
        <f t="shared" si="93"/>
        <v>0</v>
      </c>
      <c r="AD494" s="26" t="str">
        <f t="shared" si="94"/>
        <v>Sin Línea Base</v>
      </c>
      <c r="AE494" s="27">
        <f t="shared" si="95"/>
        <v>0</v>
      </c>
      <c r="AF494" s="27">
        <f t="shared" si="96"/>
        <v>-3810581437</v>
      </c>
      <c r="AG494" s="28" t="str">
        <f>VLOOKUP(Indicador!E509,[1]Diccionario!C$1:AC$150,27,0)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494" s="28">
        <v>1</v>
      </c>
      <c r="AI494" s="28">
        <v>1</v>
      </c>
      <c r="AJ494" s="28"/>
      <c r="AK494" s="28"/>
    </row>
    <row r="495" spans="1:37" ht="18.75" customHeight="1" x14ac:dyDescent="0.25">
      <c r="A495" s="11">
        <v>2026</v>
      </c>
      <c r="B495" s="12" t="s">
        <v>51</v>
      </c>
      <c r="C495" s="15" t="s">
        <v>341</v>
      </c>
      <c r="D495" s="39">
        <v>45932.836031516206</v>
      </c>
      <c r="E495" s="15" t="s">
        <v>342</v>
      </c>
      <c r="F495" s="15" t="s">
        <v>151</v>
      </c>
      <c r="G495" s="15" t="s">
        <v>343</v>
      </c>
      <c r="H495" s="15" t="s">
        <v>344</v>
      </c>
      <c r="I495" s="15" t="s">
        <v>63</v>
      </c>
      <c r="J495" s="15" t="s">
        <v>345</v>
      </c>
      <c r="K495" s="15" t="s">
        <v>45</v>
      </c>
      <c r="L495" s="17">
        <f>VLOOKUP(E495,[1]Diccionario!C$2:AC$150,22,0)</f>
        <v>3810581437</v>
      </c>
      <c r="M495" s="18">
        <f>VLOOKUP(E495,[1]Diccionario!C$2:AC$150,24,0)</f>
        <v>45931</v>
      </c>
      <c r="N495" s="19">
        <f>VLOOKUP(E495,[1]Diccionario!C$2:AC$150,25,0)</f>
        <v>47483</v>
      </c>
      <c r="O495" s="20">
        <f>VLOOKUP(E495,[1]Diccionario!C$2:AC$150,26,0)</f>
        <v>51</v>
      </c>
      <c r="P495" s="20">
        <f t="shared" si="86"/>
        <v>-42</v>
      </c>
      <c r="Q495" s="20">
        <v>9</v>
      </c>
      <c r="R495" s="15">
        <v>47</v>
      </c>
      <c r="S495" s="62">
        <v>0.999</v>
      </c>
      <c r="T495" s="21"/>
      <c r="U495" s="22"/>
      <c r="V495" s="24"/>
      <c r="W495" s="24">
        <f t="shared" si="87"/>
        <v>0</v>
      </c>
      <c r="X495" s="24">
        <f t="shared" si="88"/>
        <v>3806770855.5630002</v>
      </c>
      <c r="Y495" s="24">
        <f t="shared" si="89"/>
        <v>0</v>
      </c>
      <c r="Z495" s="24">
        <f t="shared" si="90"/>
        <v>-3806770855.5630002</v>
      </c>
      <c r="AA495" s="25" t="str">
        <f t="shared" si="91"/>
        <v>No se realizó gasto en este corte</v>
      </c>
      <c r="AB495" s="26" t="str">
        <f t="shared" si="92"/>
        <v>Costo eficiente: se está gastando menos de lo presupuestado</v>
      </c>
      <c r="AC495" s="26">
        <f t="shared" si="93"/>
        <v>0</v>
      </c>
      <c r="AD495" s="26" t="str">
        <f t="shared" si="94"/>
        <v>Sin Línea Base</v>
      </c>
      <c r="AE495" s="27">
        <f t="shared" si="95"/>
        <v>0</v>
      </c>
      <c r="AF495" s="27">
        <f t="shared" si="96"/>
        <v>-3810581437</v>
      </c>
      <c r="AG495" s="28" t="str">
        <f>VLOOKUP(Indicador!E510,[1]Diccionario!C$1:AC$150,27,0)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495" s="28">
        <v>1</v>
      </c>
      <c r="AI495" s="28">
        <v>1</v>
      </c>
      <c r="AJ495" s="28"/>
      <c r="AK495" s="28"/>
    </row>
    <row r="496" spans="1:37" ht="18.75" customHeight="1" x14ac:dyDescent="0.25">
      <c r="A496" s="11">
        <v>2026</v>
      </c>
      <c r="B496" s="12" t="s">
        <v>52</v>
      </c>
      <c r="C496" s="15" t="s">
        <v>341</v>
      </c>
      <c r="D496" s="39">
        <v>45932.836031516206</v>
      </c>
      <c r="E496" s="15" t="s">
        <v>342</v>
      </c>
      <c r="F496" s="15" t="s">
        <v>151</v>
      </c>
      <c r="G496" s="15" t="s">
        <v>343</v>
      </c>
      <c r="H496" s="15" t="s">
        <v>344</v>
      </c>
      <c r="I496" s="15" t="s">
        <v>63</v>
      </c>
      <c r="J496" s="15" t="s">
        <v>345</v>
      </c>
      <c r="K496" s="15" t="s">
        <v>45</v>
      </c>
      <c r="L496" s="17">
        <f>VLOOKUP(E496,[1]Diccionario!C$2:AC$150,22,0)</f>
        <v>3810581437</v>
      </c>
      <c r="M496" s="18">
        <f>VLOOKUP(E496,[1]Diccionario!C$2:AC$150,24,0)</f>
        <v>45931</v>
      </c>
      <c r="N496" s="19">
        <f>VLOOKUP(E496,[1]Diccionario!C$2:AC$150,25,0)</f>
        <v>47483</v>
      </c>
      <c r="O496" s="20">
        <f>VLOOKUP(E496,[1]Diccionario!C$2:AC$150,26,0)</f>
        <v>51</v>
      </c>
      <c r="P496" s="20">
        <f t="shared" si="86"/>
        <v>-41</v>
      </c>
      <c r="Q496" s="20">
        <v>10</v>
      </c>
      <c r="R496" s="15">
        <v>47</v>
      </c>
      <c r="S496" s="62">
        <v>0.999</v>
      </c>
      <c r="T496" s="21"/>
      <c r="U496" s="22"/>
      <c r="V496" s="24"/>
      <c r="W496" s="24">
        <f t="shared" si="87"/>
        <v>0</v>
      </c>
      <c r="X496" s="24">
        <f t="shared" si="88"/>
        <v>3806770855.5630002</v>
      </c>
      <c r="Y496" s="24">
        <f t="shared" si="89"/>
        <v>0</v>
      </c>
      <c r="Z496" s="24">
        <f t="shared" si="90"/>
        <v>-3806770855.5630002</v>
      </c>
      <c r="AA496" s="25" t="str">
        <f t="shared" si="91"/>
        <v>No se realizó gasto en este corte</v>
      </c>
      <c r="AB496" s="26" t="str">
        <f t="shared" si="92"/>
        <v>Costo eficiente: se está gastando menos de lo presupuestado</v>
      </c>
      <c r="AC496" s="26">
        <f t="shared" si="93"/>
        <v>0</v>
      </c>
      <c r="AD496" s="26" t="str">
        <f t="shared" si="94"/>
        <v>Sin Línea Base</v>
      </c>
      <c r="AE496" s="27">
        <f t="shared" si="95"/>
        <v>0</v>
      </c>
      <c r="AF496" s="27">
        <f t="shared" si="96"/>
        <v>-3810581437</v>
      </c>
      <c r="AG496" s="28" t="str">
        <f>VLOOKUP(Indicador!E511,[1]Diccionario!C$1:AC$150,27,0)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496" s="28">
        <v>1</v>
      </c>
      <c r="AI496" s="28">
        <v>1</v>
      </c>
      <c r="AJ496" s="28"/>
      <c r="AK496" s="28"/>
    </row>
    <row r="497" spans="1:37" ht="18.75" customHeight="1" x14ac:dyDescent="0.25">
      <c r="A497" s="11">
        <v>2026</v>
      </c>
      <c r="B497" s="12" t="s">
        <v>53</v>
      </c>
      <c r="C497" s="15" t="s">
        <v>341</v>
      </c>
      <c r="D497" s="39">
        <v>45932.836031516206</v>
      </c>
      <c r="E497" s="15" t="s">
        <v>342</v>
      </c>
      <c r="F497" s="15" t="s">
        <v>151</v>
      </c>
      <c r="G497" s="15" t="s">
        <v>343</v>
      </c>
      <c r="H497" s="15" t="s">
        <v>344</v>
      </c>
      <c r="I497" s="15" t="s">
        <v>63</v>
      </c>
      <c r="J497" s="15" t="s">
        <v>345</v>
      </c>
      <c r="K497" s="15" t="s">
        <v>45</v>
      </c>
      <c r="L497" s="17">
        <f>VLOOKUP(E497,[1]Diccionario!C$2:AC$150,22,0)</f>
        <v>3810581437</v>
      </c>
      <c r="M497" s="18">
        <f>VLOOKUP(E497,[1]Diccionario!C$2:AC$150,24,0)</f>
        <v>45931</v>
      </c>
      <c r="N497" s="19">
        <f>VLOOKUP(E497,[1]Diccionario!C$2:AC$150,25,0)</f>
        <v>47483</v>
      </c>
      <c r="O497" s="20">
        <f>VLOOKUP(E497,[1]Diccionario!C$2:AC$150,26,0)</f>
        <v>51</v>
      </c>
      <c r="P497" s="20">
        <f t="shared" si="86"/>
        <v>-40</v>
      </c>
      <c r="Q497" s="20">
        <v>11</v>
      </c>
      <c r="R497" s="15">
        <v>47</v>
      </c>
      <c r="S497" s="62">
        <v>0.999</v>
      </c>
      <c r="T497" s="21"/>
      <c r="U497" s="22"/>
      <c r="V497" s="24"/>
      <c r="W497" s="24">
        <f t="shared" si="87"/>
        <v>0</v>
      </c>
      <c r="X497" s="24">
        <f t="shared" si="88"/>
        <v>3806770855.5630002</v>
      </c>
      <c r="Y497" s="24">
        <f t="shared" si="89"/>
        <v>0</v>
      </c>
      <c r="Z497" s="24">
        <f t="shared" si="90"/>
        <v>-3806770855.5630002</v>
      </c>
      <c r="AA497" s="25" t="str">
        <f t="shared" si="91"/>
        <v>No se realizó gasto en este corte</v>
      </c>
      <c r="AB497" s="26" t="str">
        <f t="shared" si="92"/>
        <v>Costo eficiente: se está gastando menos de lo presupuestado</v>
      </c>
      <c r="AC497" s="26">
        <f t="shared" si="93"/>
        <v>0</v>
      </c>
      <c r="AD497" s="26" t="str">
        <f t="shared" si="94"/>
        <v>Sin Línea Base</v>
      </c>
      <c r="AE497" s="27">
        <f t="shared" si="95"/>
        <v>0</v>
      </c>
      <c r="AF497" s="27">
        <f t="shared" si="96"/>
        <v>-3810581437</v>
      </c>
      <c r="AG497" s="28" t="str">
        <f>VLOOKUP(Indicador!E512,[1]Diccionario!C$1:AC$150,27,0)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497" s="28">
        <v>1</v>
      </c>
      <c r="AI497" s="28">
        <v>1</v>
      </c>
      <c r="AJ497" s="28"/>
      <c r="AK497" s="28"/>
    </row>
    <row r="498" spans="1:37" ht="18.75" customHeight="1" x14ac:dyDescent="0.25">
      <c r="A498" s="11">
        <v>2026</v>
      </c>
      <c r="B498" s="12" t="s">
        <v>54</v>
      </c>
      <c r="C498" s="15" t="s">
        <v>341</v>
      </c>
      <c r="D498" s="39">
        <v>45932.836031516206</v>
      </c>
      <c r="E498" s="15" t="s">
        <v>342</v>
      </c>
      <c r="F498" s="15" t="s">
        <v>151</v>
      </c>
      <c r="G498" s="15" t="s">
        <v>343</v>
      </c>
      <c r="H498" s="15" t="s">
        <v>344</v>
      </c>
      <c r="I498" s="15" t="s">
        <v>63</v>
      </c>
      <c r="J498" s="15" t="s">
        <v>345</v>
      </c>
      <c r="K498" s="15" t="s">
        <v>45</v>
      </c>
      <c r="L498" s="17">
        <f>VLOOKUP(E498,[1]Diccionario!C$2:AC$150,22,0)</f>
        <v>3810581437</v>
      </c>
      <c r="M498" s="18">
        <f>VLOOKUP(E498,[1]Diccionario!C$2:AC$150,24,0)</f>
        <v>45931</v>
      </c>
      <c r="N498" s="19">
        <f>VLOOKUP(E498,[1]Diccionario!C$2:AC$150,25,0)</f>
        <v>47483</v>
      </c>
      <c r="O498" s="20">
        <f>VLOOKUP(E498,[1]Diccionario!C$2:AC$150,26,0)</f>
        <v>51</v>
      </c>
      <c r="P498" s="20">
        <f t="shared" si="86"/>
        <v>-39</v>
      </c>
      <c r="Q498" s="20">
        <v>12</v>
      </c>
      <c r="R498" s="15">
        <v>47</v>
      </c>
      <c r="S498" s="62">
        <v>0.999</v>
      </c>
      <c r="T498" s="21"/>
      <c r="U498" s="22"/>
      <c r="V498" s="24"/>
      <c r="W498" s="24">
        <f t="shared" si="87"/>
        <v>0</v>
      </c>
      <c r="X498" s="24">
        <f t="shared" si="88"/>
        <v>3806770855.5630002</v>
      </c>
      <c r="Y498" s="24">
        <f t="shared" si="89"/>
        <v>0</v>
      </c>
      <c r="Z498" s="24">
        <f t="shared" si="90"/>
        <v>-3806770855.5630002</v>
      </c>
      <c r="AA498" s="25" t="str">
        <f t="shared" si="91"/>
        <v>No se realizó gasto en este corte</v>
      </c>
      <c r="AB498" s="26" t="str">
        <f t="shared" si="92"/>
        <v>Costo eficiente: se está gastando menos de lo presupuestado</v>
      </c>
      <c r="AC498" s="26">
        <f t="shared" si="93"/>
        <v>0</v>
      </c>
      <c r="AD498" s="26" t="str">
        <f t="shared" si="94"/>
        <v>Sin Línea Base</v>
      </c>
      <c r="AE498" s="27">
        <f t="shared" si="95"/>
        <v>0</v>
      </c>
      <c r="AF498" s="27">
        <f t="shared" si="96"/>
        <v>-3810581437</v>
      </c>
      <c r="AG498" s="28" t="str">
        <f>VLOOKUP(Indicador!E513,[1]Diccionario!C$1:AC$150,27,0)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498" s="28">
        <v>1</v>
      </c>
      <c r="AI498" s="28">
        <v>1</v>
      </c>
      <c r="AJ498" s="28"/>
      <c r="AK498" s="28"/>
    </row>
    <row r="499" spans="1:37" ht="18.75" customHeight="1" x14ac:dyDescent="0.25">
      <c r="A499" s="11">
        <v>2026</v>
      </c>
      <c r="B499" s="12" t="s">
        <v>55</v>
      </c>
      <c r="C499" s="15" t="s">
        <v>341</v>
      </c>
      <c r="D499" s="39">
        <v>45932.836031516206</v>
      </c>
      <c r="E499" s="15" t="s">
        <v>342</v>
      </c>
      <c r="F499" s="15" t="s">
        <v>151</v>
      </c>
      <c r="G499" s="15" t="s">
        <v>343</v>
      </c>
      <c r="H499" s="15" t="s">
        <v>344</v>
      </c>
      <c r="I499" s="15" t="s">
        <v>63</v>
      </c>
      <c r="J499" s="15" t="s">
        <v>345</v>
      </c>
      <c r="K499" s="15" t="s">
        <v>45</v>
      </c>
      <c r="L499" s="17">
        <f>VLOOKUP(E499,[1]Diccionario!C$2:AC$150,22,0)</f>
        <v>3810581437</v>
      </c>
      <c r="M499" s="18">
        <f>VLOOKUP(E499,[1]Diccionario!C$2:AC$150,24,0)</f>
        <v>45931</v>
      </c>
      <c r="N499" s="19">
        <f>VLOOKUP(E499,[1]Diccionario!C$2:AC$150,25,0)</f>
        <v>47483</v>
      </c>
      <c r="O499" s="20">
        <f>VLOOKUP(E499,[1]Diccionario!C$2:AC$150,26,0)</f>
        <v>51</v>
      </c>
      <c r="P499" s="20">
        <f t="shared" si="86"/>
        <v>-38</v>
      </c>
      <c r="Q499" s="20">
        <v>13</v>
      </c>
      <c r="R499" s="15">
        <v>47</v>
      </c>
      <c r="S499" s="62">
        <v>0.999</v>
      </c>
      <c r="T499" s="21"/>
      <c r="U499" s="22"/>
      <c r="V499" s="24"/>
      <c r="W499" s="24">
        <f t="shared" si="87"/>
        <v>0</v>
      </c>
      <c r="X499" s="24">
        <f t="shared" si="88"/>
        <v>3806770855.5630002</v>
      </c>
      <c r="Y499" s="24">
        <f t="shared" si="89"/>
        <v>0</v>
      </c>
      <c r="Z499" s="24">
        <f t="shared" si="90"/>
        <v>-3806770855.5630002</v>
      </c>
      <c r="AA499" s="25" t="str">
        <f t="shared" si="91"/>
        <v>No se realizó gasto en este corte</v>
      </c>
      <c r="AB499" s="26" t="str">
        <f t="shared" si="92"/>
        <v>Costo eficiente: se está gastando menos de lo presupuestado</v>
      </c>
      <c r="AC499" s="26">
        <f t="shared" si="93"/>
        <v>0</v>
      </c>
      <c r="AD499" s="26" t="str">
        <f t="shared" si="94"/>
        <v>Sin Línea Base</v>
      </c>
      <c r="AE499" s="27">
        <f t="shared" si="95"/>
        <v>0</v>
      </c>
      <c r="AF499" s="27">
        <f t="shared" si="96"/>
        <v>-3810581437</v>
      </c>
      <c r="AG499" s="28" t="str">
        <f>VLOOKUP(Indicador!E514,[1]Diccionario!C$1:AC$150,27,0)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499" s="28">
        <v>1</v>
      </c>
      <c r="AI499" s="28">
        <v>1</v>
      </c>
      <c r="AJ499" s="28"/>
      <c r="AK499" s="28"/>
    </row>
    <row r="500" spans="1:37" ht="18.75" customHeight="1" x14ac:dyDescent="0.25">
      <c r="A500" s="11">
        <v>2026</v>
      </c>
      <c r="B500" s="12" t="s">
        <v>56</v>
      </c>
      <c r="C500" s="15" t="s">
        <v>341</v>
      </c>
      <c r="D500" s="39">
        <v>45932.836031516206</v>
      </c>
      <c r="E500" s="15" t="s">
        <v>342</v>
      </c>
      <c r="F500" s="15" t="s">
        <v>151</v>
      </c>
      <c r="G500" s="15" t="s">
        <v>343</v>
      </c>
      <c r="H500" s="15" t="s">
        <v>344</v>
      </c>
      <c r="I500" s="15" t="s">
        <v>63</v>
      </c>
      <c r="J500" s="15" t="s">
        <v>345</v>
      </c>
      <c r="K500" s="15" t="s">
        <v>45</v>
      </c>
      <c r="L500" s="17">
        <f>VLOOKUP(E500,[1]Diccionario!C$2:AC$150,22,0)</f>
        <v>3810581437</v>
      </c>
      <c r="M500" s="18">
        <f>VLOOKUP(E500,[1]Diccionario!C$2:AC$150,24,0)</f>
        <v>45931</v>
      </c>
      <c r="N500" s="19">
        <f>VLOOKUP(E500,[1]Diccionario!C$2:AC$150,25,0)</f>
        <v>47483</v>
      </c>
      <c r="O500" s="20">
        <f>VLOOKUP(E500,[1]Diccionario!C$2:AC$150,26,0)</f>
        <v>51</v>
      </c>
      <c r="P500" s="20">
        <f t="shared" si="86"/>
        <v>-37</v>
      </c>
      <c r="Q500" s="20">
        <v>14</v>
      </c>
      <c r="R500" s="15">
        <v>47</v>
      </c>
      <c r="S500" s="62">
        <v>0.999</v>
      </c>
      <c r="T500" s="21"/>
      <c r="U500" s="22"/>
      <c r="V500" s="24"/>
      <c r="W500" s="24">
        <f t="shared" si="87"/>
        <v>0</v>
      </c>
      <c r="X500" s="24">
        <f t="shared" si="88"/>
        <v>3806770855.5630002</v>
      </c>
      <c r="Y500" s="24">
        <f t="shared" si="89"/>
        <v>0</v>
      </c>
      <c r="Z500" s="24">
        <f t="shared" si="90"/>
        <v>-3806770855.5630002</v>
      </c>
      <c r="AA500" s="25" t="str">
        <f t="shared" si="91"/>
        <v>No se realizó gasto en este corte</v>
      </c>
      <c r="AB500" s="26" t="str">
        <f t="shared" si="92"/>
        <v>Costo eficiente: se está gastando menos de lo presupuestado</v>
      </c>
      <c r="AC500" s="26">
        <f t="shared" si="93"/>
        <v>0</v>
      </c>
      <c r="AD500" s="26" t="str">
        <f t="shared" si="94"/>
        <v>Sin Línea Base</v>
      </c>
      <c r="AE500" s="27">
        <f t="shared" si="95"/>
        <v>0</v>
      </c>
      <c r="AF500" s="27">
        <f t="shared" si="96"/>
        <v>-3810581437</v>
      </c>
      <c r="AG500" s="28" t="str">
        <f>VLOOKUP(Indicador!E515,[1]Diccionario!C$1:AC$150,27,0)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00" s="28">
        <v>1</v>
      </c>
      <c r="AI500" s="28">
        <v>1</v>
      </c>
      <c r="AJ500" s="28"/>
      <c r="AK500" s="28"/>
    </row>
    <row r="501" spans="1:37" ht="18.75" customHeight="1" x14ac:dyDescent="0.25">
      <c r="A501" s="11">
        <v>2026</v>
      </c>
      <c r="B501" s="12" t="s">
        <v>57</v>
      </c>
      <c r="C501" s="15" t="s">
        <v>341</v>
      </c>
      <c r="D501" s="39">
        <v>45932.836031516206</v>
      </c>
      <c r="E501" s="15" t="s">
        <v>342</v>
      </c>
      <c r="F501" s="15" t="s">
        <v>151</v>
      </c>
      <c r="G501" s="15" t="s">
        <v>343</v>
      </c>
      <c r="H501" s="15" t="s">
        <v>344</v>
      </c>
      <c r="I501" s="15" t="s">
        <v>63</v>
      </c>
      <c r="J501" s="15" t="s">
        <v>345</v>
      </c>
      <c r="K501" s="15" t="s">
        <v>45</v>
      </c>
      <c r="L501" s="17">
        <f>VLOOKUP(E501,[1]Diccionario!C$2:AC$150,22,0)</f>
        <v>3810581437</v>
      </c>
      <c r="M501" s="18">
        <f>VLOOKUP(E501,[1]Diccionario!C$2:AC$150,24,0)</f>
        <v>45931</v>
      </c>
      <c r="N501" s="19">
        <f>VLOOKUP(E501,[1]Diccionario!C$2:AC$150,25,0)</f>
        <v>47483</v>
      </c>
      <c r="O501" s="20">
        <f>VLOOKUP(E501,[1]Diccionario!C$2:AC$150,26,0)</f>
        <v>51</v>
      </c>
      <c r="P501" s="20">
        <f t="shared" si="86"/>
        <v>-36</v>
      </c>
      <c r="Q501" s="20">
        <v>15</v>
      </c>
      <c r="R501" s="15">
        <v>47</v>
      </c>
      <c r="S501" s="62">
        <v>0.999</v>
      </c>
      <c r="T501" s="21"/>
      <c r="U501" s="22"/>
      <c r="V501" s="24"/>
      <c r="W501" s="24">
        <f t="shared" si="87"/>
        <v>0</v>
      </c>
      <c r="X501" s="24">
        <f t="shared" si="88"/>
        <v>3806770855.5630002</v>
      </c>
      <c r="Y501" s="24">
        <f t="shared" si="89"/>
        <v>0</v>
      </c>
      <c r="Z501" s="24">
        <f t="shared" si="90"/>
        <v>-3806770855.5630002</v>
      </c>
      <c r="AA501" s="25" t="str">
        <f t="shared" si="91"/>
        <v>No se realizó gasto en este corte</v>
      </c>
      <c r="AB501" s="26" t="str">
        <f t="shared" si="92"/>
        <v>Costo eficiente: se está gastando menos de lo presupuestado</v>
      </c>
      <c r="AC501" s="26">
        <f t="shared" si="93"/>
        <v>0</v>
      </c>
      <c r="AD501" s="26" t="str">
        <f t="shared" si="94"/>
        <v>Sin Línea Base</v>
      </c>
      <c r="AE501" s="27">
        <f t="shared" si="95"/>
        <v>0</v>
      </c>
      <c r="AF501" s="27">
        <f t="shared" si="96"/>
        <v>-3810581437</v>
      </c>
      <c r="AG501" s="28" t="str">
        <f>VLOOKUP(Indicador!E516,[1]Diccionario!C$1:AC$150,27,0)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01" s="28">
        <v>1</v>
      </c>
      <c r="AI501" s="28">
        <v>1</v>
      </c>
      <c r="AJ501" s="28"/>
      <c r="AK501" s="28"/>
    </row>
    <row r="502" spans="1:37" ht="18.75" customHeight="1" x14ac:dyDescent="0.25">
      <c r="A502" s="11">
        <v>2027</v>
      </c>
      <c r="B502" s="12" t="s">
        <v>37</v>
      </c>
      <c r="C502" s="15" t="s">
        <v>341</v>
      </c>
      <c r="D502" s="39">
        <v>45932.836031516206</v>
      </c>
      <c r="E502" s="15" t="s">
        <v>342</v>
      </c>
      <c r="F502" s="15" t="s">
        <v>151</v>
      </c>
      <c r="G502" s="15" t="s">
        <v>343</v>
      </c>
      <c r="H502" s="15" t="s">
        <v>344</v>
      </c>
      <c r="I502" s="15" t="s">
        <v>63</v>
      </c>
      <c r="J502" s="15" t="s">
        <v>345</v>
      </c>
      <c r="K502" s="15" t="s">
        <v>45</v>
      </c>
      <c r="L502" s="17">
        <f>VLOOKUP(E502,[1]Diccionario!C$2:AC$150,22,0)</f>
        <v>3810581437</v>
      </c>
      <c r="M502" s="18">
        <f>VLOOKUP(E502,[1]Diccionario!C$2:AC$150,24,0)</f>
        <v>45931</v>
      </c>
      <c r="N502" s="19">
        <f>VLOOKUP(E502,[1]Diccionario!C$2:AC$150,25,0)</f>
        <v>47483</v>
      </c>
      <c r="O502" s="20">
        <f>VLOOKUP(E502,[1]Diccionario!C$2:AC$150,26,0)</f>
        <v>51</v>
      </c>
      <c r="P502" s="20">
        <f t="shared" si="86"/>
        <v>-35</v>
      </c>
      <c r="Q502" s="20">
        <v>16</v>
      </c>
      <c r="R502" s="15">
        <v>47</v>
      </c>
      <c r="S502" s="62">
        <v>0.999</v>
      </c>
      <c r="T502" s="21"/>
      <c r="U502" s="22"/>
      <c r="V502" s="24"/>
      <c r="W502" s="24">
        <f t="shared" si="87"/>
        <v>0</v>
      </c>
      <c r="X502" s="24">
        <f t="shared" si="88"/>
        <v>3806770855.5630002</v>
      </c>
      <c r="Y502" s="24">
        <f t="shared" si="89"/>
        <v>0</v>
      </c>
      <c r="Z502" s="24">
        <f t="shared" si="90"/>
        <v>-3806770855.5630002</v>
      </c>
      <c r="AA502" s="25" t="str">
        <f t="shared" si="91"/>
        <v>No se realizó gasto en este corte</v>
      </c>
      <c r="AB502" s="26" t="str">
        <f t="shared" si="92"/>
        <v>Costo eficiente: se está gastando menos de lo presupuestado</v>
      </c>
      <c r="AC502" s="26">
        <f t="shared" si="93"/>
        <v>0</v>
      </c>
      <c r="AD502" s="26" t="str">
        <f t="shared" si="94"/>
        <v>Sin Línea Base</v>
      </c>
      <c r="AE502" s="27">
        <f t="shared" si="95"/>
        <v>0</v>
      </c>
      <c r="AF502" s="27">
        <f t="shared" si="96"/>
        <v>-3810581437</v>
      </c>
      <c r="AG502" s="28" t="str">
        <f>VLOOKUP(Indicador!E517,[1]Diccionario!C$1:AC$150,27,0)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02" s="28">
        <v>1</v>
      </c>
      <c r="AI502" s="28">
        <v>1</v>
      </c>
      <c r="AJ502" s="28"/>
      <c r="AK502" s="28"/>
    </row>
    <row r="503" spans="1:37" ht="18.75" customHeight="1" x14ac:dyDescent="0.25">
      <c r="A503" s="11">
        <v>2027</v>
      </c>
      <c r="B503" s="12" t="s">
        <v>47</v>
      </c>
      <c r="C503" s="15" t="s">
        <v>341</v>
      </c>
      <c r="D503" s="39">
        <v>45932.836031516206</v>
      </c>
      <c r="E503" s="15" t="s">
        <v>342</v>
      </c>
      <c r="F503" s="15" t="s">
        <v>151</v>
      </c>
      <c r="G503" s="15" t="s">
        <v>343</v>
      </c>
      <c r="H503" s="15" t="s">
        <v>344</v>
      </c>
      <c r="I503" s="15" t="s">
        <v>63</v>
      </c>
      <c r="J503" s="15" t="s">
        <v>345</v>
      </c>
      <c r="K503" s="15" t="s">
        <v>45</v>
      </c>
      <c r="L503" s="17">
        <f>VLOOKUP(E503,[1]Diccionario!C$2:AC$150,22,0)</f>
        <v>3810581437</v>
      </c>
      <c r="M503" s="18">
        <f>VLOOKUP(E503,[1]Diccionario!C$2:AC$150,24,0)</f>
        <v>45931</v>
      </c>
      <c r="N503" s="19">
        <f>VLOOKUP(E503,[1]Diccionario!C$2:AC$150,25,0)</f>
        <v>47483</v>
      </c>
      <c r="O503" s="20">
        <f>VLOOKUP(E503,[1]Diccionario!C$2:AC$150,26,0)</f>
        <v>51</v>
      </c>
      <c r="P503" s="20">
        <f t="shared" si="86"/>
        <v>-34</v>
      </c>
      <c r="Q503" s="20">
        <v>17</v>
      </c>
      <c r="R503" s="15">
        <v>47</v>
      </c>
      <c r="S503" s="62">
        <v>0.999</v>
      </c>
      <c r="T503" s="21"/>
      <c r="U503" s="22"/>
      <c r="V503" s="24"/>
      <c r="W503" s="24">
        <f t="shared" si="87"/>
        <v>0</v>
      </c>
      <c r="X503" s="24">
        <f t="shared" si="88"/>
        <v>3806770855.5630002</v>
      </c>
      <c r="Y503" s="24">
        <f t="shared" si="89"/>
        <v>0</v>
      </c>
      <c r="Z503" s="24">
        <f t="shared" si="90"/>
        <v>-3806770855.5630002</v>
      </c>
      <c r="AA503" s="25" t="str">
        <f t="shared" si="91"/>
        <v>No se realizó gasto en este corte</v>
      </c>
      <c r="AB503" s="26" t="str">
        <f t="shared" si="92"/>
        <v>Costo eficiente: se está gastando menos de lo presupuestado</v>
      </c>
      <c r="AC503" s="26">
        <f t="shared" si="93"/>
        <v>0</v>
      </c>
      <c r="AD503" s="26" t="str">
        <f t="shared" si="94"/>
        <v>Sin Línea Base</v>
      </c>
      <c r="AE503" s="27">
        <f t="shared" si="95"/>
        <v>0</v>
      </c>
      <c r="AF503" s="27">
        <f t="shared" si="96"/>
        <v>-3810581437</v>
      </c>
      <c r="AG503" s="28" t="str">
        <f>VLOOKUP(Indicador!E518,[1]Diccionario!C$1:AC$150,27,0)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03" s="28">
        <v>1</v>
      </c>
      <c r="AI503" s="28">
        <v>1</v>
      </c>
      <c r="AJ503" s="28"/>
      <c r="AK503" s="28"/>
    </row>
    <row r="504" spans="1:37" ht="18.75" customHeight="1" x14ac:dyDescent="0.25">
      <c r="A504" s="11">
        <v>2027</v>
      </c>
      <c r="B504" s="12" t="s">
        <v>48</v>
      </c>
      <c r="C504" s="15" t="s">
        <v>341</v>
      </c>
      <c r="D504" s="39">
        <v>45932.836031516206</v>
      </c>
      <c r="E504" s="15" t="s">
        <v>342</v>
      </c>
      <c r="F504" s="15" t="s">
        <v>151</v>
      </c>
      <c r="G504" s="15" t="s">
        <v>343</v>
      </c>
      <c r="H504" s="15" t="s">
        <v>344</v>
      </c>
      <c r="I504" s="15" t="s">
        <v>63</v>
      </c>
      <c r="J504" s="15" t="s">
        <v>345</v>
      </c>
      <c r="K504" s="15" t="s">
        <v>45</v>
      </c>
      <c r="L504" s="17">
        <f>VLOOKUP(E504,[1]Diccionario!C$2:AC$150,22,0)</f>
        <v>3810581437</v>
      </c>
      <c r="M504" s="18">
        <f>VLOOKUP(E504,[1]Diccionario!C$2:AC$150,24,0)</f>
        <v>45931</v>
      </c>
      <c r="N504" s="19">
        <f>VLOOKUP(E504,[1]Diccionario!C$2:AC$150,25,0)</f>
        <v>47483</v>
      </c>
      <c r="O504" s="20">
        <f>VLOOKUP(E504,[1]Diccionario!C$2:AC$150,26,0)</f>
        <v>51</v>
      </c>
      <c r="P504" s="20">
        <f t="shared" si="86"/>
        <v>-33</v>
      </c>
      <c r="Q504" s="20">
        <v>18</v>
      </c>
      <c r="R504" s="15">
        <v>47</v>
      </c>
      <c r="S504" s="62">
        <v>0.999</v>
      </c>
      <c r="T504" s="21"/>
      <c r="U504" s="22"/>
      <c r="V504" s="24"/>
      <c r="W504" s="24">
        <f t="shared" si="87"/>
        <v>0</v>
      </c>
      <c r="X504" s="24">
        <f t="shared" si="88"/>
        <v>3806770855.5630002</v>
      </c>
      <c r="Y504" s="24">
        <f t="shared" si="89"/>
        <v>0</v>
      </c>
      <c r="Z504" s="24">
        <f t="shared" si="90"/>
        <v>-3806770855.5630002</v>
      </c>
      <c r="AA504" s="25" t="str">
        <f t="shared" si="91"/>
        <v>No se realizó gasto en este corte</v>
      </c>
      <c r="AB504" s="26" t="str">
        <f t="shared" si="92"/>
        <v>Costo eficiente: se está gastando menos de lo presupuestado</v>
      </c>
      <c r="AC504" s="26">
        <f t="shared" si="93"/>
        <v>0</v>
      </c>
      <c r="AD504" s="26" t="str">
        <f t="shared" si="94"/>
        <v>Sin Línea Base</v>
      </c>
      <c r="AE504" s="27">
        <f t="shared" si="95"/>
        <v>0</v>
      </c>
      <c r="AF504" s="27">
        <f t="shared" si="96"/>
        <v>-3810581437</v>
      </c>
      <c r="AG504" s="28" t="str">
        <f>VLOOKUP(Indicador!E519,[1]Diccionario!C$1:AC$150,27,0)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04" s="28">
        <v>1</v>
      </c>
      <c r="AI504" s="28">
        <v>1</v>
      </c>
      <c r="AJ504" s="28"/>
      <c r="AK504" s="28"/>
    </row>
    <row r="505" spans="1:37" ht="18.75" customHeight="1" x14ac:dyDescent="0.25">
      <c r="A505" s="11">
        <v>2027</v>
      </c>
      <c r="B505" s="12" t="s">
        <v>49</v>
      </c>
      <c r="C505" s="15" t="s">
        <v>341</v>
      </c>
      <c r="D505" s="39">
        <v>45932.836031516206</v>
      </c>
      <c r="E505" s="15" t="s">
        <v>342</v>
      </c>
      <c r="F505" s="15" t="s">
        <v>151</v>
      </c>
      <c r="G505" s="15" t="s">
        <v>343</v>
      </c>
      <c r="H505" s="15" t="s">
        <v>344</v>
      </c>
      <c r="I505" s="15" t="s">
        <v>63</v>
      </c>
      <c r="J505" s="15" t="s">
        <v>345</v>
      </c>
      <c r="K505" s="15" t="s">
        <v>45</v>
      </c>
      <c r="L505" s="17">
        <f>VLOOKUP(E505,[1]Diccionario!C$2:AC$150,22,0)</f>
        <v>3810581437</v>
      </c>
      <c r="M505" s="18">
        <f>VLOOKUP(E505,[1]Diccionario!C$2:AC$150,24,0)</f>
        <v>45931</v>
      </c>
      <c r="N505" s="19">
        <f>VLOOKUP(E505,[1]Diccionario!C$2:AC$150,25,0)</f>
        <v>47483</v>
      </c>
      <c r="O505" s="20">
        <f>VLOOKUP(E505,[1]Diccionario!C$2:AC$150,26,0)</f>
        <v>51</v>
      </c>
      <c r="P505" s="20">
        <f t="shared" si="86"/>
        <v>-32</v>
      </c>
      <c r="Q505" s="20">
        <v>19</v>
      </c>
      <c r="R505" s="15">
        <v>47</v>
      </c>
      <c r="S505" s="62">
        <v>0.999</v>
      </c>
      <c r="T505" s="21"/>
      <c r="U505" s="22"/>
      <c r="V505" s="24"/>
      <c r="W505" s="24">
        <f t="shared" si="87"/>
        <v>0</v>
      </c>
      <c r="X505" s="24">
        <f t="shared" si="88"/>
        <v>3806770855.5630002</v>
      </c>
      <c r="Y505" s="24">
        <f t="shared" si="89"/>
        <v>0</v>
      </c>
      <c r="Z505" s="24">
        <f t="shared" si="90"/>
        <v>-3806770855.5630002</v>
      </c>
      <c r="AA505" s="25" t="str">
        <f t="shared" si="91"/>
        <v>No se realizó gasto en este corte</v>
      </c>
      <c r="AB505" s="26" t="str">
        <f t="shared" si="92"/>
        <v>Costo eficiente: se está gastando menos de lo presupuestado</v>
      </c>
      <c r="AC505" s="26">
        <f t="shared" si="93"/>
        <v>0</v>
      </c>
      <c r="AD505" s="26" t="str">
        <f t="shared" si="94"/>
        <v>Sin Línea Base</v>
      </c>
      <c r="AE505" s="27">
        <f t="shared" si="95"/>
        <v>0</v>
      </c>
      <c r="AF505" s="27">
        <f t="shared" si="96"/>
        <v>-3810581437</v>
      </c>
      <c r="AG505" s="28" t="str">
        <f>VLOOKUP(Indicador!E520,[1]Diccionario!C$1:AC$150,27,0)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05" s="28">
        <v>1</v>
      </c>
      <c r="AI505" s="28">
        <v>1</v>
      </c>
      <c r="AJ505" s="28"/>
      <c r="AK505" s="28"/>
    </row>
    <row r="506" spans="1:37" ht="18.75" customHeight="1" x14ac:dyDescent="0.25">
      <c r="A506" s="11">
        <v>2027</v>
      </c>
      <c r="B506" s="12" t="s">
        <v>50</v>
      </c>
      <c r="C506" s="15" t="s">
        <v>341</v>
      </c>
      <c r="D506" s="39">
        <v>45932.836031516206</v>
      </c>
      <c r="E506" s="15" t="s">
        <v>342</v>
      </c>
      <c r="F506" s="15" t="s">
        <v>151</v>
      </c>
      <c r="G506" s="15" t="s">
        <v>343</v>
      </c>
      <c r="H506" s="15" t="s">
        <v>344</v>
      </c>
      <c r="I506" s="15" t="s">
        <v>63</v>
      </c>
      <c r="J506" s="15" t="s">
        <v>345</v>
      </c>
      <c r="K506" s="15" t="s">
        <v>45</v>
      </c>
      <c r="L506" s="17">
        <f>VLOOKUP(E506,[1]Diccionario!C$2:AC$150,22,0)</f>
        <v>3810581437</v>
      </c>
      <c r="M506" s="18">
        <f>VLOOKUP(E506,[1]Diccionario!C$2:AC$150,24,0)</f>
        <v>45931</v>
      </c>
      <c r="N506" s="19">
        <f>VLOOKUP(E506,[1]Diccionario!C$2:AC$150,25,0)</f>
        <v>47483</v>
      </c>
      <c r="O506" s="20">
        <f>VLOOKUP(E506,[1]Diccionario!C$2:AC$150,26,0)</f>
        <v>51</v>
      </c>
      <c r="P506" s="20">
        <f t="shared" si="86"/>
        <v>-31</v>
      </c>
      <c r="Q506" s="20">
        <v>20</v>
      </c>
      <c r="R506" s="15">
        <v>47</v>
      </c>
      <c r="S506" s="62">
        <v>0.999</v>
      </c>
      <c r="T506" s="21"/>
      <c r="U506" s="22"/>
      <c r="V506" s="24"/>
      <c r="W506" s="24">
        <f t="shared" si="87"/>
        <v>0</v>
      </c>
      <c r="X506" s="24">
        <f t="shared" si="88"/>
        <v>3806770855.5630002</v>
      </c>
      <c r="Y506" s="24">
        <f t="shared" si="89"/>
        <v>0</v>
      </c>
      <c r="Z506" s="24">
        <f t="shared" si="90"/>
        <v>-3806770855.5630002</v>
      </c>
      <c r="AA506" s="25" t="str">
        <f t="shared" si="91"/>
        <v>No se realizó gasto en este corte</v>
      </c>
      <c r="AB506" s="26" t="str">
        <f t="shared" si="92"/>
        <v>Costo eficiente: se está gastando menos de lo presupuestado</v>
      </c>
      <c r="AC506" s="26">
        <f t="shared" si="93"/>
        <v>0</v>
      </c>
      <c r="AD506" s="26" t="str">
        <f t="shared" si="94"/>
        <v>Sin Línea Base</v>
      </c>
      <c r="AE506" s="27">
        <f t="shared" si="95"/>
        <v>0</v>
      </c>
      <c r="AF506" s="27">
        <f t="shared" si="96"/>
        <v>-3810581437</v>
      </c>
      <c r="AG506" s="28" t="str">
        <f>VLOOKUP(Indicador!E521,[1]Diccionario!C$1:AC$150,27,0)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06" s="28">
        <v>1</v>
      </c>
      <c r="AI506" s="28">
        <v>1</v>
      </c>
      <c r="AJ506" s="28"/>
      <c r="AK506" s="28"/>
    </row>
    <row r="507" spans="1:37" ht="18.75" customHeight="1" x14ac:dyDescent="0.25">
      <c r="A507" s="11">
        <v>2027</v>
      </c>
      <c r="B507" s="12" t="s">
        <v>51</v>
      </c>
      <c r="C507" s="15" t="s">
        <v>341</v>
      </c>
      <c r="D507" s="39">
        <v>45932.836031516206</v>
      </c>
      <c r="E507" s="15" t="s">
        <v>342</v>
      </c>
      <c r="F507" s="15" t="s">
        <v>151</v>
      </c>
      <c r="G507" s="15" t="s">
        <v>343</v>
      </c>
      <c r="H507" s="15" t="s">
        <v>344</v>
      </c>
      <c r="I507" s="15" t="s">
        <v>63</v>
      </c>
      <c r="J507" s="15" t="s">
        <v>345</v>
      </c>
      <c r="K507" s="15" t="s">
        <v>45</v>
      </c>
      <c r="L507" s="17">
        <f>VLOOKUP(E507,[1]Diccionario!C$2:AC$150,22,0)</f>
        <v>3810581437</v>
      </c>
      <c r="M507" s="18">
        <f>VLOOKUP(E507,[1]Diccionario!C$2:AC$150,24,0)</f>
        <v>45931</v>
      </c>
      <c r="N507" s="19">
        <f>VLOOKUP(E507,[1]Diccionario!C$2:AC$150,25,0)</f>
        <v>47483</v>
      </c>
      <c r="O507" s="20">
        <f>VLOOKUP(E507,[1]Diccionario!C$2:AC$150,26,0)</f>
        <v>51</v>
      </c>
      <c r="P507" s="20">
        <f t="shared" si="86"/>
        <v>-30</v>
      </c>
      <c r="Q507" s="20">
        <v>21</v>
      </c>
      <c r="R507" s="15">
        <v>47</v>
      </c>
      <c r="S507" s="62">
        <v>0.999</v>
      </c>
      <c r="T507" s="21"/>
      <c r="U507" s="22"/>
      <c r="V507" s="24"/>
      <c r="W507" s="24">
        <f t="shared" si="87"/>
        <v>0</v>
      </c>
      <c r="X507" s="24">
        <f t="shared" si="88"/>
        <v>3806770855.5630002</v>
      </c>
      <c r="Y507" s="24">
        <f t="shared" si="89"/>
        <v>0</v>
      </c>
      <c r="Z507" s="24">
        <f t="shared" si="90"/>
        <v>-3806770855.5630002</v>
      </c>
      <c r="AA507" s="25" t="str">
        <f t="shared" si="91"/>
        <v>No se realizó gasto en este corte</v>
      </c>
      <c r="AB507" s="26" t="str">
        <f t="shared" si="92"/>
        <v>Costo eficiente: se está gastando menos de lo presupuestado</v>
      </c>
      <c r="AC507" s="26">
        <f t="shared" si="93"/>
        <v>0</v>
      </c>
      <c r="AD507" s="26" t="str">
        <f t="shared" si="94"/>
        <v>Sin Línea Base</v>
      </c>
      <c r="AE507" s="27">
        <f t="shared" si="95"/>
        <v>0</v>
      </c>
      <c r="AF507" s="27">
        <f t="shared" si="96"/>
        <v>-3810581437</v>
      </c>
      <c r="AG507" s="28" t="str">
        <f>VLOOKUP(Indicador!E522,[1]Diccionario!C$1:AC$150,27,0)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07" s="28">
        <v>1</v>
      </c>
      <c r="AI507" s="28">
        <v>1</v>
      </c>
      <c r="AJ507" s="28"/>
      <c r="AK507" s="28"/>
    </row>
    <row r="508" spans="1:37" ht="18.75" customHeight="1" x14ac:dyDescent="0.25">
      <c r="A508" s="11">
        <v>2027</v>
      </c>
      <c r="B508" s="12" t="s">
        <v>52</v>
      </c>
      <c r="C508" s="15" t="s">
        <v>341</v>
      </c>
      <c r="D508" s="39">
        <v>45932.836031516206</v>
      </c>
      <c r="E508" s="15" t="s">
        <v>342</v>
      </c>
      <c r="F508" s="15" t="s">
        <v>151</v>
      </c>
      <c r="G508" s="15" t="s">
        <v>343</v>
      </c>
      <c r="H508" s="15" t="s">
        <v>344</v>
      </c>
      <c r="I508" s="15" t="s">
        <v>63</v>
      </c>
      <c r="J508" s="15" t="s">
        <v>345</v>
      </c>
      <c r="K508" s="15" t="s">
        <v>45</v>
      </c>
      <c r="L508" s="17">
        <f>VLOOKUP(E508,[1]Diccionario!C$2:AC$150,22,0)</f>
        <v>3810581437</v>
      </c>
      <c r="M508" s="18">
        <f>VLOOKUP(E508,[1]Diccionario!C$2:AC$150,24,0)</f>
        <v>45931</v>
      </c>
      <c r="N508" s="19">
        <f>VLOOKUP(E508,[1]Diccionario!C$2:AC$150,25,0)</f>
        <v>47483</v>
      </c>
      <c r="O508" s="20">
        <f>VLOOKUP(E508,[1]Diccionario!C$2:AC$150,26,0)</f>
        <v>51</v>
      </c>
      <c r="P508" s="20">
        <f t="shared" si="86"/>
        <v>-29</v>
      </c>
      <c r="Q508" s="20">
        <v>22</v>
      </c>
      <c r="R508" s="15">
        <v>47</v>
      </c>
      <c r="S508" s="62">
        <v>0.999</v>
      </c>
      <c r="T508" s="21"/>
      <c r="U508" s="22"/>
      <c r="V508" s="24"/>
      <c r="W508" s="24">
        <f t="shared" si="87"/>
        <v>0</v>
      </c>
      <c r="X508" s="24">
        <f t="shared" si="88"/>
        <v>3806770855.5630002</v>
      </c>
      <c r="Y508" s="24">
        <f t="shared" si="89"/>
        <v>0</v>
      </c>
      <c r="Z508" s="24">
        <f t="shared" si="90"/>
        <v>-3806770855.5630002</v>
      </c>
      <c r="AA508" s="25" t="str">
        <f t="shared" si="91"/>
        <v>No se realizó gasto en este corte</v>
      </c>
      <c r="AB508" s="26" t="str">
        <f t="shared" si="92"/>
        <v>Costo eficiente: se está gastando menos de lo presupuestado</v>
      </c>
      <c r="AC508" s="26">
        <f t="shared" si="93"/>
        <v>0</v>
      </c>
      <c r="AD508" s="26" t="str">
        <f t="shared" si="94"/>
        <v>Sin Línea Base</v>
      </c>
      <c r="AE508" s="27">
        <f t="shared" si="95"/>
        <v>0</v>
      </c>
      <c r="AF508" s="27">
        <f t="shared" si="96"/>
        <v>-3810581437</v>
      </c>
      <c r="AG508" s="28" t="str">
        <f>VLOOKUP(Indicador!E523,[1]Diccionario!C$1:AC$150,27,0)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08" s="28">
        <v>1</v>
      </c>
      <c r="AI508" s="28">
        <v>1</v>
      </c>
      <c r="AJ508" s="28"/>
      <c r="AK508" s="28"/>
    </row>
    <row r="509" spans="1:37" ht="18.75" customHeight="1" x14ac:dyDescent="0.25">
      <c r="A509" s="11">
        <v>2027</v>
      </c>
      <c r="B509" s="12" t="s">
        <v>53</v>
      </c>
      <c r="C509" s="15" t="s">
        <v>341</v>
      </c>
      <c r="D509" s="39">
        <v>45932.836031516206</v>
      </c>
      <c r="E509" s="15" t="s">
        <v>342</v>
      </c>
      <c r="F509" s="15" t="s">
        <v>151</v>
      </c>
      <c r="G509" s="15" t="s">
        <v>343</v>
      </c>
      <c r="H509" s="15" t="s">
        <v>344</v>
      </c>
      <c r="I509" s="15" t="s">
        <v>63</v>
      </c>
      <c r="J509" s="15" t="s">
        <v>345</v>
      </c>
      <c r="K509" s="15" t="s">
        <v>45</v>
      </c>
      <c r="L509" s="17">
        <f>VLOOKUP(E509,[1]Diccionario!C$2:AC$150,22,0)</f>
        <v>3810581437</v>
      </c>
      <c r="M509" s="18">
        <f>VLOOKUP(E509,[1]Diccionario!C$2:AC$150,24,0)</f>
        <v>45931</v>
      </c>
      <c r="N509" s="19">
        <f>VLOOKUP(E509,[1]Diccionario!C$2:AC$150,25,0)</f>
        <v>47483</v>
      </c>
      <c r="O509" s="20">
        <f>VLOOKUP(E509,[1]Diccionario!C$2:AC$150,26,0)</f>
        <v>51</v>
      </c>
      <c r="P509" s="20">
        <f t="shared" si="86"/>
        <v>-28</v>
      </c>
      <c r="Q509" s="20">
        <v>23</v>
      </c>
      <c r="R509" s="15">
        <v>47</v>
      </c>
      <c r="S509" s="62">
        <v>0.999</v>
      </c>
      <c r="T509" s="21"/>
      <c r="U509" s="22"/>
      <c r="V509" s="24"/>
      <c r="W509" s="24">
        <f t="shared" si="87"/>
        <v>0</v>
      </c>
      <c r="X509" s="24">
        <f t="shared" si="88"/>
        <v>3806770855.5630002</v>
      </c>
      <c r="Y509" s="24">
        <f t="shared" si="89"/>
        <v>0</v>
      </c>
      <c r="Z509" s="24">
        <f t="shared" si="90"/>
        <v>-3806770855.5630002</v>
      </c>
      <c r="AA509" s="25" t="str">
        <f t="shared" si="91"/>
        <v>No se realizó gasto en este corte</v>
      </c>
      <c r="AB509" s="26" t="str">
        <f t="shared" si="92"/>
        <v>Costo eficiente: se está gastando menos de lo presupuestado</v>
      </c>
      <c r="AC509" s="26">
        <f t="shared" si="93"/>
        <v>0</v>
      </c>
      <c r="AD509" s="26" t="str">
        <f t="shared" si="94"/>
        <v>Sin Línea Base</v>
      </c>
      <c r="AE509" s="27">
        <f t="shared" si="95"/>
        <v>0</v>
      </c>
      <c r="AF509" s="27">
        <f t="shared" si="96"/>
        <v>-3810581437</v>
      </c>
      <c r="AG509" s="28" t="str">
        <f>VLOOKUP(Indicador!E524,[1]Diccionario!C$1:AC$150,27,0)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09" s="28">
        <v>1</v>
      </c>
      <c r="AI509" s="28">
        <v>1</v>
      </c>
      <c r="AJ509" s="28"/>
      <c r="AK509" s="28"/>
    </row>
    <row r="510" spans="1:37" ht="18.75" customHeight="1" x14ac:dyDescent="0.25">
      <c r="A510" s="11">
        <v>2027</v>
      </c>
      <c r="B510" s="12" t="s">
        <v>54</v>
      </c>
      <c r="C510" s="15" t="s">
        <v>341</v>
      </c>
      <c r="D510" s="39">
        <v>45932.836031516206</v>
      </c>
      <c r="E510" s="15" t="s">
        <v>342</v>
      </c>
      <c r="F510" s="15" t="s">
        <v>151</v>
      </c>
      <c r="G510" s="15" t="s">
        <v>343</v>
      </c>
      <c r="H510" s="15" t="s">
        <v>344</v>
      </c>
      <c r="I510" s="15" t="s">
        <v>63</v>
      </c>
      <c r="J510" s="15" t="s">
        <v>345</v>
      </c>
      <c r="K510" s="15" t="s">
        <v>45</v>
      </c>
      <c r="L510" s="17">
        <f>VLOOKUP(E510,[1]Diccionario!C$2:AC$150,22,0)</f>
        <v>3810581437</v>
      </c>
      <c r="M510" s="18">
        <f>VLOOKUP(E510,[1]Diccionario!C$2:AC$150,24,0)</f>
        <v>45931</v>
      </c>
      <c r="N510" s="19">
        <f>VLOOKUP(E510,[1]Diccionario!C$2:AC$150,25,0)</f>
        <v>47483</v>
      </c>
      <c r="O510" s="20">
        <f>VLOOKUP(E510,[1]Diccionario!C$2:AC$150,26,0)</f>
        <v>51</v>
      </c>
      <c r="P510" s="20">
        <f t="shared" si="86"/>
        <v>-27</v>
      </c>
      <c r="Q510" s="20">
        <v>24</v>
      </c>
      <c r="R510" s="15">
        <v>47</v>
      </c>
      <c r="S510" s="62">
        <v>0.999</v>
      </c>
      <c r="T510" s="21"/>
      <c r="U510" s="22"/>
      <c r="V510" s="24"/>
      <c r="W510" s="24">
        <f t="shared" si="87"/>
        <v>0</v>
      </c>
      <c r="X510" s="24">
        <f t="shared" si="88"/>
        <v>3806770855.5630002</v>
      </c>
      <c r="Y510" s="24">
        <f t="shared" si="89"/>
        <v>0</v>
      </c>
      <c r="Z510" s="24">
        <f t="shared" si="90"/>
        <v>-3806770855.5630002</v>
      </c>
      <c r="AA510" s="25" t="str">
        <f t="shared" si="91"/>
        <v>No se realizó gasto en este corte</v>
      </c>
      <c r="AB510" s="26" t="str">
        <f t="shared" si="92"/>
        <v>Costo eficiente: se está gastando menos de lo presupuestado</v>
      </c>
      <c r="AC510" s="26">
        <f t="shared" si="93"/>
        <v>0</v>
      </c>
      <c r="AD510" s="26" t="str">
        <f t="shared" si="94"/>
        <v>Sin Línea Base</v>
      </c>
      <c r="AE510" s="27">
        <f t="shared" si="95"/>
        <v>0</v>
      </c>
      <c r="AF510" s="27">
        <f t="shared" si="96"/>
        <v>-3810581437</v>
      </c>
      <c r="AG510" s="28" t="str">
        <f>VLOOKUP(Indicador!E525,[1]Diccionario!C$1:AC$150,27,0)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10" s="28">
        <v>1</v>
      </c>
      <c r="AI510" s="28">
        <v>1</v>
      </c>
      <c r="AJ510" s="28"/>
      <c r="AK510" s="28"/>
    </row>
    <row r="511" spans="1:37" ht="18.75" customHeight="1" x14ac:dyDescent="0.25">
      <c r="A511" s="11">
        <v>2027</v>
      </c>
      <c r="B511" s="12" t="s">
        <v>55</v>
      </c>
      <c r="C511" s="15" t="s">
        <v>341</v>
      </c>
      <c r="D511" s="39">
        <v>45932.836031516206</v>
      </c>
      <c r="E511" s="15" t="s">
        <v>342</v>
      </c>
      <c r="F511" s="15" t="s">
        <v>151</v>
      </c>
      <c r="G511" s="15" t="s">
        <v>343</v>
      </c>
      <c r="H511" s="15" t="s">
        <v>344</v>
      </c>
      <c r="I511" s="15" t="s">
        <v>63</v>
      </c>
      <c r="J511" s="15" t="s">
        <v>345</v>
      </c>
      <c r="K511" s="15" t="s">
        <v>45</v>
      </c>
      <c r="L511" s="17">
        <f>VLOOKUP(E511,[1]Diccionario!C$2:AC$150,22,0)</f>
        <v>3810581437</v>
      </c>
      <c r="M511" s="18">
        <f>VLOOKUP(E511,[1]Diccionario!C$2:AC$150,24,0)</f>
        <v>45931</v>
      </c>
      <c r="N511" s="19">
        <f>VLOOKUP(E511,[1]Diccionario!C$2:AC$150,25,0)</f>
        <v>47483</v>
      </c>
      <c r="O511" s="20">
        <f>VLOOKUP(E511,[1]Diccionario!C$2:AC$150,26,0)</f>
        <v>51</v>
      </c>
      <c r="P511" s="20">
        <f t="shared" ref="P511:P574" si="97">Q511-O511</f>
        <v>-26</v>
      </c>
      <c r="Q511" s="20">
        <v>25</v>
      </c>
      <c r="R511" s="15">
        <v>47</v>
      </c>
      <c r="S511" s="62">
        <v>0.999</v>
      </c>
      <c r="T511" s="21"/>
      <c r="U511" s="22"/>
      <c r="V511" s="24"/>
      <c r="W511" s="24">
        <f t="shared" si="87"/>
        <v>0</v>
      </c>
      <c r="X511" s="24">
        <f t="shared" si="88"/>
        <v>3806770855.5630002</v>
      </c>
      <c r="Y511" s="24">
        <f t="shared" si="89"/>
        <v>0</v>
      </c>
      <c r="Z511" s="24">
        <f t="shared" si="90"/>
        <v>-3806770855.5630002</v>
      </c>
      <c r="AA511" s="25" t="str">
        <f t="shared" si="91"/>
        <v>No se realizó gasto en este corte</v>
      </c>
      <c r="AB511" s="26" t="str">
        <f t="shared" si="92"/>
        <v>Costo eficiente: se está gastando menos de lo presupuestado</v>
      </c>
      <c r="AC511" s="26">
        <f t="shared" si="93"/>
        <v>0</v>
      </c>
      <c r="AD511" s="26" t="str">
        <f t="shared" si="94"/>
        <v>Sin Línea Base</v>
      </c>
      <c r="AE511" s="27">
        <f t="shared" si="95"/>
        <v>0</v>
      </c>
      <c r="AF511" s="27">
        <f t="shared" si="96"/>
        <v>-3810581437</v>
      </c>
      <c r="AG511" s="28" t="str">
        <f>VLOOKUP(Indicador!E526,[1]Diccionario!C$1:AC$150,27,0)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11" s="28">
        <v>1</v>
      </c>
      <c r="AI511" s="28">
        <v>1</v>
      </c>
      <c r="AJ511" s="28"/>
      <c r="AK511" s="28"/>
    </row>
    <row r="512" spans="1:37" ht="18.75" customHeight="1" x14ac:dyDescent="0.25">
      <c r="A512" s="11">
        <v>2027</v>
      </c>
      <c r="B512" s="12" t="s">
        <v>56</v>
      </c>
      <c r="C512" s="15" t="s">
        <v>341</v>
      </c>
      <c r="D512" s="39">
        <v>45932.836031516206</v>
      </c>
      <c r="E512" s="15" t="s">
        <v>342</v>
      </c>
      <c r="F512" s="15" t="s">
        <v>151</v>
      </c>
      <c r="G512" s="15" t="s">
        <v>343</v>
      </c>
      <c r="H512" s="15" t="s">
        <v>344</v>
      </c>
      <c r="I512" s="15" t="s">
        <v>63</v>
      </c>
      <c r="J512" s="15" t="s">
        <v>345</v>
      </c>
      <c r="K512" s="15" t="s">
        <v>45</v>
      </c>
      <c r="L512" s="17">
        <f>VLOOKUP(E512,[1]Diccionario!C$2:AC$150,22,0)</f>
        <v>3810581437</v>
      </c>
      <c r="M512" s="18">
        <f>VLOOKUP(E512,[1]Diccionario!C$2:AC$150,24,0)</f>
        <v>45931</v>
      </c>
      <c r="N512" s="19">
        <f>VLOOKUP(E512,[1]Diccionario!C$2:AC$150,25,0)</f>
        <v>47483</v>
      </c>
      <c r="O512" s="20">
        <f>VLOOKUP(E512,[1]Diccionario!C$2:AC$150,26,0)</f>
        <v>51</v>
      </c>
      <c r="P512" s="20">
        <f t="shared" si="97"/>
        <v>-25</v>
      </c>
      <c r="Q512" s="20">
        <v>26</v>
      </c>
      <c r="R512" s="15">
        <v>47</v>
      </c>
      <c r="S512" s="62">
        <v>0.999</v>
      </c>
      <c r="T512" s="21"/>
      <c r="U512" s="22"/>
      <c r="V512" s="24"/>
      <c r="W512" s="24">
        <f t="shared" si="87"/>
        <v>0</v>
      </c>
      <c r="X512" s="24">
        <f t="shared" si="88"/>
        <v>3806770855.5630002</v>
      </c>
      <c r="Y512" s="24">
        <f t="shared" si="89"/>
        <v>0</v>
      </c>
      <c r="Z512" s="24">
        <f t="shared" si="90"/>
        <v>-3806770855.5630002</v>
      </c>
      <c r="AA512" s="25" t="str">
        <f t="shared" si="91"/>
        <v>No se realizó gasto en este corte</v>
      </c>
      <c r="AB512" s="26" t="str">
        <f t="shared" si="92"/>
        <v>Costo eficiente: se está gastando menos de lo presupuestado</v>
      </c>
      <c r="AC512" s="26">
        <f t="shared" si="93"/>
        <v>0</v>
      </c>
      <c r="AD512" s="26" t="str">
        <f t="shared" si="94"/>
        <v>Sin Línea Base</v>
      </c>
      <c r="AE512" s="27">
        <f t="shared" si="95"/>
        <v>0</v>
      </c>
      <c r="AF512" s="27">
        <f t="shared" si="96"/>
        <v>-3810581437</v>
      </c>
      <c r="AG512" s="28" t="str">
        <f>VLOOKUP(Indicador!E527,[1]Diccionario!C$1:AC$150,27,0)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12" s="28">
        <v>1</v>
      </c>
      <c r="AI512" s="28">
        <v>1</v>
      </c>
      <c r="AJ512" s="28"/>
      <c r="AK512" s="28"/>
    </row>
    <row r="513" spans="1:37" ht="18.75" customHeight="1" x14ac:dyDescent="0.25">
      <c r="A513" s="11">
        <v>2027</v>
      </c>
      <c r="B513" s="12" t="s">
        <v>57</v>
      </c>
      <c r="C513" s="15" t="s">
        <v>341</v>
      </c>
      <c r="D513" s="39">
        <v>45932.836031516206</v>
      </c>
      <c r="E513" s="15" t="s">
        <v>342</v>
      </c>
      <c r="F513" s="15" t="s">
        <v>151</v>
      </c>
      <c r="G513" s="15" t="s">
        <v>343</v>
      </c>
      <c r="H513" s="15" t="s">
        <v>344</v>
      </c>
      <c r="I513" s="15" t="s">
        <v>63</v>
      </c>
      <c r="J513" s="15" t="s">
        <v>345</v>
      </c>
      <c r="K513" s="15" t="s">
        <v>45</v>
      </c>
      <c r="L513" s="17">
        <f>VLOOKUP(E513,[1]Diccionario!C$2:AC$150,22,0)</f>
        <v>3810581437</v>
      </c>
      <c r="M513" s="18">
        <f>VLOOKUP(E513,[1]Diccionario!C$2:AC$150,24,0)</f>
        <v>45931</v>
      </c>
      <c r="N513" s="19">
        <f>VLOOKUP(E513,[1]Diccionario!C$2:AC$150,25,0)</f>
        <v>47483</v>
      </c>
      <c r="O513" s="20">
        <f>VLOOKUP(E513,[1]Diccionario!C$2:AC$150,26,0)</f>
        <v>51</v>
      </c>
      <c r="P513" s="20">
        <f t="shared" si="97"/>
        <v>-24</v>
      </c>
      <c r="Q513" s="20">
        <v>27</v>
      </c>
      <c r="R513" s="15">
        <v>47</v>
      </c>
      <c r="S513" s="62">
        <v>0.999</v>
      </c>
      <c r="T513" s="21"/>
      <c r="U513" s="22"/>
      <c r="V513" s="24"/>
      <c r="W513" s="24">
        <f t="shared" si="87"/>
        <v>0</v>
      </c>
      <c r="X513" s="24">
        <f t="shared" si="88"/>
        <v>3806770855.5630002</v>
      </c>
      <c r="Y513" s="24">
        <f t="shared" si="89"/>
        <v>0</v>
      </c>
      <c r="Z513" s="24">
        <f t="shared" si="90"/>
        <v>-3806770855.5630002</v>
      </c>
      <c r="AA513" s="25" t="str">
        <f t="shared" si="91"/>
        <v>No se realizó gasto en este corte</v>
      </c>
      <c r="AB513" s="26" t="str">
        <f t="shared" si="92"/>
        <v>Costo eficiente: se está gastando menos de lo presupuestado</v>
      </c>
      <c r="AC513" s="26">
        <f t="shared" si="93"/>
        <v>0</v>
      </c>
      <c r="AD513" s="26" t="str">
        <f t="shared" si="94"/>
        <v>Sin Línea Base</v>
      </c>
      <c r="AE513" s="27">
        <f t="shared" si="95"/>
        <v>0</v>
      </c>
      <c r="AF513" s="27">
        <f t="shared" si="96"/>
        <v>-3810581437</v>
      </c>
      <c r="AG513" s="28" t="str">
        <f>VLOOKUP(Indicador!E528,[1]Diccionario!C$1:AC$150,27,0)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13" s="28">
        <v>1</v>
      </c>
      <c r="AI513" s="28">
        <v>1</v>
      </c>
      <c r="AJ513" s="28"/>
      <c r="AK513" s="28"/>
    </row>
    <row r="514" spans="1:37" ht="18.75" customHeight="1" x14ac:dyDescent="0.25">
      <c r="A514" s="11">
        <v>2028</v>
      </c>
      <c r="B514" s="12" t="s">
        <v>37</v>
      </c>
      <c r="C514" s="15" t="s">
        <v>341</v>
      </c>
      <c r="D514" s="39">
        <v>45932.836031516206</v>
      </c>
      <c r="E514" s="15" t="s">
        <v>342</v>
      </c>
      <c r="F514" s="15" t="s">
        <v>151</v>
      </c>
      <c r="G514" s="15" t="s">
        <v>343</v>
      </c>
      <c r="H514" s="15" t="s">
        <v>344</v>
      </c>
      <c r="I514" s="15" t="s">
        <v>63</v>
      </c>
      <c r="J514" s="15" t="s">
        <v>345</v>
      </c>
      <c r="K514" s="15" t="s">
        <v>45</v>
      </c>
      <c r="L514" s="17">
        <f>VLOOKUP(E514,[1]Diccionario!C$2:AC$150,22,0)</f>
        <v>3810581437</v>
      </c>
      <c r="M514" s="18">
        <f>VLOOKUP(E514,[1]Diccionario!C$2:AC$150,24,0)</f>
        <v>45931</v>
      </c>
      <c r="N514" s="19">
        <f>VLOOKUP(E514,[1]Diccionario!C$2:AC$150,25,0)</f>
        <v>47483</v>
      </c>
      <c r="O514" s="20">
        <f>VLOOKUP(E514,[1]Diccionario!C$2:AC$150,26,0)</f>
        <v>51</v>
      </c>
      <c r="P514" s="20">
        <f t="shared" si="97"/>
        <v>-23</v>
      </c>
      <c r="Q514" s="20">
        <v>28</v>
      </c>
      <c r="R514" s="15">
        <v>47</v>
      </c>
      <c r="S514" s="62">
        <v>0.999</v>
      </c>
      <c r="T514" s="21"/>
      <c r="U514" s="22"/>
      <c r="V514" s="24"/>
      <c r="W514" s="24">
        <f t="shared" ref="W514:W577" si="98">IFERROR(T514*L514,0)</f>
        <v>0</v>
      </c>
      <c r="X514" s="24">
        <f t="shared" ref="X514:X577" si="99">S514*L514</f>
        <v>3806770855.5630002</v>
      </c>
      <c r="Y514" s="24">
        <f t="shared" ref="Y514:Y577" si="100">IFERROR(W514-U514,0)</f>
        <v>0</v>
      </c>
      <c r="Z514" s="24">
        <f t="shared" ref="Z514:Z577" si="101">W514-X514</f>
        <v>-3806770855.5630002</v>
      </c>
      <c r="AA514" s="25" t="str">
        <f t="shared" ref="AA514:AA577" si="102">IFERROR(W514/U514,"No se realizó gasto en este corte")</f>
        <v>No se realizó gasto en este corte</v>
      </c>
      <c r="AB514" s="26" t="str">
        <f t="shared" ref="AB514:AB577" si="103">IFERROR(
  IF(OR(AA514="",AA514=0),
    "No calculado",
    IF(AA514&gt;1,"Costo eficiente: se está gastando menos de lo presupuestado",
      IF(AA514=1,"Costo según lo presupuestado",
        "Costo ineficiente: se está gastando más de lo presupuestado"))),
"No calculado")</f>
        <v>Costo eficiente: se está gastando menos de lo presupuestado</v>
      </c>
      <c r="AC514" s="26">
        <f t="shared" ref="AC514:AC577" si="104">IFERROR(W514/X514,0)</f>
        <v>0</v>
      </c>
      <c r="AD514" s="26" t="str">
        <f t="shared" ref="AD514:AD577" si="105">IF(OR(AC514="",AC514=0),"Sin Línea Base",
IF(AC514&gt;1,"Proyecto adelantado respecto al cronograma",
IF(AC514=1,"Proyecto a tiempo según lo planificado",
IF(AC514&lt;1,"Proyecto atrasado con respecto al cronograma",
"No calculado"))))</f>
        <v>Sin Línea Base</v>
      </c>
      <c r="AE514" s="27">
        <f t="shared" ref="AE514:AE577" si="106">IFERROR(L514/AA514,0)</f>
        <v>0</v>
      </c>
      <c r="AF514" s="27">
        <f t="shared" ref="AF514:AF577" si="107">IFERROR(AE514-L514,0)</f>
        <v>-3810581437</v>
      </c>
      <c r="AG514" s="28" t="str">
        <f>VLOOKUP(Indicador!E529,[1]Diccionario!C$1:AC$150,27,0)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14" s="28">
        <v>1</v>
      </c>
      <c r="AI514" s="28">
        <v>1</v>
      </c>
      <c r="AJ514" s="28"/>
      <c r="AK514" s="28"/>
    </row>
    <row r="515" spans="1:37" ht="18.75" customHeight="1" x14ac:dyDescent="0.25">
      <c r="A515" s="11">
        <v>2028</v>
      </c>
      <c r="B515" s="12" t="s">
        <v>47</v>
      </c>
      <c r="C515" s="15" t="s">
        <v>341</v>
      </c>
      <c r="D515" s="39">
        <v>45932.836031516206</v>
      </c>
      <c r="E515" s="15" t="s">
        <v>342</v>
      </c>
      <c r="F515" s="15" t="s">
        <v>151</v>
      </c>
      <c r="G515" s="15" t="s">
        <v>343</v>
      </c>
      <c r="H515" s="15" t="s">
        <v>344</v>
      </c>
      <c r="I515" s="15" t="s">
        <v>63</v>
      </c>
      <c r="J515" s="15" t="s">
        <v>345</v>
      </c>
      <c r="K515" s="15" t="s">
        <v>45</v>
      </c>
      <c r="L515" s="17">
        <f>VLOOKUP(E515,[1]Diccionario!C$2:AC$150,22,0)</f>
        <v>3810581437</v>
      </c>
      <c r="M515" s="18">
        <f>VLOOKUP(E515,[1]Diccionario!C$2:AC$150,24,0)</f>
        <v>45931</v>
      </c>
      <c r="N515" s="19">
        <f>VLOOKUP(E515,[1]Diccionario!C$2:AC$150,25,0)</f>
        <v>47483</v>
      </c>
      <c r="O515" s="20">
        <f>VLOOKUP(E515,[1]Diccionario!C$2:AC$150,26,0)</f>
        <v>51</v>
      </c>
      <c r="P515" s="20">
        <f t="shared" si="97"/>
        <v>-22</v>
      </c>
      <c r="Q515" s="20">
        <v>29</v>
      </c>
      <c r="R515" s="15">
        <v>47</v>
      </c>
      <c r="S515" s="62">
        <v>0.999</v>
      </c>
      <c r="T515" s="21"/>
      <c r="U515" s="22"/>
      <c r="V515" s="24"/>
      <c r="W515" s="24">
        <f t="shared" si="98"/>
        <v>0</v>
      </c>
      <c r="X515" s="24">
        <f t="shared" si="99"/>
        <v>3806770855.5630002</v>
      </c>
      <c r="Y515" s="24">
        <f t="shared" si="100"/>
        <v>0</v>
      </c>
      <c r="Z515" s="24">
        <f t="shared" si="101"/>
        <v>-3806770855.5630002</v>
      </c>
      <c r="AA515" s="25" t="str">
        <f t="shared" si="102"/>
        <v>No se realizó gasto en este corte</v>
      </c>
      <c r="AB515" s="26" t="str">
        <f t="shared" si="103"/>
        <v>Costo eficiente: se está gastando menos de lo presupuestado</v>
      </c>
      <c r="AC515" s="26">
        <f t="shared" si="104"/>
        <v>0</v>
      </c>
      <c r="AD515" s="26" t="str">
        <f t="shared" si="105"/>
        <v>Sin Línea Base</v>
      </c>
      <c r="AE515" s="27">
        <f t="shared" si="106"/>
        <v>0</v>
      </c>
      <c r="AF515" s="27">
        <f t="shared" si="107"/>
        <v>-3810581437</v>
      </c>
      <c r="AG515" s="28" t="str">
        <f>VLOOKUP(Indicador!E530,[1]Diccionario!C$1:AC$150,27,0)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15" s="28">
        <v>1</v>
      </c>
      <c r="AI515" s="28">
        <v>1</v>
      </c>
      <c r="AJ515" s="28"/>
      <c r="AK515" s="28"/>
    </row>
    <row r="516" spans="1:37" ht="18.75" customHeight="1" x14ac:dyDescent="0.25">
      <c r="A516" s="11">
        <v>2028</v>
      </c>
      <c r="B516" s="12" t="s">
        <v>48</v>
      </c>
      <c r="C516" s="15" t="s">
        <v>341</v>
      </c>
      <c r="D516" s="39">
        <v>45932.836031516206</v>
      </c>
      <c r="E516" s="15" t="s">
        <v>342</v>
      </c>
      <c r="F516" s="15" t="s">
        <v>151</v>
      </c>
      <c r="G516" s="15" t="s">
        <v>343</v>
      </c>
      <c r="H516" s="15" t="s">
        <v>344</v>
      </c>
      <c r="I516" s="15" t="s">
        <v>63</v>
      </c>
      <c r="J516" s="15" t="s">
        <v>345</v>
      </c>
      <c r="K516" s="15" t="s">
        <v>45</v>
      </c>
      <c r="L516" s="17">
        <f>VLOOKUP(E516,[1]Diccionario!C$2:AC$150,22,0)</f>
        <v>3810581437</v>
      </c>
      <c r="M516" s="18">
        <f>VLOOKUP(E516,[1]Diccionario!C$2:AC$150,24,0)</f>
        <v>45931</v>
      </c>
      <c r="N516" s="19">
        <f>VLOOKUP(E516,[1]Diccionario!C$2:AC$150,25,0)</f>
        <v>47483</v>
      </c>
      <c r="O516" s="20">
        <f>VLOOKUP(E516,[1]Diccionario!C$2:AC$150,26,0)</f>
        <v>51</v>
      </c>
      <c r="P516" s="20">
        <f t="shared" si="97"/>
        <v>-21</v>
      </c>
      <c r="Q516" s="20">
        <v>30</v>
      </c>
      <c r="R516" s="15">
        <v>47</v>
      </c>
      <c r="S516" s="62">
        <v>0.999</v>
      </c>
      <c r="T516" s="21"/>
      <c r="U516" s="22"/>
      <c r="V516" s="24"/>
      <c r="W516" s="24">
        <f t="shared" si="98"/>
        <v>0</v>
      </c>
      <c r="X516" s="24">
        <f t="shared" si="99"/>
        <v>3806770855.5630002</v>
      </c>
      <c r="Y516" s="24">
        <f t="shared" si="100"/>
        <v>0</v>
      </c>
      <c r="Z516" s="24">
        <f t="shared" si="101"/>
        <v>-3806770855.5630002</v>
      </c>
      <c r="AA516" s="25" t="str">
        <f t="shared" si="102"/>
        <v>No se realizó gasto en este corte</v>
      </c>
      <c r="AB516" s="26" t="str">
        <f t="shared" si="103"/>
        <v>Costo eficiente: se está gastando menos de lo presupuestado</v>
      </c>
      <c r="AC516" s="26">
        <f t="shared" si="104"/>
        <v>0</v>
      </c>
      <c r="AD516" s="26" t="str">
        <f t="shared" si="105"/>
        <v>Sin Línea Base</v>
      </c>
      <c r="AE516" s="27">
        <f t="shared" si="106"/>
        <v>0</v>
      </c>
      <c r="AF516" s="27">
        <f t="shared" si="107"/>
        <v>-3810581437</v>
      </c>
      <c r="AG516" s="28" t="str">
        <f>VLOOKUP(Indicador!E531,[1]Diccionario!C$1:AC$150,27,0)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16" s="28">
        <v>1</v>
      </c>
      <c r="AI516" s="28">
        <v>1</v>
      </c>
      <c r="AJ516" s="28"/>
      <c r="AK516" s="28"/>
    </row>
    <row r="517" spans="1:37" ht="18.75" customHeight="1" x14ac:dyDescent="0.25">
      <c r="A517" s="11">
        <v>2028</v>
      </c>
      <c r="B517" s="12" t="s">
        <v>49</v>
      </c>
      <c r="C517" s="15" t="s">
        <v>341</v>
      </c>
      <c r="D517" s="39">
        <v>45932.836031516206</v>
      </c>
      <c r="E517" s="15" t="s">
        <v>342</v>
      </c>
      <c r="F517" s="15" t="s">
        <v>151</v>
      </c>
      <c r="G517" s="15" t="s">
        <v>343</v>
      </c>
      <c r="H517" s="15" t="s">
        <v>344</v>
      </c>
      <c r="I517" s="15" t="s">
        <v>63</v>
      </c>
      <c r="J517" s="15" t="s">
        <v>345</v>
      </c>
      <c r="K517" s="15" t="s">
        <v>45</v>
      </c>
      <c r="L517" s="17">
        <f>VLOOKUP(E517,[1]Diccionario!C$2:AC$150,22,0)</f>
        <v>3810581437</v>
      </c>
      <c r="M517" s="18">
        <f>VLOOKUP(E517,[1]Diccionario!C$2:AC$150,24,0)</f>
        <v>45931</v>
      </c>
      <c r="N517" s="19">
        <f>VLOOKUP(E517,[1]Diccionario!C$2:AC$150,25,0)</f>
        <v>47483</v>
      </c>
      <c r="O517" s="20">
        <f>VLOOKUP(E517,[1]Diccionario!C$2:AC$150,26,0)</f>
        <v>51</v>
      </c>
      <c r="P517" s="20">
        <f t="shared" si="97"/>
        <v>-20</v>
      </c>
      <c r="Q517" s="20">
        <v>31</v>
      </c>
      <c r="R517" s="15">
        <v>47</v>
      </c>
      <c r="S517" s="62">
        <v>0.999</v>
      </c>
      <c r="T517" s="21"/>
      <c r="U517" s="22"/>
      <c r="V517" s="24"/>
      <c r="W517" s="24">
        <f t="shared" si="98"/>
        <v>0</v>
      </c>
      <c r="X517" s="24">
        <f t="shared" si="99"/>
        <v>3806770855.5630002</v>
      </c>
      <c r="Y517" s="24">
        <f t="shared" si="100"/>
        <v>0</v>
      </c>
      <c r="Z517" s="24">
        <f t="shared" si="101"/>
        <v>-3806770855.5630002</v>
      </c>
      <c r="AA517" s="25" t="str">
        <f t="shared" si="102"/>
        <v>No se realizó gasto en este corte</v>
      </c>
      <c r="AB517" s="26" t="str">
        <f t="shared" si="103"/>
        <v>Costo eficiente: se está gastando menos de lo presupuestado</v>
      </c>
      <c r="AC517" s="26">
        <f t="shared" si="104"/>
        <v>0</v>
      </c>
      <c r="AD517" s="26" t="str">
        <f t="shared" si="105"/>
        <v>Sin Línea Base</v>
      </c>
      <c r="AE517" s="27">
        <f t="shared" si="106"/>
        <v>0</v>
      </c>
      <c r="AF517" s="27">
        <f t="shared" si="107"/>
        <v>-3810581437</v>
      </c>
      <c r="AG517" s="28" t="str">
        <f>VLOOKUP(Indicador!E532,[1]Diccionario!C$1:AC$150,27,0)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17" s="28">
        <v>1</v>
      </c>
      <c r="AI517" s="28">
        <v>1</v>
      </c>
      <c r="AJ517" s="28"/>
      <c r="AK517" s="28"/>
    </row>
    <row r="518" spans="1:37" ht="18.75" customHeight="1" x14ac:dyDescent="0.25">
      <c r="A518" s="11">
        <v>2028</v>
      </c>
      <c r="B518" s="12" t="s">
        <v>50</v>
      </c>
      <c r="C518" s="15" t="s">
        <v>341</v>
      </c>
      <c r="D518" s="39">
        <v>45932.836031516206</v>
      </c>
      <c r="E518" s="15" t="s">
        <v>342</v>
      </c>
      <c r="F518" s="15" t="s">
        <v>151</v>
      </c>
      <c r="G518" s="15" t="s">
        <v>343</v>
      </c>
      <c r="H518" s="15" t="s">
        <v>344</v>
      </c>
      <c r="I518" s="15" t="s">
        <v>63</v>
      </c>
      <c r="J518" s="15" t="s">
        <v>345</v>
      </c>
      <c r="K518" s="15" t="s">
        <v>45</v>
      </c>
      <c r="L518" s="17">
        <f>VLOOKUP(E518,[1]Diccionario!C$2:AC$150,22,0)</f>
        <v>3810581437</v>
      </c>
      <c r="M518" s="18">
        <f>VLOOKUP(E518,[1]Diccionario!C$2:AC$150,24,0)</f>
        <v>45931</v>
      </c>
      <c r="N518" s="19">
        <f>VLOOKUP(E518,[1]Diccionario!C$2:AC$150,25,0)</f>
        <v>47483</v>
      </c>
      <c r="O518" s="20">
        <f>VLOOKUP(E518,[1]Diccionario!C$2:AC$150,26,0)</f>
        <v>51</v>
      </c>
      <c r="P518" s="20">
        <f t="shared" si="97"/>
        <v>-19</v>
      </c>
      <c r="Q518" s="20">
        <v>32</v>
      </c>
      <c r="R518" s="15">
        <v>47</v>
      </c>
      <c r="S518" s="62">
        <v>0.999</v>
      </c>
      <c r="T518" s="21"/>
      <c r="U518" s="22"/>
      <c r="V518" s="24"/>
      <c r="W518" s="24">
        <f t="shared" si="98"/>
        <v>0</v>
      </c>
      <c r="X518" s="24">
        <f t="shared" si="99"/>
        <v>3806770855.5630002</v>
      </c>
      <c r="Y518" s="24">
        <f t="shared" si="100"/>
        <v>0</v>
      </c>
      <c r="Z518" s="24">
        <f t="shared" si="101"/>
        <v>-3806770855.5630002</v>
      </c>
      <c r="AA518" s="25" t="str">
        <f t="shared" si="102"/>
        <v>No se realizó gasto en este corte</v>
      </c>
      <c r="AB518" s="26" t="str">
        <f t="shared" si="103"/>
        <v>Costo eficiente: se está gastando menos de lo presupuestado</v>
      </c>
      <c r="AC518" s="26">
        <f t="shared" si="104"/>
        <v>0</v>
      </c>
      <c r="AD518" s="26" t="str">
        <f t="shared" si="105"/>
        <v>Sin Línea Base</v>
      </c>
      <c r="AE518" s="27">
        <f t="shared" si="106"/>
        <v>0</v>
      </c>
      <c r="AF518" s="27">
        <f t="shared" si="107"/>
        <v>-3810581437</v>
      </c>
      <c r="AG518" s="28" t="str">
        <f>VLOOKUP(Indicador!E533,[1]Diccionario!C$1:AC$150,27,0)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18" s="28">
        <v>1</v>
      </c>
      <c r="AI518" s="28">
        <v>1</v>
      </c>
      <c r="AJ518" s="28"/>
      <c r="AK518" s="28"/>
    </row>
    <row r="519" spans="1:37" ht="18.75" customHeight="1" x14ac:dyDescent="0.25">
      <c r="A519" s="11">
        <v>2028</v>
      </c>
      <c r="B519" s="12" t="s">
        <v>51</v>
      </c>
      <c r="C519" s="15" t="s">
        <v>341</v>
      </c>
      <c r="D519" s="39">
        <v>45932.836031516206</v>
      </c>
      <c r="E519" s="15" t="s">
        <v>342</v>
      </c>
      <c r="F519" s="15" t="s">
        <v>151</v>
      </c>
      <c r="G519" s="15" t="s">
        <v>343</v>
      </c>
      <c r="H519" s="15" t="s">
        <v>344</v>
      </c>
      <c r="I519" s="15" t="s">
        <v>63</v>
      </c>
      <c r="J519" s="15" t="s">
        <v>345</v>
      </c>
      <c r="K519" s="15" t="s">
        <v>45</v>
      </c>
      <c r="L519" s="17">
        <f>VLOOKUP(E519,[1]Diccionario!C$2:AC$150,22,0)</f>
        <v>3810581437</v>
      </c>
      <c r="M519" s="18">
        <f>VLOOKUP(E519,[1]Diccionario!C$2:AC$150,24,0)</f>
        <v>45931</v>
      </c>
      <c r="N519" s="19">
        <f>VLOOKUP(E519,[1]Diccionario!C$2:AC$150,25,0)</f>
        <v>47483</v>
      </c>
      <c r="O519" s="20">
        <f>VLOOKUP(E519,[1]Diccionario!C$2:AC$150,26,0)</f>
        <v>51</v>
      </c>
      <c r="P519" s="20">
        <f t="shared" si="97"/>
        <v>-18</v>
      </c>
      <c r="Q519" s="20">
        <v>33</v>
      </c>
      <c r="R519" s="15">
        <v>47</v>
      </c>
      <c r="S519" s="62">
        <v>0.999</v>
      </c>
      <c r="T519" s="21"/>
      <c r="U519" s="22"/>
      <c r="V519" s="24"/>
      <c r="W519" s="24">
        <f t="shared" si="98"/>
        <v>0</v>
      </c>
      <c r="X519" s="24">
        <f t="shared" si="99"/>
        <v>3806770855.5630002</v>
      </c>
      <c r="Y519" s="24">
        <f t="shared" si="100"/>
        <v>0</v>
      </c>
      <c r="Z519" s="24">
        <f t="shared" si="101"/>
        <v>-3806770855.5630002</v>
      </c>
      <c r="AA519" s="25" t="str">
        <f t="shared" si="102"/>
        <v>No se realizó gasto en este corte</v>
      </c>
      <c r="AB519" s="26" t="str">
        <f t="shared" si="103"/>
        <v>Costo eficiente: se está gastando menos de lo presupuestado</v>
      </c>
      <c r="AC519" s="26">
        <f t="shared" si="104"/>
        <v>0</v>
      </c>
      <c r="AD519" s="26" t="str">
        <f t="shared" si="105"/>
        <v>Sin Línea Base</v>
      </c>
      <c r="AE519" s="27">
        <f t="shared" si="106"/>
        <v>0</v>
      </c>
      <c r="AF519" s="27">
        <f t="shared" si="107"/>
        <v>-3810581437</v>
      </c>
      <c r="AG519" s="28" t="str">
        <f>VLOOKUP(Indicador!E534,[1]Diccionario!C$1:AC$150,27,0)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19" s="28">
        <v>1</v>
      </c>
      <c r="AI519" s="28">
        <v>1</v>
      </c>
      <c r="AJ519" s="28"/>
      <c r="AK519" s="28"/>
    </row>
    <row r="520" spans="1:37" ht="18.75" customHeight="1" x14ac:dyDescent="0.25">
      <c r="A520" s="11">
        <v>2028</v>
      </c>
      <c r="B520" s="12" t="s">
        <v>52</v>
      </c>
      <c r="C520" s="15" t="s">
        <v>341</v>
      </c>
      <c r="D520" s="39">
        <v>45932.836031516206</v>
      </c>
      <c r="E520" s="15" t="s">
        <v>342</v>
      </c>
      <c r="F520" s="15" t="s">
        <v>151</v>
      </c>
      <c r="G520" s="15" t="s">
        <v>343</v>
      </c>
      <c r="H520" s="15" t="s">
        <v>344</v>
      </c>
      <c r="I520" s="15" t="s">
        <v>63</v>
      </c>
      <c r="J520" s="15" t="s">
        <v>345</v>
      </c>
      <c r="K520" s="15" t="s">
        <v>45</v>
      </c>
      <c r="L520" s="17">
        <f>VLOOKUP(E520,[1]Diccionario!C$2:AC$150,22,0)</f>
        <v>3810581437</v>
      </c>
      <c r="M520" s="18">
        <f>VLOOKUP(E520,[1]Diccionario!C$2:AC$150,24,0)</f>
        <v>45931</v>
      </c>
      <c r="N520" s="19">
        <f>VLOOKUP(E520,[1]Diccionario!C$2:AC$150,25,0)</f>
        <v>47483</v>
      </c>
      <c r="O520" s="20">
        <f>VLOOKUP(E520,[1]Diccionario!C$2:AC$150,26,0)</f>
        <v>51</v>
      </c>
      <c r="P520" s="20">
        <f t="shared" si="97"/>
        <v>-17</v>
      </c>
      <c r="Q520" s="20">
        <v>34</v>
      </c>
      <c r="R520" s="15">
        <v>47</v>
      </c>
      <c r="S520" s="62">
        <v>0.999</v>
      </c>
      <c r="T520" s="21"/>
      <c r="U520" s="22"/>
      <c r="V520" s="24"/>
      <c r="W520" s="24">
        <f t="shared" si="98"/>
        <v>0</v>
      </c>
      <c r="X520" s="24">
        <f t="shared" si="99"/>
        <v>3806770855.5630002</v>
      </c>
      <c r="Y520" s="24">
        <f t="shared" si="100"/>
        <v>0</v>
      </c>
      <c r="Z520" s="24">
        <f t="shared" si="101"/>
        <v>-3806770855.5630002</v>
      </c>
      <c r="AA520" s="25" t="str">
        <f t="shared" si="102"/>
        <v>No se realizó gasto en este corte</v>
      </c>
      <c r="AB520" s="26" t="str">
        <f t="shared" si="103"/>
        <v>Costo eficiente: se está gastando menos de lo presupuestado</v>
      </c>
      <c r="AC520" s="26">
        <f t="shared" si="104"/>
        <v>0</v>
      </c>
      <c r="AD520" s="26" t="str">
        <f t="shared" si="105"/>
        <v>Sin Línea Base</v>
      </c>
      <c r="AE520" s="27">
        <f t="shared" si="106"/>
        <v>0</v>
      </c>
      <c r="AF520" s="27">
        <f t="shared" si="107"/>
        <v>-3810581437</v>
      </c>
      <c r="AG520" s="28" t="str">
        <f>VLOOKUP(Indicador!E535,[1]Diccionario!C$1:AC$150,27,0)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20" s="28">
        <v>1</v>
      </c>
      <c r="AI520" s="28">
        <v>1</v>
      </c>
      <c r="AJ520" s="28"/>
      <c r="AK520" s="28"/>
    </row>
    <row r="521" spans="1:37" ht="18.75" customHeight="1" x14ac:dyDescent="0.25">
      <c r="A521" s="11">
        <v>2028</v>
      </c>
      <c r="B521" s="12" t="s">
        <v>53</v>
      </c>
      <c r="C521" s="15" t="s">
        <v>341</v>
      </c>
      <c r="D521" s="39">
        <v>45932.836031516206</v>
      </c>
      <c r="E521" s="15" t="s">
        <v>342</v>
      </c>
      <c r="F521" s="15" t="s">
        <v>151</v>
      </c>
      <c r="G521" s="15" t="s">
        <v>343</v>
      </c>
      <c r="H521" s="15" t="s">
        <v>344</v>
      </c>
      <c r="I521" s="15" t="s">
        <v>63</v>
      </c>
      <c r="J521" s="15" t="s">
        <v>345</v>
      </c>
      <c r="K521" s="15" t="s">
        <v>45</v>
      </c>
      <c r="L521" s="17">
        <f>VLOOKUP(E521,[1]Diccionario!C$2:AC$150,22,0)</f>
        <v>3810581437</v>
      </c>
      <c r="M521" s="18">
        <f>VLOOKUP(E521,[1]Diccionario!C$2:AC$150,24,0)</f>
        <v>45931</v>
      </c>
      <c r="N521" s="19">
        <f>VLOOKUP(E521,[1]Diccionario!C$2:AC$150,25,0)</f>
        <v>47483</v>
      </c>
      <c r="O521" s="20">
        <f>VLOOKUP(E521,[1]Diccionario!C$2:AC$150,26,0)</f>
        <v>51</v>
      </c>
      <c r="P521" s="20">
        <f t="shared" si="97"/>
        <v>-16</v>
      </c>
      <c r="Q521" s="20">
        <v>35</v>
      </c>
      <c r="R521" s="15">
        <v>47</v>
      </c>
      <c r="S521" s="62">
        <v>0.999</v>
      </c>
      <c r="T521" s="21"/>
      <c r="U521" s="22"/>
      <c r="V521" s="24"/>
      <c r="W521" s="24">
        <f t="shared" si="98"/>
        <v>0</v>
      </c>
      <c r="X521" s="24">
        <f t="shared" si="99"/>
        <v>3806770855.5630002</v>
      </c>
      <c r="Y521" s="24">
        <f t="shared" si="100"/>
        <v>0</v>
      </c>
      <c r="Z521" s="24">
        <f t="shared" si="101"/>
        <v>-3806770855.5630002</v>
      </c>
      <c r="AA521" s="25" t="str">
        <f t="shared" si="102"/>
        <v>No se realizó gasto en este corte</v>
      </c>
      <c r="AB521" s="26" t="str">
        <f t="shared" si="103"/>
        <v>Costo eficiente: se está gastando menos de lo presupuestado</v>
      </c>
      <c r="AC521" s="26">
        <f t="shared" si="104"/>
        <v>0</v>
      </c>
      <c r="AD521" s="26" t="str">
        <f t="shared" si="105"/>
        <v>Sin Línea Base</v>
      </c>
      <c r="AE521" s="27">
        <f t="shared" si="106"/>
        <v>0</v>
      </c>
      <c r="AF521" s="27">
        <f t="shared" si="107"/>
        <v>-3810581437</v>
      </c>
      <c r="AG521" s="28" t="str">
        <f>VLOOKUP(Indicador!E536,[1]Diccionario!C$1:AC$150,27,0)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21" s="28">
        <v>1</v>
      </c>
      <c r="AI521" s="28">
        <v>1</v>
      </c>
      <c r="AJ521" s="28"/>
      <c r="AK521" s="28"/>
    </row>
    <row r="522" spans="1:37" ht="18.75" customHeight="1" x14ac:dyDescent="0.25">
      <c r="A522" s="11">
        <v>2028</v>
      </c>
      <c r="B522" s="12" t="s">
        <v>54</v>
      </c>
      <c r="C522" s="15" t="s">
        <v>341</v>
      </c>
      <c r="D522" s="39">
        <v>45932.836031516206</v>
      </c>
      <c r="E522" s="15" t="s">
        <v>342</v>
      </c>
      <c r="F522" s="15" t="s">
        <v>151</v>
      </c>
      <c r="G522" s="15" t="s">
        <v>343</v>
      </c>
      <c r="H522" s="15" t="s">
        <v>344</v>
      </c>
      <c r="I522" s="15" t="s">
        <v>63</v>
      </c>
      <c r="J522" s="15" t="s">
        <v>345</v>
      </c>
      <c r="K522" s="15" t="s">
        <v>45</v>
      </c>
      <c r="L522" s="17">
        <f>VLOOKUP(E522,[1]Diccionario!C$2:AC$150,22,0)</f>
        <v>3810581437</v>
      </c>
      <c r="M522" s="18">
        <f>VLOOKUP(E522,[1]Diccionario!C$2:AC$150,24,0)</f>
        <v>45931</v>
      </c>
      <c r="N522" s="19">
        <f>VLOOKUP(E522,[1]Diccionario!C$2:AC$150,25,0)</f>
        <v>47483</v>
      </c>
      <c r="O522" s="20">
        <f>VLOOKUP(E522,[1]Diccionario!C$2:AC$150,26,0)</f>
        <v>51</v>
      </c>
      <c r="P522" s="20">
        <f t="shared" si="97"/>
        <v>-15</v>
      </c>
      <c r="Q522" s="20">
        <v>36</v>
      </c>
      <c r="R522" s="15">
        <v>47</v>
      </c>
      <c r="S522" s="62">
        <v>0.999</v>
      </c>
      <c r="T522" s="21"/>
      <c r="U522" s="22"/>
      <c r="V522" s="24"/>
      <c r="W522" s="24">
        <f t="shared" si="98"/>
        <v>0</v>
      </c>
      <c r="X522" s="24">
        <f t="shared" si="99"/>
        <v>3806770855.5630002</v>
      </c>
      <c r="Y522" s="24">
        <f t="shared" si="100"/>
        <v>0</v>
      </c>
      <c r="Z522" s="24">
        <f t="shared" si="101"/>
        <v>-3806770855.5630002</v>
      </c>
      <c r="AA522" s="25" t="str">
        <f t="shared" si="102"/>
        <v>No se realizó gasto en este corte</v>
      </c>
      <c r="AB522" s="26" t="str">
        <f t="shared" si="103"/>
        <v>Costo eficiente: se está gastando menos de lo presupuestado</v>
      </c>
      <c r="AC522" s="26">
        <f t="shared" si="104"/>
        <v>0</v>
      </c>
      <c r="AD522" s="26" t="str">
        <f t="shared" si="105"/>
        <v>Sin Línea Base</v>
      </c>
      <c r="AE522" s="27">
        <f t="shared" si="106"/>
        <v>0</v>
      </c>
      <c r="AF522" s="27">
        <f t="shared" si="107"/>
        <v>-3810581437</v>
      </c>
      <c r="AG522" s="28" t="str">
        <f>VLOOKUP(Indicador!E537,[1]Diccionario!C$1:AC$150,27,0)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22" s="28">
        <v>1</v>
      </c>
      <c r="AI522" s="28">
        <v>1</v>
      </c>
      <c r="AJ522" s="28"/>
      <c r="AK522" s="28"/>
    </row>
    <row r="523" spans="1:37" ht="18.75" customHeight="1" x14ac:dyDescent="0.25">
      <c r="A523" s="11">
        <v>2028</v>
      </c>
      <c r="B523" s="12" t="s">
        <v>55</v>
      </c>
      <c r="C523" s="15" t="s">
        <v>341</v>
      </c>
      <c r="D523" s="39">
        <v>45932.836031516206</v>
      </c>
      <c r="E523" s="15" t="s">
        <v>342</v>
      </c>
      <c r="F523" s="15" t="s">
        <v>151</v>
      </c>
      <c r="G523" s="15" t="s">
        <v>343</v>
      </c>
      <c r="H523" s="15" t="s">
        <v>344</v>
      </c>
      <c r="I523" s="15" t="s">
        <v>63</v>
      </c>
      <c r="J523" s="15" t="s">
        <v>345</v>
      </c>
      <c r="K523" s="15" t="s">
        <v>45</v>
      </c>
      <c r="L523" s="17">
        <f>VLOOKUP(E523,[1]Diccionario!C$2:AC$150,22,0)</f>
        <v>3810581437</v>
      </c>
      <c r="M523" s="18">
        <f>VLOOKUP(E523,[1]Diccionario!C$2:AC$150,24,0)</f>
        <v>45931</v>
      </c>
      <c r="N523" s="19">
        <f>VLOOKUP(E523,[1]Diccionario!C$2:AC$150,25,0)</f>
        <v>47483</v>
      </c>
      <c r="O523" s="20">
        <f>VLOOKUP(E523,[1]Diccionario!C$2:AC$150,26,0)</f>
        <v>51</v>
      </c>
      <c r="P523" s="20">
        <f t="shared" si="97"/>
        <v>-14</v>
      </c>
      <c r="Q523" s="20">
        <v>37</v>
      </c>
      <c r="R523" s="15">
        <v>47</v>
      </c>
      <c r="S523" s="62">
        <v>0.999</v>
      </c>
      <c r="T523" s="21"/>
      <c r="U523" s="22"/>
      <c r="V523" s="24"/>
      <c r="W523" s="24">
        <f t="shared" si="98"/>
        <v>0</v>
      </c>
      <c r="X523" s="24">
        <f t="shared" si="99"/>
        <v>3806770855.5630002</v>
      </c>
      <c r="Y523" s="24">
        <f t="shared" si="100"/>
        <v>0</v>
      </c>
      <c r="Z523" s="24">
        <f t="shared" si="101"/>
        <v>-3806770855.5630002</v>
      </c>
      <c r="AA523" s="25" t="str">
        <f t="shared" si="102"/>
        <v>No se realizó gasto en este corte</v>
      </c>
      <c r="AB523" s="26" t="str">
        <f t="shared" si="103"/>
        <v>Costo eficiente: se está gastando menos de lo presupuestado</v>
      </c>
      <c r="AC523" s="26">
        <f t="shared" si="104"/>
        <v>0</v>
      </c>
      <c r="AD523" s="26" t="str">
        <f t="shared" si="105"/>
        <v>Sin Línea Base</v>
      </c>
      <c r="AE523" s="27">
        <f t="shared" si="106"/>
        <v>0</v>
      </c>
      <c r="AF523" s="27">
        <f t="shared" si="107"/>
        <v>-3810581437</v>
      </c>
      <c r="AG523" s="28" t="str">
        <f>VLOOKUP(Indicador!E538,[1]Diccionario!C$1:AC$150,27,0)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23" s="28">
        <v>1</v>
      </c>
      <c r="AI523" s="28">
        <v>1</v>
      </c>
      <c r="AJ523" s="28"/>
      <c r="AK523" s="28"/>
    </row>
    <row r="524" spans="1:37" ht="18.75" customHeight="1" x14ac:dyDescent="0.25">
      <c r="A524" s="11">
        <v>2028</v>
      </c>
      <c r="B524" s="12" t="s">
        <v>56</v>
      </c>
      <c r="C524" s="15" t="s">
        <v>341</v>
      </c>
      <c r="D524" s="39">
        <v>45932.836031516206</v>
      </c>
      <c r="E524" s="15" t="s">
        <v>342</v>
      </c>
      <c r="F524" s="15" t="s">
        <v>151</v>
      </c>
      <c r="G524" s="15" t="s">
        <v>343</v>
      </c>
      <c r="H524" s="15" t="s">
        <v>344</v>
      </c>
      <c r="I524" s="15" t="s">
        <v>63</v>
      </c>
      <c r="J524" s="15" t="s">
        <v>345</v>
      </c>
      <c r="K524" s="15" t="s">
        <v>45</v>
      </c>
      <c r="L524" s="17">
        <f>VLOOKUP(E524,[1]Diccionario!C$2:AC$150,22,0)</f>
        <v>3810581437</v>
      </c>
      <c r="M524" s="18">
        <f>VLOOKUP(E524,[1]Diccionario!C$2:AC$150,24,0)</f>
        <v>45931</v>
      </c>
      <c r="N524" s="19">
        <f>VLOOKUP(E524,[1]Diccionario!C$2:AC$150,25,0)</f>
        <v>47483</v>
      </c>
      <c r="O524" s="20">
        <f>VLOOKUP(E524,[1]Diccionario!C$2:AC$150,26,0)</f>
        <v>51</v>
      </c>
      <c r="P524" s="20">
        <f t="shared" si="97"/>
        <v>-13</v>
      </c>
      <c r="Q524" s="20">
        <v>38</v>
      </c>
      <c r="R524" s="15">
        <v>47</v>
      </c>
      <c r="S524" s="62">
        <v>0.999</v>
      </c>
      <c r="T524" s="21"/>
      <c r="U524" s="22"/>
      <c r="V524" s="24"/>
      <c r="W524" s="24">
        <f t="shared" si="98"/>
        <v>0</v>
      </c>
      <c r="X524" s="24">
        <f t="shared" si="99"/>
        <v>3806770855.5630002</v>
      </c>
      <c r="Y524" s="24">
        <f t="shared" si="100"/>
        <v>0</v>
      </c>
      <c r="Z524" s="24">
        <f t="shared" si="101"/>
        <v>-3806770855.5630002</v>
      </c>
      <c r="AA524" s="25" t="str">
        <f t="shared" si="102"/>
        <v>No se realizó gasto en este corte</v>
      </c>
      <c r="AB524" s="26" t="str">
        <f t="shared" si="103"/>
        <v>Costo eficiente: se está gastando menos de lo presupuestado</v>
      </c>
      <c r="AC524" s="26">
        <f t="shared" si="104"/>
        <v>0</v>
      </c>
      <c r="AD524" s="26" t="str">
        <f t="shared" si="105"/>
        <v>Sin Línea Base</v>
      </c>
      <c r="AE524" s="27">
        <f t="shared" si="106"/>
        <v>0</v>
      </c>
      <c r="AF524" s="27">
        <f t="shared" si="107"/>
        <v>-3810581437</v>
      </c>
      <c r="AG524" s="28" t="str">
        <f>VLOOKUP(Indicador!E539,[1]Diccionario!C$1:AC$150,27,0)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24" s="28">
        <v>1</v>
      </c>
      <c r="AI524" s="28">
        <v>1</v>
      </c>
      <c r="AJ524" s="28"/>
      <c r="AK524" s="28"/>
    </row>
    <row r="525" spans="1:37" ht="18.75" customHeight="1" x14ac:dyDescent="0.25">
      <c r="A525" s="11">
        <v>2028</v>
      </c>
      <c r="B525" s="12" t="s">
        <v>57</v>
      </c>
      <c r="C525" s="15" t="s">
        <v>341</v>
      </c>
      <c r="D525" s="39">
        <v>45932.836031516206</v>
      </c>
      <c r="E525" s="15" t="s">
        <v>342</v>
      </c>
      <c r="F525" s="15" t="s">
        <v>151</v>
      </c>
      <c r="G525" s="15" t="s">
        <v>343</v>
      </c>
      <c r="H525" s="15" t="s">
        <v>344</v>
      </c>
      <c r="I525" s="15" t="s">
        <v>63</v>
      </c>
      <c r="J525" s="15" t="s">
        <v>345</v>
      </c>
      <c r="K525" s="15" t="s">
        <v>45</v>
      </c>
      <c r="L525" s="17">
        <f>VLOOKUP(E525,[1]Diccionario!C$2:AC$150,22,0)</f>
        <v>3810581437</v>
      </c>
      <c r="M525" s="18">
        <f>VLOOKUP(E525,[1]Diccionario!C$2:AC$150,24,0)</f>
        <v>45931</v>
      </c>
      <c r="N525" s="19">
        <f>VLOOKUP(E525,[1]Diccionario!C$2:AC$150,25,0)</f>
        <v>47483</v>
      </c>
      <c r="O525" s="20">
        <f>VLOOKUP(E525,[1]Diccionario!C$2:AC$150,26,0)</f>
        <v>51</v>
      </c>
      <c r="P525" s="20">
        <f t="shared" si="97"/>
        <v>-12</v>
      </c>
      <c r="Q525" s="20">
        <v>39</v>
      </c>
      <c r="R525" s="15">
        <v>47</v>
      </c>
      <c r="S525" s="62">
        <v>0.999</v>
      </c>
      <c r="T525" s="21"/>
      <c r="U525" s="22"/>
      <c r="V525" s="24"/>
      <c r="W525" s="24">
        <f t="shared" si="98"/>
        <v>0</v>
      </c>
      <c r="X525" s="24">
        <f t="shared" si="99"/>
        <v>3806770855.5630002</v>
      </c>
      <c r="Y525" s="24">
        <f t="shared" si="100"/>
        <v>0</v>
      </c>
      <c r="Z525" s="24">
        <f t="shared" si="101"/>
        <v>-3806770855.5630002</v>
      </c>
      <c r="AA525" s="25" t="str">
        <f t="shared" si="102"/>
        <v>No se realizó gasto en este corte</v>
      </c>
      <c r="AB525" s="26" t="str">
        <f t="shared" si="103"/>
        <v>Costo eficiente: se está gastando menos de lo presupuestado</v>
      </c>
      <c r="AC525" s="26">
        <f t="shared" si="104"/>
        <v>0</v>
      </c>
      <c r="AD525" s="26" t="str">
        <f t="shared" si="105"/>
        <v>Sin Línea Base</v>
      </c>
      <c r="AE525" s="27">
        <f t="shared" si="106"/>
        <v>0</v>
      </c>
      <c r="AF525" s="27">
        <f t="shared" si="107"/>
        <v>-3810581437</v>
      </c>
      <c r="AG525" s="28" t="str">
        <f>VLOOKUP(Indicador!E540,[1]Diccionario!C$1:AC$150,27,0)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25" s="28">
        <v>1</v>
      </c>
      <c r="AI525" s="28">
        <v>1</v>
      </c>
      <c r="AJ525" s="28"/>
      <c r="AK525" s="28"/>
    </row>
    <row r="526" spans="1:37" ht="18.75" customHeight="1" x14ac:dyDescent="0.25">
      <c r="A526" s="11">
        <v>2029</v>
      </c>
      <c r="B526" s="12" t="s">
        <v>37</v>
      </c>
      <c r="C526" s="15" t="s">
        <v>341</v>
      </c>
      <c r="D526" s="39">
        <v>45932.836031516206</v>
      </c>
      <c r="E526" s="15" t="s">
        <v>342</v>
      </c>
      <c r="F526" s="15" t="s">
        <v>151</v>
      </c>
      <c r="G526" s="15" t="s">
        <v>343</v>
      </c>
      <c r="H526" s="15" t="s">
        <v>344</v>
      </c>
      <c r="I526" s="15" t="s">
        <v>63</v>
      </c>
      <c r="J526" s="15" t="s">
        <v>345</v>
      </c>
      <c r="K526" s="15" t="s">
        <v>45</v>
      </c>
      <c r="L526" s="17">
        <f>VLOOKUP(E526,[1]Diccionario!C$2:AC$150,22,0)</f>
        <v>3810581437</v>
      </c>
      <c r="M526" s="18">
        <f>VLOOKUP(E526,[1]Diccionario!C$2:AC$150,24,0)</f>
        <v>45931</v>
      </c>
      <c r="N526" s="19">
        <f>VLOOKUP(E526,[1]Diccionario!C$2:AC$150,25,0)</f>
        <v>47483</v>
      </c>
      <c r="O526" s="20">
        <f>VLOOKUP(E526,[1]Diccionario!C$2:AC$150,26,0)</f>
        <v>51</v>
      </c>
      <c r="P526" s="20">
        <f t="shared" si="97"/>
        <v>-11</v>
      </c>
      <c r="Q526" s="20">
        <v>40</v>
      </c>
      <c r="R526" s="15">
        <v>47</v>
      </c>
      <c r="S526" s="62">
        <v>0.999</v>
      </c>
      <c r="T526" s="21"/>
      <c r="U526" s="22"/>
      <c r="V526" s="24"/>
      <c r="W526" s="24">
        <f t="shared" si="98"/>
        <v>0</v>
      </c>
      <c r="X526" s="24">
        <f t="shared" si="99"/>
        <v>3806770855.5630002</v>
      </c>
      <c r="Y526" s="24">
        <f t="shared" si="100"/>
        <v>0</v>
      </c>
      <c r="Z526" s="24">
        <f t="shared" si="101"/>
        <v>-3806770855.5630002</v>
      </c>
      <c r="AA526" s="25" t="str">
        <f t="shared" si="102"/>
        <v>No se realizó gasto en este corte</v>
      </c>
      <c r="AB526" s="26" t="str">
        <f t="shared" si="103"/>
        <v>Costo eficiente: se está gastando menos de lo presupuestado</v>
      </c>
      <c r="AC526" s="26">
        <f t="shared" si="104"/>
        <v>0</v>
      </c>
      <c r="AD526" s="26" t="str">
        <f t="shared" si="105"/>
        <v>Sin Línea Base</v>
      </c>
      <c r="AE526" s="27">
        <f t="shared" si="106"/>
        <v>0</v>
      </c>
      <c r="AF526" s="27">
        <f t="shared" si="107"/>
        <v>-3810581437</v>
      </c>
      <c r="AG526" s="28" t="str">
        <f>VLOOKUP(Indicador!E541,[1]Diccionario!C$1:AC$150,27,0)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26" s="28">
        <v>1</v>
      </c>
      <c r="AI526" s="28">
        <v>1</v>
      </c>
      <c r="AJ526" s="28"/>
      <c r="AK526" s="28"/>
    </row>
    <row r="527" spans="1:37" ht="18.75" customHeight="1" x14ac:dyDescent="0.25">
      <c r="A527" s="11">
        <v>2029</v>
      </c>
      <c r="B527" s="12" t="s">
        <v>47</v>
      </c>
      <c r="C527" s="15" t="s">
        <v>341</v>
      </c>
      <c r="D527" s="39">
        <v>45932.836031516206</v>
      </c>
      <c r="E527" s="15" t="s">
        <v>342</v>
      </c>
      <c r="F527" s="15" t="s">
        <v>151</v>
      </c>
      <c r="G527" s="15" t="s">
        <v>343</v>
      </c>
      <c r="H527" s="15" t="s">
        <v>344</v>
      </c>
      <c r="I527" s="15" t="s">
        <v>63</v>
      </c>
      <c r="J527" s="15" t="s">
        <v>345</v>
      </c>
      <c r="K527" s="15" t="s">
        <v>45</v>
      </c>
      <c r="L527" s="17">
        <f>VLOOKUP(E527,[1]Diccionario!C$2:AC$150,22,0)</f>
        <v>3810581437</v>
      </c>
      <c r="M527" s="18">
        <f>VLOOKUP(E527,[1]Diccionario!C$2:AC$150,24,0)</f>
        <v>45931</v>
      </c>
      <c r="N527" s="19">
        <f>VLOOKUP(E527,[1]Diccionario!C$2:AC$150,25,0)</f>
        <v>47483</v>
      </c>
      <c r="O527" s="20">
        <f>VLOOKUP(E527,[1]Diccionario!C$2:AC$150,26,0)</f>
        <v>51</v>
      </c>
      <c r="P527" s="20">
        <f t="shared" si="97"/>
        <v>-10</v>
      </c>
      <c r="Q527" s="20">
        <v>41</v>
      </c>
      <c r="R527" s="15">
        <v>47</v>
      </c>
      <c r="S527" s="62">
        <v>0.999</v>
      </c>
      <c r="T527" s="21"/>
      <c r="U527" s="22"/>
      <c r="V527" s="24"/>
      <c r="W527" s="24">
        <f t="shared" si="98"/>
        <v>0</v>
      </c>
      <c r="X527" s="24">
        <f t="shared" si="99"/>
        <v>3806770855.5630002</v>
      </c>
      <c r="Y527" s="24">
        <f t="shared" si="100"/>
        <v>0</v>
      </c>
      <c r="Z527" s="24">
        <f t="shared" si="101"/>
        <v>-3806770855.5630002</v>
      </c>
      <c r="AA527" s="25" t="str">
        <f t="shared" si="102"/>
        <v>No se realizó gasto en este corte</v>
      </c>
      <c r="AB527" s="26" t="str">
        <f t="shared" si="103"/>
        <v>Costo eficiente: se está gastando menos de lo presupuestado</v>
      </c>
      <c r="AC527" s="26">
        <f t="shared" si="104"/>
        <v>0</v>
      </c>
      <c r="AD527" s="26" t="str">
        <f t="shared" si="105"/>
        <v>Sin Línea Base</v>
      </c>
      <c r="AE527" s="27">
        <f t="shared" si="106"/>
        <v>0</v>
      </c>
      <c r="AF527" s="27">
        <f t="shared" si="107"/>
        <v>-3810581437</v>
      </c>
      <c r="AG527" s="28" t="str">
        <f>VLOOKUP(Indicador!E542,[1]Diccionario!C$1:AC$150,27,0)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27" s="28">
        <v>1</v>
      </c>
      <c r="AI527" s="28">
        <v>1</v>
      </c>
      <c r="AJ527" s="28"/>
      <c r="AK527" s="28"/>
    </row>
    <row r="528" spans="1:37" ht="18.75" customHeight="1" x14ac:dyDescent="0.25">
      <c r="A528" s="11">
        <v>2029</v>
      </c>
      <c r="B528" s="12" t="s">
        <v>48</v>
      </c>
      <c r="C528" s="15" t="s">
        <v>341</v>
      </c>
      <c r="D528" s="39">
        <v>45932.836031516206</v>
      </c>
      <c r="E528" s="15" t="s">
        <v>342</v>
      </c>
      <c r="F528" s="15" t="s">
        <v>151</v>
      </c>
      <c r="G528" s="15" t="s">
        <v>343</v>
      </c>
      <c r="H528" s="15" t="s">
        <v>344</v>
      </c>
      <c r="I528" s="15" t="s">
        <v>63</v>
      </c>
      <c r="J528" s="15" t="s">
        <v>345</v>
      </c>
      <c r="K528" s="15" t="s">
        <v>45</v>
      </c>
      <c r="L528" s="17">
        <f>VLOOKUP(E528,[1]Diccionario!C$2:AC$150,22,0)</f>
        <v>3810581437</v>
      </c>
      <c r="M528" s="18">
        <f>VLOOKUP(E528,[1]Diccionario!C$2:AC$150,24,0)</f>
        <v>45931</v>
      </c>
      <c r="N528" s="19">
        <f>VLOOKUP(E528,[1]Diccionario!C$2:AC$150,25,0)</f>
        <v>47483</v>
      </c>
      <c r="O528" s="20">
        <f>VLOOKUP(E528,[1]Diccionario!C$2:AC$150,26,0)</f>
        <v>51</v>
      </c>
      <c r="P528" s="20">
        <f t="shared" si="97"/>
        <v>-9</v>
      </c>
      <c r="Q528" s="20">
        <v>42</v>
      </c>
      <c r="R528" s="15">
        <v>47</v>
      </c>
      <c r="S528" s="62">
        <v>0.999</v>
      </c>
      <c r="T528" s="21"/>
      <c r="U528" s="22"/>
      <c r="V528" s="24"/>
      <c r="W528" s="24">
        <f t="shared" si="98"/>
        <v>0</v>
      </c>
      <c r="X528" s="24">
        <f t="shared" si="99"/>
        <v>3806770855.5630002</v>
      </c>
      <c r="Y528" s="24">
        <f t="shared" si="100"/>
        <v>0</v>
      </c>
      <c r="Z528" s="24">
        <f t="shared" si="101"/>
        <v>-3806770855.5630002</v>
      </c>
      <c r="AA528" s="25" t="str">
        <f t="shared" si="102"/>
        <v>No se realizó gasto en este corte</v>
      </c>
      <c r="AB528" s="26" t="str">
        <f t="shared" si="103"/>
        <v>Costo eficiente: se está gastando menos de lo presupuestado</v>
      </c>
      <c r="AC528" s="26">
        <f t="shared" si="104"/>
        <v>0</v>
      </c>
      <c r="AD528" s="26" t="str">
        <f t="shared" si="105"/>
        <v>Sin Línea Base</v>
      </c>
      <c r="AE528" s="27">
        <f t="shared" si="106"/>
        <v>0</v>
      </c>
      <c r="AF528" s="27">
        <f t="shared" si="107"/>
        <v>-3810581437</v>
      </c>
      <c r="AG528" s="28" t="str">
        <f>VLOOKUP(Indicador!E543,[1]Diccionario!C$1:AC$150,27,0)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28" s="28">
        <v>1</v>
      </c>
      <c r="AI528" s="28">
        <v>1</v>
      </c>
      <c r="AJ528" s="28"/>
      <c r="AK528" s="28"/>
    </row>
    <row r="529" spans="1:37" ht="18.75" customHeight="1" x14ac:dyDescent="0.25">
      <c r="A529" s="11">
        <v>2029</v>
      </c>
      <c r="B529" s="12" t="s">
        <v>49</v>
      </c>
      <c r="C529" s="15" t="s">
        <v>341</v>
      </c>
      <c r="D529" s="39">
        <v>45932.836031516206</v>
      </c>
      <c r="E529" s="15" t="s">
        <v>342</v>
      </c>
      <c r="F529" s="15" t="s">
        <v>151</v>
      </c>
      <c r="G529" s="15" t="s">
        <v>343</v>
      </c>
      <c r="H529" s="15" t="s">
        <v>344</v>
      </c>
      <c r="I529" s="15" t="s">
        <v>63</v>
      </c>
      <c r="J529" s="15" t="s">
        <v>345</v>
      </c>
      <c r="K529" s="15" t="s">
        <v>45</v>
      </c>
      <c r="L529" s="17">
        <f>VLOOKUP(E529,[1]Diccionario!C$2:AC$150,22,0)</f>
        <v>3810581437</v>
      </c>
      <c r="M529" s="18">
        <f>VLOOKUP(E529,[1]Diccionario!C$2:AC$150,24,0)</f>
        <v>45931</v>
      </c>
      <c r="N529" s="19">
        <f>VLOOKUP(E529,[1]Diccionario!C$2:AC$150,25,0)</f>
        <v>47483</v>
      </c>
      <c r="O529" s="20">
        <f>VLOOKUP(E529,[1]Diccionario!C$2:AC$150,26,0)</f>
        <v>51</v>
      </c>
      <c r="P529" s="20">
        <f t="shared" si="97"/>
        <v>-8</v>
      </c>
      <c r="Q529" s="20">
        <v>43</v>
      </c>
      <c r="R529" s="15">
        <v>47</v>
      </c>
      <c r="S529" s="62">
        <v>0.999</v>
      </c>
      <c r="T529" s="21"/>
      <c r="U529" s="22"/>
      <c r="V529" s="24"/>
      <c r="W529" s="24">
        <f t="shared" si="98"/>
        <v>0</v>
      </c>
      <c r="X529" s="24">
        <f t="shared" si="99"/>
        <v>3806770855.5630002</v>
      </c>
      <c r="Y529" s="24">
        <f t="shared" si="100"/>
        <v>0</v>
      </c>
      <c r="Z529" s="24">
        <f t="shared" si="101"/>
        <v>-3806770855.5630002</v>
      </c>
      <c r="AA529" s="25" t="str">
        <f t="shared" si="102"/>
        <v>No se realizó gasto en este corte</v>
      </c>
      <c r="AB529" s="26" t="str">
        <f t="shared" si="103"/>
        <v>Costo eficiente: se está gastando menos de lo presupuestado</v>
      </c>
      <c r="AC529" s="26">
        <f t="shared" si="104"/>
        <v>0</v>
      </c>
      <c r="AD529" s="26" t="str">
        <f t="shared" si="105"/>
        <v>Sin Línea Base</v>
      </c>
      <c r="AE529" s="27">
        <f t="shared" si="106"/>
        <v>0</v>
      </c>
      <c r="AF529" s="27">
        <f t="shared" si="107"/>
        <v>-3810581437</v>
      </c>
      <c r="AG529" s="28" t="str">
        <f>VLOOKUP(Indicador!E544,[1]Diccionario!C$1:AC$150,27,0)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29" s="28">
        <v>1</v>
      </c>
      <c r="AI529" s="28">
        <v>1</v>
      </c>
      <c r="AJ529" s="28"/>
      <c r="AK529" s="28"/>
    </row>
    <row r="530" spans="1:37" ht="18.75" customHeight="1" x14ac:dyDescent="0.25">
      <c r="A530" s="11">
        <v>2029</v>
      </c>
      <c r="B530" s="12" t="s">
        <v>50</v>
      </c>
      <c r="C530" s="15" t="s">
        <v>341</v>
      </c>
      <c r="D530" s="39">
        <v>45932.836031516206</v>
      </c>
      <c r="E530" s="15" t="s">
        <v>342</v>
      </c>
      <c r="F530" s="15" t="s">
        <v>151</v>
      </c>
      <c r="G530" s="15" t="s">
        <v>343</v>
      </c>
      <c r="H530" s="15" t="s">
        <v>344</v>
      </c>
      <c r="I530" s="15" t="s">
        <v>63</v>
      </c>
      <c r="J530" s="15" t="s">
        <v>345</v>
      </c>
      <c r="K530" s="15" t="s">
        <v>45</v>
      </c>
      <c r="L530" s="17">
        <f>VLOOKUP(E530,[1]Diccionario!C$2:AC$150,22,0)</f>
        <v>3810581437</v>
      </c>
      <c r="M530" s="18">
        <f>VLOOKUP(E530,[1]Diccionario!C$2:AC$150,24,0)</f>
        <v>45931</v>
      </c>
      <c r="N530" s="19">
        <f>VLOOKUP(E530,[1]Diccionario!C$2:AC$150,25,0)</f>
        <v>47483</v>
      </c>
      <c r="O530" s="20">
        <f>VLOOKUP(E530,[1]Diccionario!C$2:AC$150,26,0)</f>
        <v>51</v>
      </c>
      <c r="P530" s="20">
        <f t="shared" si="97"/>
        <v>-7</v>
      </c>
      <c r="Q530" s="20">
        <v>44</v>
      </c>
      <c r="R530" s="15">
        <v>47</v>
      </c>
      <c r="S530" s="62">
        <v>0.999</v>
      </c>
      <c r="T530" s="21"/>
      <c r="U530" s="22"/>
      <c r="V530" s="24"/>
      <c r="W530" s="24">
        <f t="shared" si="98"/>
        <v>0</v>
      </c>
      <c r="X530" s="24">
        <f t="shared" si="99"/>
        <v>3806770855.5630002</v>
      </c>
      <c r="Y530" s="24">
        <f t="shared" si="100"/>
        <v>0</v>
      </c>
      <c r="Z530" s="24">
        <f t="shared" si="101"/>
        <v>-3806770855.5630002</v>
      </c>
      <c r="AA530" s="25" t="str">
        <f t="shared" si="102"/>
        <v>No se realizó gasto en este corte</v>
      </c>
      <c r="AB530" s="26" t="str">
        <f t="shared" si="103"/>
        <v>Costo eficiente: se está gastando menos de lo presupuestado</v>
      </c>
      <c r="AC530" s="26">
        <f t="shared" si="104"/>
        <v>0</v>
      </c>
      <c r="AD530" s="26" t="str">
        <f t="shared" si="105"/>
        <v>Sin Línea Base</v>
      </c>
      <c r="AE530" s="27">
        <f t="shared" si="106"/>
        <v>0</v>
      </c>
      <c r="AF530" s="27">
        <f t="shared" si="107"/>
        <v>-3810581437</v>
      </c>
      <c r="AG530" s="28" t="str">
        <f>VLOOKUP(Indicador!E545,[1]Diccionario!C$1:AC$150,27,0)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30" s="28">
        <v>1</v>
      </c>
      <c r="AI530" s="28">
        <v>1</v>
      </c>
      <c r="AJ530" s="28"/>
      <c r="AK530" s="28"/>
    </row>
    <row r="531" spans="1:37" ht="18.75" customHeight="1" x14ac:dyDescent="0.25">
      <c r="A531" s="11">
        <v>2029</v>
      </c>
      <c r="B531" s="12" t="s">
        <v>51</v>
      </c>
      <c r="C531" s="15" t="s">
        <v>341</v>
      </c>
      <c r="D531" s="39">
        <v>45932.836031516206</v>
      </c>
      <c r="E531" s="15" t="s">
        <v>342</v>
      </c>
      <c r="F531" s="15" t="s">
        <v>151</v>
      </c>
      <c r="G531" s="15" t="s">
        <v>343</v>
      </c>
      <c r="H531" s="15" t="s">
        <v>344</v>
      </c>
      <c r="I531" s="15" t="s">
        <v>63</v>
      </c>
      <c r="J531" s="15" t="s">
        <v>345</v>
      </c>
      <c r="K531" s="15" t="s">
        <v>45</v>
      </c>
      <c r="L531" s="17">
        <f>VLOOKUP(E531,[1]Diccionario!C$2:AC$150,22,0)</f>
        <v>3810581437</v>
      </c>
      <c r="M531" s="18">
        <f>VLOOKUP(E531,[1]Diccionario!C$2:AC$150,24,0)</f>
        <v>45931</v>
      </c>
      <c r="N531" s="19">
        <f>VLOOKUP(E531,[1]Diccionario!C$2:AC$150,25,0)</f>
        <v>47483</v>
      </c>
      <c r="O531" s="20">
        <f>VLOOKUP(E531,[1]Diccionario!C$2:AC$150,26,0)</f>
        <v>51</v>
      </c>
      <c r="P531" s="20">
        <f t="shared" si="97"/>
        <v>-6</v>
      </c>
      <c r="Q531" s="20">
        <v>45</v>
      </c>
      <c r="R531" s="15">
        <v>47</v>
      </c>
      <c r="S531" s="62">
        <v>0.999</v>
      </c>
      <c r="T531" s="21"/>
      <c r="U531" s="22"/>
      <c r="V531" s="24"/>
      <c r="W531" s="24">
        <f t="shared" si="98"/>
        <v>0</v>
      </c>
      <c r="X531" s="24">
        <f t="shared" si="99"/>
        <v>3806770855.5630002</v>
      </c>
      <c r="Y531" s="24">
        <f t="shared" si="100"/>
        <v>0</v>
      </c>
      <c r="Z531" s="24">
        <f t="shared" si="101"/>
        <v>-3806770855.5630002</v>
      </c>
      <c r="AA531" s="25" t="str">
        <f t="shared" si="102"/>
        <v>No se realizó gasto en este corte</v>
      </c>
      <c r="AB531" s="26" t="str">
        <f t="shared" si="103"/>
        <v>Costo eficiente: se está gastando menos de lo presupuestado</v>
      </c>
      <c r="AC531" s="26">
        <f t="shared" si="104"/>
        <v>0</v>
      </c>
      <c r="AD531" s="26" t="str">
        <f t="shared" si="105"/>
        <v>Sin Línea Base</v>
      </c>
      <c r="AE531" s="27">
        <f t="shared" si="106"/>
        <v>0</v>
      </c>
      <c r="AF531" s="27">
        <f t="shared" si="107"/>
        <v>-3810581437</v>
      </c>
      <c r="AG531" s="28" t="str">
        <f>VLOOKUP(Indicador!E546,[1]Diccionario!C$1:AC$150,27,0)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31" s="28">
        <v>1</v>
      </c>
      <c r="AI531" s="28">
        <v>1</v>
      </c>
      <c r="AJ531" s="28"/>
      <c r="AK531" s="28"/>
    </row>
    <row r="532" spans="1:37" ht="18.75" customHeight="1" x14ac:dyDescent="0.25">
      <c r="A532" s="11">
        <v>2029</v>
      </c>
      <c r="B532" s="12" t="s">
        <v>52</v>
      </c>
      <c r="C532" s="15" t="s">
        <v>341</v>
      </c>
      <c r="D532" s="39">
        <v>45932.836031516206</v>
      </c>
      <c r="E532" s="15" t="s">
        <v>342</v>
      </c>
      <c r="F532" s="15" t="s">
        <v>151</v>
      </c>
      <c r="G532" s="15" t="s">
        <v>343</v>
      </c>
      <c r="H532" s="15" t="s">
        <v>344</v>
      </c>
      <c r="I532" s="15" t="s">
        <v>63</v>
      </c>
      <c r="J532" s="15" t="s">
        <v>345</v>
      </c>
      <c r="K532" s="15" t="s">
        <v>45</v>
      </c>
      <c r="L532" s="17">
        <f>VLOOKUP(E532,[1]Diccionario!C$2:AC$150,22,0)</f>
        <v>3810581437</v>
      </c>
      <c r="M532" s="18">
        <f>VLOOKUP(E532,[1]Diccionario!C$2:AC$150,24,0)</f>
        <v>45931</v>
      </c>
      <c r="N532" s="19">
        <f>VLOOKUP(E532,[1]Diccionario!C$2:AC$150,25,0)</f>
        <v>47483</v>
      </c>
      <c r="O532" s="20">
        <f>VLOOKUP(E532,[1]Diccionario!C$2:AC$150,26,0)</f>
        <v>51</v>
      </c>
      <c r="P532" s="20">
        <f t="shared" si="97"/>
        <v>-5</v>
      </c>
      <c r="Q532" s="20">
        <v>46</v>
      </c>
      <c r="R532" s="15">
        <v>47</v>
      </c>
      <c r="S532" s="62">
        <v>0.999</v>
      </c>
      <c r="T532" s="21"/>
      <c r="U532" s="22"/>
      <c r="V532" s="24"/>
      <c r="W532" s="24">
        <f t="shared" si="98"/>
        <v>0</v>
      </c>
      <c r="X532" s="24">
        <f t="shared" si="99"/>
        <v>3806770855.5630002</v>
      </c>
      <c r="Y532" s="24">
        <f t="shared" si="100"/>
        <v>0</v>
      </c>
      <c r="Z532" s="24">
        <f t="shared" si="101"/>
        <v>-3806770855.5630002</v>
      </c>
      <c r="AA532" s="25" t="str">
        <f t="shared" si="102"/>
        <v>No se realizó gasto en este corte</v>
      </c>
      <c r="AB532" s="26" t="str">
        <f t="shared" si="103"/>
        <v>Costo eficiente: se está gastando menos de lo presupuestado</v>
      </c>
      <c r="AC532" s="26">
        <f t="shared" si="104"/>
        <v>0</v>
      </c>
      <c r="AD532" s="26" t="str">
        <f t="shared" si="105"/>
        <v>Sin Línea Base</v>
      </c>
      <c r="AE532" s="27">
        <f t="shared" si="106"/>
        <v>0</v>
      </c>
      <c r="AF532" s="27">
        <f t="shared" si="107"/>
        <v>-3810581437</v>
      </c>
      <c r="AG532" s="28" t="str">
        <f>VLOOKUP(Indicador!E547,[1]Diccionario!C$1:AC$150,27,0)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32" s="28">
        <v>1</v>
      </c>
      <c r="AI532" s="28">
        <v>1</v>
      </c>
      <c r="AJ532" s="28"/>
      <c r="AK532" s="28"/>
    </row>
    <row r="533" spans="1:37" ht="18.75" customHeight="1" x14ac:dyDescent="0.25">
      <c r="A533" s="11">
        <v>2029</v>
      </c>
      <c r="B533" s="12" t="s">
        <v>53</v>
      </c>
      <c r="C533" s="15" t="s">
        <v>341</v>
      </c>
      <c r="D533" s="39">
        <v>45932.836031516206</v>
      </c>
      <c r="E533" s="15" t="s">
        <v>342</v>
      </c>
      <c r="F533" s="15" t="s">
        <v>151</v>
      </c>
      <c r="G533" s="15" t="s">
        <v>343</v>
      </c>
      <c r="H533" s="15" t="s">
        <v>344</v>
      </c>
      <c r="I533" s="15" t="s">
        <v>63</v>
      </c>
      <c r="J533" s="15" t="s">
        <v>345</v>
      </c>
      <c r="K533" s="15" t="s">
        <v>45</v>
      </c>
      <c r="L533" s="17">
        <f>VLOOKUP(E533,[1]Diccionario!C$2:AC$150,22,0)</f>
        <v>3810581437</v>
      </c>
      <c r="M533" s="18">
        <f>VLOOKUP(E533,[1]Diccionario!C$2:AC$150,24,0)</f>
        <v>45931</v>
      </c>
      <c r="N533" s="19">
        <f>VLOOKUP(E533,[1]Diccionario!C$2:AC$150,25,0)</f>
        <v>47483</v>
      </c>
      <c r="O533" s="20">
        <f>VLOOKUP(E533,[1]Diccionario!C$2:AC$150,26,0)</f>
        <v>51</v>
      </c>
      <c r="P533" s="20">
        <f t="shared" si="97"/>
        <v>-4</v>
      </c>
      <c r="Q533" s="20">
        <v>47</v>
      </c>
      <c r="R533" s="15">
        <v>47</v>
      </c>
      <c r="S533" s="62">
        <v>0.999</v>
      </c>
      <c r="T533" s="21"/>
      <c r="U533" s="22"/>
      <c r="V533" s="24"/>
      <c r="W533" s="24">
        <f t="shared" si="98"/>
        <v>0</v>
      </c>
      <c r="X533" s="24">
        <f t="shared" si="99"/>
        <v>3806770855.5630002</v>
      </c>
      <c r="Y533" s="24">
        <f t="shared" si="100"/>
        <v>0</v>
      </c>
      <c r="Z533" s="24">
        <f t="shared" si="101"/>
        <v>-3806770855.5630002</v>
      </c>
      <c r="AA533" s="25" t="str">
        <f t="shared" si="102"/>
        <v>No se realizó gasto en este corte</v>
      </c>
      <c r="AB533" s="26" t="str">
        <f t="shared" si="103"/>
        <v>Costo eficiente: se está gastando menos de lo presupuestado</v>
      </c>
      <c r="AC533" s="26">
        <f t="shared" si="104"/>
        <v>0</v>
      </c>
      <c r="AD533" s="26" t="str">
        <f t="shared" si="105"/>
        <v>Sin Línea Base</v>
      </c>
      <c r="AE533" s="27">
        <f t="shared" si="106"/>
        <v>0</v>
      </c>
      <c r="AF533" s="27">
        <f t="shared" si="107"/>
        <v>-3810581437</v>
      </c>
      <c r="AG533" s="28" t="str">
        <f>VLOOKUP(Indicador!E548,[1]Diccionario!C$1:AC$150,27,0)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33" s="28">
        <v>1</v>
      </c>
      <c r="AI533" s="28">
        <v>1</v>
      </c>
      <c r="AJ533" s="28"/>
      <c r="AK533" s="28"/>
    </row>
    <row r="534" spans="1:37" ht="18.75" customHeight="1" x14ac:dyDescent="0.25">
      <c r="A534" s="11">
        <v>2029</v>
      </c>
      <c r="B534" s="12" t="s">
        <v>54</v>
      </c>
      <c r="C534" s="15" t="s">
        <v>341</v>
      </c>
      <c r="D534" s="39">
        <v>45932.836031516206</v>
      </c>
      <c r="E534" s="15" t="s">
        <v>342</v>
      </c>
      <c r="F534" s="15" t="s">
        <v>151</v>
      </c>
      <c r="G534" s="15" t="s">
        <v>343</v>
      </c>
      <c r="H534" s="15" t="s">
        <v>344</v>
      </c>
      <c r="I534" s="15" t="s">
        <v>63</v>
      </c>
      <c r="J534" s="15" t="s">
        <v>345</v>
      </c>
      <c r="K534" s="15" t="s">
        <v>45</v>
      </c>
      <c r="L534" s="17">
        <f>VLOOKUP(E534,[1]Diccionario!C$2:AC$150,22,0)</f>
        <v>3810581437</v>
      </c>
      <c r="M534" s="18">
        <f>VLOOKUP(E534,[1]Diccionario!C$2:AC$150,24,0)</f>
        <v>45931</v>
      </c>
      <c r="N534" s="19">
        <f>VLOOKUP(E534,[1]Diccionario!C$2:AC$150,25,0)</f>
        <v>47483</v>
      </c>
      <c r="O534" s="20">
        <f>VLOOKUP(E534,[1]Diccionario!C$2:AC$150,26,0)</f>
        <v>51</v>
      </c>
      <c r="P534" s="20">
        <f t="shared" si="97"/>
        <v>-3</v>
      </c>
      <c r="Q534" s="20">
        <v>48</v>
      </c>
      <c r="R534" s="15">
        <v>47</v>
      </c>
      <c r="S534" s="62">
        <v>0.999</v>
      </c>
      <c r="T534" s="21"/>
      <c r="U534" s="22"/>
      <c r="V534" s="24"/>
      <c r="W534" s="24">
        <f t="shared" si="98"/>
        <v>0</v>
      </c>
      <c r="X534" s="24">
        <f t="shared" si="99"/>
        <v>3806770855.5630002</v>
      </c>
      <c r="Y534" s="24">
        <f t="shared" si="100"/>
        <v>0</v>
      </c>
      <c r="Z534" s="24">
        <f t="shared" si="101"/>
        <v>-3806770855.5630002</v>
      </c>
      <c r="AA534" s="25" t="str">
        <f t="shared" si="102"/>
        <v>No se realizó gasto en este corte</v>
      </c>
      <c r="AB534" s="26" t="str">
        <f t="shared" si="103"/>
        <v>Costo eficiente: se está gastando menos de lo presupuestado</v>
      </c>
      <c r="AC534" s="26">
        <f t="shared" si="104"/>
        <v>0</v>
      </c>
      <c r="AD534" s="26" t="str">
        <f t="shared" si="105"/>
        <v>Sin Línea Base</v>
      </c>
      <c r="AE534" s="27">
        <f t="shared" si="106"/>
        <v>0</v>
      </c>
      <c r="AF534" s="27">
        <f t="shared" si="107"/>
        <v>-3810581437</v>
      </c>
      <c r="AG534" s="28" t="str">
        <f>VLOOKUP(Indicador!E549,[1]Diccionario!C$1:AC$150,27,0)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34" s="28">
        <v>1</v>
      </c>
      <c r="AI534" s="28">
        <v>1</v>
      </c>
      <c r="AJ534" s="28"/>
      <c r="AK534" s="28"/>
    </row>
    <row r="535" spans="1:37" ht="18.75" customHeight="1" x14ac:dyDescent="0.25">
      <c r="A535" s="11">
        <v>2029</v>
      </c>
      <c r="B535" s="12" t="s">
        <v>55</v>
      </c>
      <c r="C535" s="15" t="s">
        <v>341</v>
      </c>
      <c r="D535" s="39">
        <v>45932.836031516206</v>
      </c>
      <c r="E535" s="15" t="s">
        <v>342</v>
      </c>
      <c r="F535" s="15" t="s">
        <v>151</v>
      </c>
      <c r="G535" s="15" t="s">
        <v>343</v>
      </c>
      <c r="H535" s="15" t="s">
        <v>344</v>
      </c>
      <c r="I535" s="15" t="s">
        <v>63</v>
      </c>
      <c r="J535" s="15" t="s">
        <v>345</v>
      </c>
      <c r="K535" s="15" t="s">
        <v>45</v>
      </c>
      <c r="L535" s="17">
        <f>VLOOKUP(E535,[1]Diccionario!C$2:AC$150,22,0)</f>
        <v>3810581437</v>
      </c>
      <c r="M535" s="18">
        <f>VLOOKUP(E535,[1]Diccionario!C$2:AC$150,24,0)</f>
        <v>45931</v>
      </c>
      <c r="N535" s="19">
        <f>VLOOKUP(E535,[1]Diccionario!C$2:AC$150,25,0)</f>
        <v>47483</v>
      </c>
      <c r="O535" s="20">
        <f>VLOOKUP(E535,[1]Diccionario!C$2:AC$150,26,0)</f>
        <v>51</v>
      </c>
      <c r="P535" s="20">
        <f t="shared" si="97"/>
        <v>-2</v>
      </c>
      <c r="Q535" s="20">
        <v>49</v>
      </c>
      <c r="R535" s="15">
        <v>47</v>
      </c>
      <c r="S535" s="62">
        <v>0.999</v>
      </c>
      <c r="T535" s="21"/>
      <c r="U535" s="22"/>
      <c r="V535" s="24"/>
      <c r="W535" s="24">
        <f t="shared" si="98"/>
        <v>0</v>
      </c>
      <c r="X535" s="24">
        <f t="shared" si="99"/>
        <v>3806770855.5630002</v>
      </c>
      <c r="Y535" s="24">
        <f t="shared" si="100"/>
        <v>0</v>
      </c>
      <c r="Z535" s="24">
        <f t="shared" si="101"/>
        <v>-3806770855.5630002</v>
      </c>
      <c r="AA535" s="25" t="str">
        <f t="shared" si="102"/>
        <v>No se realizó gasto en este corte</v>
      </c>
      <c r="AB535" s="26" t="str">
        <f t="shared" si="103"/>
        <v>Costo eficiente: se está gastando menos de lo presupuestado</v>
      </c>
      <c r="AC535" s="26">
        <f t="shared" si="104"/>
        <v>0</v>
      </c>
      <c r="AD535" s="26" t="str">
        <f t="shared" si="105"/>
        <v>Sin Línea Base</v>
      </c>
      <c r="AE535" s="27">
        <f t="shared" si="106"/>
        <v>0</v>
      </c>
      <c r="AF535" s="27">
        <f t="shared" si="107"/>
        <v>-3810581437</v>
      </c>
      <c r="AG535" s="28" t="str">
        <f>VLOOKUP(Indicador!E550,[1]Diccionario!C$1:AC$150,27,0)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35" s="28">
        <v>1</v>
      </c>
      <c r="AI535" s="28">
        <v>1</v>
      </c>
      <c r="AJ535" s="28"/>
      <c r="AK535" s="28"/>
    </row>
    <row r="536" spans="1:37" ht="18.75" customHeight="1" x14ac:dyDescent="0.25">
      <c r="A536" s="11">
        <v>2029</v>
      </c>
      <c r="B536" s="12" t="s">
        <v>56</v>
      </c>
      <c r="C536" s="15" t="s">
        <v>341</v>
      </c>
      <c r="D536" s="39">
        <v>45932.836031516206</v>
      </c>
      <c r="E536" s="15" t="s">
        <v>342</v>
      </c>
      <c r="F536" s="15" t="s">
        <v>151</v>
      </c>
      <c r="G536" s="15" t="s">
        <v>343</v>
      </c>
      <c r="H536" s="15" t="s">
        <v>344</v>
      </c>
      <c r="I536" s="15" t="s">
        <v>63</v>
      </c>
      <c r="J536" s="15" t="s">
        <v>345</v>
      </c>
      <c r="K536" s="15" t="s">
        <v>45</v>
      </c>
      <c r="L536" s="17">
        <f>VLOOKUP(E536,[1]Diccionario!C$2:AC$150,22,0)</f>
        <v>3810581437</v>
      </c>
      <c r="M536" s="18">
        <f>VLOOKUP(E536,[1]Diccionario!C$2:AC$150,24,0)</f>
        <v>45931</v>
      </c>
      <c r="N536" s="19">
        <f>VLOOKUP(E536,[1]Diccionario!C$2:AC$150,25,0)</f>
        <v>47483</v>
      </c>
      <c r="O536" s="20">
        <f>VLOOKUP(E536,[1]Diccionario!C$2:AC$150,26,0)</f>
        <v>51</v>
      </c>
      <c r="P536" s="20">
        <f t="shared" si="97"/>
        <v>-1</v>
      </c>
      <c r="Q536" s="20">
        <v>50</v>
      </c>
      <c r="R536" s="15">
        <v>47</v>
      </c>
      <c r="S536" s="62">
        <v>0.999</v>
      </c>
      <c r="T536" s="21"/>
      <c r="U536" s="22"/>
      <c r="V536" s="24"/>
      <c r="W536" s="24">
        <f t="shared" si="98"/>
        <v>0</v>
      </c>
      <c r="X536" s="24">
        <f t="shared" si="99"/>
        <v>3806770855.5630002</v>
      </c>
      <c r="Y536" s="24">
        <f t="shared" si="100"/>
        <v>0</v>
      </c>
      <c r="Z536" s="24">
        <f t="shared" si="101"/>
        <v>-3806770855.5630002</v>
      </c>
      <c r="AA536" s="25" t="str">
        <f t="shared" si="102"/>
        <v>No se realizó gasto en este corte</v>
      </c>
      <c r="AB536" s="26" t="str">
        <f t="shared" si="103"/>
        <v>Costo eficiente: se está gastando menos de lo presupuestado</v>
      </c>
      <c r="AC536" s="26">
        <f t="shared" si="104"/>
        <v>0</v>
      </c>
      <c r="AD536" s="26" t="str">
        <f t="shared" si="105"/>
        <v>Sin Línea Base</v>
      </c>
      <c r="AE536" s="27">
        <f t="shared" si="106"/>
        <v>0</v>
      </c>
      <c r="AF536" s="27">
        <f t="shared" si="107"/>
        <v>-3810581437</v>
      </c>
      <c r="AG536" s="28" t="str">
        <f>VLOOKUP(Indicador!E551,[1]Diccionario!C$1:AC$150,27,0)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36" s="28">
        <v>1</v>
      </c>
      <c r="AI536" s="28">
        <v>1</v>
      </c>
      <c r="AJ536" s="28"/>
      <c r="AK536" s="28"/>
    </row>
    <row r="537" spans="1:37" ht="18.75" customHeight="1" x14ac:dyDescent="0.25">
      <c r="A537" s="11">
        <v>2029</v>
      </c>
      <c r="B537" s="12" t="s">
        <v>57</v>
      </c>
      <c r="C537" s="15" t="s">
        <v>341</v>
      </c>
      <c r="D537" s="39">
        <v>45932.836031516206</v>
      </c>
      <c r="E537" s="15" t="s">
        <v>342</v>
      </c>
      <c r="F537" s="15" t="s">
        <v>151</v>
      </c>
      <c r="G537" s="15" t="s">
        <v>343</v>
      </c>
      <c r="H537" s="15" t="s">
        <v>344</v>
      </c>
      <c r="I537" s="15" t="s">
        <v>63</v>
      </c>
      <c r="J537" s="15" t="s">
        <v>345</v>
      </c>
      <c r="K537" s="15" t="s">
        <v>45</v>
      </c>
      <c r="L537" s="17">
        <f>VLOOKUP(E537,[1]Diccionario!C$2:AC$150,22,0)</f>
        <v>3810581437</v>
      </c>
      <c r="M537" s="18">
        <f>VLOOKUP(E537,[1]Diccionario!C$2:AC$150,24,0)</f>
        <v>45931</v>
      </c>
      <c r="N537" s="19">
        <f>VLOOKUP(E537,[1]Diccionario!C$2:AC$150,25,0)</f>
        <v>47483</v>
      </c>
      <c r="O537" s="20">
        <f>VLOOKUP(E537,[1]Diccionario!C$2:AC$150,26,0)</f>
        <v>51</v>
      </c>
      <c r="P537" s="20">
        <f t="shared" si="97"/>
        <v>0</v>
      </c>
      <c r="Q537" s="20">
        <v>51</v>
      </c>
      <c r="R537" s="15">
        <v>47</v>
      </c>
      <c r="S537" s="21">
        <v>1</v>
      </c>
      <c r="T537" s="21"/>
      <c r="U537" s="22"/>
      <c r="V537" s="24"/>
      <c r="W537" s="24">
        <f t="shared" si="98"/>
        <v>0</v>
      </c>
      <c r="X537" s="24">
        <f t="shared" si="99"/>
        <v>3810581437</v>
      </c>
      <c r="Y537" s="24">
        <f t="shared" si="100"/>
        <v>0</v>
      </c>
      <c r="Z537" s="24">
        <f t="shared" si="101"/>
        <v>-3810581437</v>
      </c>
      <c r="AA537" s="25" t="str">
        <f t="shared" si="102"/>
        <v>No se realizó gasto en este corte</v>
      </c>
      <c r="AB537" s="26" t="str">
        <f t="shared" si="103"/>
        <v>Costo eficiente: se está gastando menos de lo presupuestado</v>
      </c>
      <c r="AC537" s="26">
        <f t="shared" si="104"/>
        <v>0</v>
      </c>
      <c r="AD537" s="26" t="str">
        <f t="shared" si="105"/>
        <v>Sin Línea Base</v>
      </c>
      <c r="AE537" s="27">
        <f t="shared" si="106"/>
        <v>0</v>
      </c>
      <c r="AF537" s="27">
        <f t="shared" si="107"/>
        <v>-3810581437</v>
      </c>
      <c r="AG537" s="28" t="str">
        <f>VLOOKUP(Indicador!E552,[1]Diccionario!C$1:AC$150,27,0)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37" s="28">
        <v>1</v>
      </c>
      <c r="AI537" s="28">
        <v>1</v>
      </c>
      <c r="AJ537" s="28"/>
      <c r="AK537" s="28"/>
    </row>
    <row r="538" spans="1:37" ht="18.75" customHeight="1" x14ac:dyDescent="0.25">
      <c r="A538" s="82">
        <v>2025</v>
      </c>
      <c r="B538" s="83" t="s">
        <v>55</v>
      </c>
      <c r="C538" s="63" t="s">
        <v>346</v>
      </c>
      <c r="D538" s="84">
        <v>45932.853839039351</v>
      </c>
      <c r="E538" s="63" t="s">
        <v>347</v>
      </c>
      <c r="F538" s="15" t="s">
        <v>151</v>
      </c>
      <c r="G538" s="15" t="s">
        <v>348</v>
      </c>
      <c r="H538" s="15" t="s">
        <v>349</v>
      </c>
      <c r="I538" s="15" t="s">
        <v>63</v>
      </c>
      <c r="J538" s="15" t="s">
        <v>350</v>
      </c>
      <c r="K538" s="15" t="s">
        <v>291</v>
      </c>
      <c r="L538" s="17">
        <f>VLOOKUP(E538,[1]Diccionario!C$2:AC$150,22,0)</f>
        <v>131114560</v>
      </c>
      <c r="M538" s="18">
        <f>VLOOKUP(E538,[1]Diccionario!C$2:AC$150,24,0)</f>
        <v>45931</v>
      </c>
      <c r="N538" s="19">
        <f>VLOOKUP(E538,[1]Diccionario!C$2:AC$150,25,0)</f>
        <v>47391</v>
      </c>
      <c r="O538" s="20">
        <f>VLOOKUP(E538,[1]Diccionario!C$2:AC$150,26,0)</f>
        <v>47.97</v>
      </c>
      <c r="P538" s="20">
        <f t="shared" si="97"/>
        <v>-46.97</v>
      </c>
      <c r="Q538" s="20">
        <v>1</v>
      </c>
      <c r="R538" s="15">
        <v>48</v>
      </c>
      <c r="S538" s="21">
        <v>0.85</v>
      </c>
      <c r="T538" s="21">
        <v>0.85</v>
      </c>
      <c r="U538" s="24">
        <f>TablaIndicador[[#This Row],[Costo Mensual]]</f>
        <v>0</v>
      </c>
      <c r="V538" s="24">
        <v>0</v>
      </c>
      <c r="W538" s="24">
        <f t="shared" si="98"/>
        <v>111447376</v>
      </c>
      <c r="X538" s="24">
        <f t="shared" si="99"/>
        <v>111447376</v>
      </c>
      <c r="Y538" s="24">
        <f t="shared" si="100"/>
        <v>111447376</v>
      </c>
      <c r="Z538" s="24">
        <f t="shared" si="101"/>
        <v>0</v>
      </c>
      <c r="AA538" s="25" t="str">
        <f t="shared" si="102"/>
        <v>No se realizó gasto en este corte</v>
      </c>
      <c r="AB538" s="26" t="str">
        <f t="shared" si="103"/>
        <v>Costo eficiente: se está gastando menos de lo presupuestado</v>
      </c>
      <c r="AC538" s="26">
        <f t="shared" si="104"/>
        <v>1</v>
      </c>
      <c r="AD538" s="26" t="str">
        <f t="shared" si="105"/>
        <v>Proyecto a tiempo según lo planificado</v>
      </c>
      <c r="AE538" s="27">
        <f t="shared" si="106"/>
        <v>0</v>
      </c>
      <c r="AF538" s="27">
        <f t="shared" si="107"/>
        <v>-131114560</v>
      </c>
      <c r="AG538" s="28" t="str">
        <f>VLOOKUP(Indicador!E454,[1]Diccionario!C$1:AC$150,27,0)</f>
        <v>https://growdatasas.sharepoint.com/:x:/r/sites/Gestiondocumental/Administrativa/GD/Financiera/_layouts/15/Doc.aspx?sourcedoc=%7BBFBC0E56-0D26-4209-BEC0-A1582426050B%7D&amp;file=MODELO%20FINANCIERO%20FCM%20UT%2029.09.25%20V1.xlsm&amp;action=default&amp;mobileredirect=true</v>
      </c>
      <c r="AH538" s="28">
        <v>1</v>
      </c>
      <c r="AI538" s="28">
        <v>1</v>
      </c>
      <c r="AJ538" s="28"/>
      <c r="AK538" s="28"/>
    </row>
    <row r="539" spans="1:37" ht="18.75" customHeight="1" x14ac:dyDescent="0.25">
      <c r="A539" s="64">
        <v>2025</v>
      </c>
      <c r="B539" s="65" t="s">
        <v>56</v>
      </c>
      <c r="C539" s="66" t="s">
        <v>346</v>
      </c>
      <c r="D539" s="67">
        <v>45932.853839039351</v>
      </c>
      <c r="E539" s="66" t="s">
        <v>347</v>
      </c>
      <c r="F539" s="66" t="s">
        <v>151</v>
      </c>
      <c r="G539" s="66" t="s">
        <v>348</v>
      </c>
      <c r="H539" s="66" t="s">
        <v>349</v>
      </c>
      <c r="I539" s="66" t="s">
        <v>63</v>
      </c>
      <c r="J539" s="66" t="s">
        <v>350</v>
      </c>
      <c r="K539" s="66" t="s">
        <v>291</v>
      </c>
      <c r="L539" s="68">
        <f>VLOOKUP(E539,[1]Diccionario!C$2:AC$150,22,0)</f>
        <v>131114560</v>
      </c>
      <c r="M539" s="69">
        <f>VLOOKUP(E539,[1]Diccionario!C$2:AC$150,24,0)</f>
        <v>45931</v>
      </c>
      <c r="N539" s="70">
        <f>VLOOKUP(E539,[1]Diccionario!C$2:AC$150,25,0)</f>
        <v>47391</v>
      </c>
      <c r="O539" s="71">
        <f>VLOOKUP(E539,[1]Diccionario!C$2:AC$150,26,0)</f>
        <v>47.97</v>
      </c>
      <c r="P539" s="71">
        <f t="shared" si="97"/>
        <v>-45.97</v>
      </c>
      <c r="Q539" s="71">
        <v>2</v>
      </c>
      <c r="R539" s="66">
        <v>48</v>
      </c>
      <c r="S539" s="72">
        <v>0.99</v>
      </c>
      <c r="T539" s="72">
        <v>0.99</v>
      </c>
      <c r="U539" s="73">
        <f>U538+TablaIndicador[[#This Row],[Costo Mensual]]</f>
        <v>129184075</v>
      </c>
      <c r="V539" s="85">
        <v>129184075</v>
      </c>
      <c r="W539" s="73">
        <f t="shared" si="98"/>
        <v>129803414.40000001</v>
      </c>
      <c r="X539" s="73">
        <f t="shared" si="99"/>
        <v>129803414.40000001</v>
      </c>
      <c r="Y539" s="73">
        <f t="shared" si="100"/>
        <v>619339.40000000596</v>
      </c>
      <c r="Z539" s="73">
        <f t="shared" si="101"/>
        <v>0</v>
      </c>
      <c r="AA539" s="75">
        <f t="shared" si="102"/>
        <v>1.0047942395376521</v>
      </c>
      <c r="AB539" s="76" t="str">
        <f t="shared" si="103"/>
        <v>Costo eficiente: se está gastando menos de lo presupuestado</v>
      </c>
      <c r="AC539" s="76">
        <f t="shared" si="104"/>
        <v>1</v>
      </c>
      <c r="AD539" s="76" t="str">
        <f t="shared" si="105"/>
        <v>Proyecto a tiempo según lo planificado</v>
      </c>
      <c r="AE539" s="77">
        <f t="shared" si="106"/>
        <v>130488964.64646463</v>
      </c>
      <c r="AF539" s="77">
        <f t="shared" si="107"/>
        <v>-625595.35353536904</v>
      </c>
      <c r="AG539" s="78" t="str">
        <f>VLOOKUP(Indicador!E455,[1]Diccionario!C$1:AC$150,27,0)</f>
        <v>https://growdatasas.sharepoint.com/:x:/r/sites/Gestiondocumental/Administrativa/GD/Financiera/_layouts/15/Doc.aspx?sourcedoc=%7BBFBC0E56-0D26-4209-BEC0-A1582426050B%7D&amp;file=MODELO%20FINANCIERO%20FCM%20UT%2029.09.25%20V1.xlsm&amp;action=default&amp;mobileredirect=true</v>
      </c>
      <c r="AH539" s="78">
        <v>1</v>
      </c>
      <c r="AI539" s="78">
        <v>1</v>
      </c>
      <c r="AJ539" s="78"/>
      <c r="AK539" s="78" t="s">
        <v>319</v>
      </c>
    </row>
    <row r="540" spans="1:37" ht="18.75" customHeight="1" x14ac:dyDescent="0.25">
      <c r="A540" s="64">
        <v>2025</v>
      </c>
      <c r="B540" s="65" t="s">
        <v>57</v>
      </c>
      <c r="C540" s="66" t="s">
        <v>346</v>
      </c>
      <c r="D540" s="67">
        <v>45932.853839039351</v>
      </c>
      <c r="E540" s="66" t="s">
        <v>347</v>
      </c>
      <c r="F540" s="66" t="s">
        <v>151</v>
      </c>
      <c r="G540" s="66" t="s">
        <v>348</v>
      </c>
      <c r="H540" s="66" t="s">
        <v>349</v>
      </c>
      <c r="I540" s="66" t="s">
        <v>63</v>
      </c>
      <c r="J540" s="66" t="s">
        <v>350</v>
      </c>
      <c r="K540" s="66" t="s">
        <v>291</v>
      </c>
      <c r="L540" s="68">
        <f>VLOOKUP(E540,[1]Diccionario!C$2:AC$150,22,0)</f>
        <v>131114560</v>
      </c>
      <c r="M540" s="69">
        <f>VLOOKUP(E540,[1]Diccionario!C$2:AC$150,24,0)</f>
        <v>45931</v>
      </c>
      <c r="N540" s="70">
        <f>VLOOKUP(E540,[1]Diccionario!C$2:AC$150,25,0)</f>
        <v>47391</v>
      </c>
      <c r="O540" s="71">
        <f>VLOOKUP(E540,[1]Diccionario!C$2:AC$150,26,0)</f>
        <v>47.97</v>
      </c>
      <c r="P540" s="71">
        <f t="shared" si="97"/>
        <v>-44.97</v>
      </c>
      <c r="Q540" s="71">
        <v>3</v>
      </c>
      <c r="R540" s="66">
        <v>48</v>
      </c>
      <c r="S540" s="72">
        <v>0.99009999999999998</v>
      </c>
      <c r="T540" s="72">
        <v>0.99009999999999998</v>
      </c>
      <c r="U540" s="73">
        <f>U539+TablaIndicador[[#This Row],[Costo Mensual]]</f>
        <v>129184075</v>
      </c>
      <c r="V540" s="73">
        <v>0</v>
      </c>
      <c r="W540" s="73">
        <f t="shared" si="98"/>
        <v>129816525.85599999</v>
      </c>
      <c r="X540" s="73">
        <f t="shared" si="99"/>
        <v>129816525.85599999</v>
      </c>
      <c r="Y540" s="73">
        <f t="shared" si="100"/>
        <v>632450.8559999913</v>
      </c>
      <c r="Z540" s="73">
        <f t="shared" si="101"/>
        <v>0</v>
      </c>
      <c r="AA540" s="75">
        <f t="shared" si="102"/>
        <v>1.004895733905282</v>
      </c>
      <c r="AB540" s="76" t="str">
        <f t="shared" si="103"/>
        <v>Costo eficiente: se está gastando menos de lo presupuestado</v>
      </c>
      <c r="AC540" s="76">
        <f t="shared" si="104"/>
        <v>1</v>
      </c>
      <c r="AD540" s="76" t="str">
        <f t="shared" si="105"/>
        <v>Proyecto a tiempo según lo planificado</v>
      </c>
      <c r="AE540" s="77">
        <f t="shared" si="106"/>
        <v>130475785.27421473</v>
      </c>
      <c r="AF540" s="77">
        <f t="shared" si="107"/>
        <v>-638774.72578527033</v>
      </c>
      <c r="AG540" s="78" t="str">
        <f>VLOOKUP(Indicador!E456,[1]Diccionario!C$1:AC$150,27,0)</f>
        <v>https://growdatasas.sharepoint.com/:x:/r/sites/Gestiondocumental/Administrativa/GD/Financiera/_layouts/15/Doc.aspx?sourcedoc=%7BBFBC0E56-0D26-4209-BEC0-A1582426050B%7D&amp;file=MODELO%20FINANCIERO%20FCM%20UT%2029.09.25%20V1.xlsm&amp;action=default&amp;mobileredirect=true</v>
      </c>
      <c r="AH540" s="78">
        <v>1</v>
      </c>
      <c r="AI540" s="78">
        <v>1</v>
      </c>
      <c r="AJ540" s="78"/>
      <c r="AK540" s="78" t="s">
        <v>319</v>
      </c>
    </row>
    <row r="541" spans="1:37" ht="18.75" customHeight="1" x14ac:dyDescent="0.25">
      <c r="A541" s="64">
        <v>2026</v>
      </c>
      <c r="B541" s="65" t="s">
        <v>37</v>
      </c>
      <c r="C541" s="66" t="s">
        <v>346</v>
      </c>
      <c r="D541" s="67">
        <v>45932.853839039351</v>
      </c>
      <c r="E541" s="66" t="s">
        <v>347</v>
      </c>
      <c r="F541" s="66" t="s">
        <v>151</v>
      </c>
      <c r="G541" s="66" t="s">
        <v>348</v>
      </c>
      <c r="H541" s="66" t="s">
        <v>349</v>
      </c>
      <c r="I541" s="66" t="s">
        <v>63</v>
      </c>
      <c r="J541" s="66" t="s">
        <v>350</v>
      </c>
      <c r="K541" s="66" t="s">
        <v>291</v>
      </c>
      <c r="L541" s="68">
        <f>VLOOKUP(E541,[1]Diccionario!C$2:AC$150,22,0)</f>
        <v>131114560</v>
      </c>
      <c r="M541" s="69">
        <f>VLOOKUP(E541,[1]Diccionario!C$2:AC$150,24,0)</f>
        <v>45931</v>
      </c>
      <c r="N541" s="70">
        <f>VLOOKUP(E541,[1]Diccionario!C$2:AC$150,25,0)</f>
        <v>47391</v>
      </c>
      <c r="O541" s="71">
        <f>VLOOKUP(E541,[1]Diccionario!C$2:AC$150,26,0)</f>
        <v>47.97</v>
      </c>
      <c r="P541" s="71">
        <f t="shared" si="97"/>
        <v>-43.97</v>
      </c>
      <c r="Q541" s="71">
        <v>4</v>
      </c>
      <c r="R541" s="66">
        <v>48</v>
      </c>
      <c r="S541" s="72">
        <v>0.99019999999999997</v>
      </c>
      <c r="T541" s="72">
        <v>0.99019999999999997</v>
      </c>
      <c r="U541" s="73">
        <f>U540+TablaIndicador[[#This Row],[Costo Mensual]]</f>
        <v>129184075</v>
      </c>
      <c r="V541" s="73">
        <v>0</v>
      </c>
      <c r="W541" s="73">
        <f t="shared" si="98"/>
        <v>129829637.31199999</v>
      </c>
      <c r="X541" s="73">
        <f t="shared" si="99"/>
        <v>129829637.31199999</v>
      </c>
      <c r="Y541" s="73">
        <f t="shared" si="100"/>
        <v>645562.31199999154</v>
      </c>
      <c r="Z541" s="73">
        <f t="shared" si="101"/>
        <v>0</v>
      </c>
      <c r="AA541" s="75">
        <f t="shared" si="102"/>
        <v>1.004997228272912</v>
      </c>
      <c r="AB541" s="76" t="str">
        <f t="shared" si="103"/>
        <v>Costo eficiente: se está gastando menos de lo presupuestado</v>
      </c>
      <c r="AC541" s="76">
        <f t="shared" si="104"/>
        <v>1</v>
      </c>
      <c r="AD541" s="76" t="str">
        <f t="shared" si="105"/>
        <v>Proyecto a tiempo según lo planificado</v>
      </c>
      <c r="AE541" s="77">
        <f t="shared" si="106"/>
        <v>130462608.56392649</v>
      </c>
      <c r="AF541" s="77">
        <f t="shared" si="107"/>
        <v>-651951.43607351184</v>
      </c>
      <c r="AG541" s="78" t="str">
        <f>VLOOKUP(Indicador!E457,[1]Diccionario!C$1:AC$150,27,0)</f>
        <v>https://growdatasas.sharepoint.com/:x:/r/sites/Gestiondocumental/Administrativa/GD/Financiera/_layouts/15/Doc.aspx?sourcedoc=%7BBFBC0E56-0D26-4209-BEC0-A1582426050B%7D&amp;file=MODELO%20FINANCIERO%20FCM%20UT%2029.09.25%20V1.xlsm&amp;action=default&amp;mobileredirect=true</v>
      </c>
      <c r="AH541" s="78">
        <v>1</v>
      </c>
      <c r="AI541" s="78">
        <v>1</v>
      </c>
      <c r="AJ541" s="78"/>
      <c r="AK541" s="78" t="s">
        <v>319</v>
      </c>
    </row>
    <row r="542" spans="1:37" ht="18.75" customHeight="1" x14ac:dyDescent="0.25">
      <c r="A542" s="64">
        <v>2026</v>
      </c>
      <c r="B542" s="65" t="s">
        <v>47</v>
      </c>
      <c r="C542" s="66" t="s">
        <v>346</v>
      </c>
      <c r="D542" s="67">
        <v>45932.853839039351</v>
      </c>
      <c r="E542" s="66" t="s">
        <v>347</v>
      </c>
      <c r="F542" s="66" t="s">
        <v>151</v>
      </c>
      <c r="G542" s="66" t="s">
        <v>348</v>
      </c>
      <c r="H542" s="66" t="s">
        <v>349</v>
      </c>
      <c r="I542" s="66" t="s">
        <v>63</v>
      </c>
      <c r="J542" s="66" t="s">
        <v>350</v>
      </c>
      <c r="K542" s="66" t="s">
        <v>291</v>
      </c>
      <c r="L542" s="68">
        <f>VLOOKUP(E542,[1]Diccionario!C$2:AC$150,22,0)</f>
        <v>131114560</v>
      </c>
      <c r="M542" s="69">
        <f>VLOOKUP(E542,[1]Diccionario!C$2:AC$150,24,0)</f>
        <v>45931</v>
      </c>
      <c r="N542" s="70">
        <f>VLOOKUP(E542,[1]Diccionario!C$2:AC$150,25,0)</f>
        <v>47391</v>
      </c>
      <c r="O542" s="71">
        <f>VLOOKUP(E542,[1]Diccionario!C$2:AC$150,26,0)</f>
        <v>47.97</v>
      </c>
      <c r="P542" s="71">
        <f t="shared" si="97"/>
        <v>-42.97</v>
      </c>
      <c r="Q542" s="71">
        <v>5</v>
      </c>
      <c r="R542" s="66">
        <v>48</v>
      </c>
      <c r="S542" s="72">
        <v>0.99029999999999996</v>
      </c>
      <c r="T542" s="72">
        <v>0.99</v>
      </c>
      <c r="U542" s="73">
        <f>U541+TablaIndicador[[#This Row],[Costo Mensual]]</f>
        <v>129184075</v>
      </c>
      <c r="V542" s="73">
        <v>0</v>
      </c>
      <c r="W542" s="73">
        <f t="shared" si="98"/>
        <v>129803414.40000001</v>
      </c>
      <c r="X542" s="73">
        <f t="shared" si="99"/>
        <v>129842748.76799999</v>
      </c>
      <c r="Y542" s="73">
        <f t="shared" si="100"/>
        <v>619339.40000000596</v>
      </c>
      <c r="Z542" s="73">
        <f t="shared" si="101"/>
        <v>-39334.367999985814</v>
      </c>
      <c r="AA542" s="75">
        <f t="shared" si="102"/>
        <v>1.0047942395376521</v>
      </c>
      <c r="AB542" s="76" t="str">
        <f t="shared" si="103"/>
        <v>Costo eficiente: se está gastando menos de lo presupuestado</v>
      </c>
      <c r="AC542" s="76">
        <f t="shared" si="104"/>
        <v>0.99969706149651627</v>
      </c>
      <c r="AD542" s="76" t="str">
        <f t="shared" si="105"/>
        <v>Proyecto atrasado con respecto al cronograma</v>
      </c>
      <c r="AE542" s="77">
        <f t="shared" si="106"/>
        <v>130488964.64646463</v>
      </c>
      <c r="AF542" s="77">
        <f t="shared" si="107"/>
        <v>-625595.35353536904</v>
      </c>
      <c r="AG542" s="78" t="str">
        <f>VLOOKUP(Indicador!E458,[1]Diccionario!C$1:AC$150,27,0)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42" s="78">
        <v>1</v>
      </c>
      <c r="AI542" s="78">
        <v>1</v>
      </c>
      <c r="AJ542" s="78"/>
      <c r="AK542" s="78" t="s">
        <v>319</v>
      </c>
    </row>
    <row r="543" spans="1:37" ht="18.75" customHeight="1" x14ac:dyDescent="0.25">
      <c r="A543" s="64">
        <v>2026</v>
      </c>
      <c r="B543" s="65" t="s">
        <v>48</v>
      </c>
      <c r="C543" s="66" t="s">
        <v>346</v>
      </c>
      <c r="D543" s="67">
        <v>45932.853839039351</v>
      </c>
      <c r="E543" s="66" t="s">
        <v>347</v>
      </c>
      <c r="F543" s="66" t="s">
        <v>151</v>
      </c>
      <c r="G543" s="66" t="s">
        <v>348</v>
      </c>
      <c r="H543" s="66" t="s">
        <v>349</v>
      </c>
      <c r="I543" s="66" t="s">
        <v>63</v>
      </c>
      <c r="J543" s="66" t="s">
        <v>350</v>
      </c>
      <c r="K543" s="66" t="s">
        <v>291</v>
      </c>
      <c r="L543" s="68">
        <f>VLOOKUP(E543,[1]Diccionario!C$2:AC$150,22,0)</f>
        <v>131114560</v>
      </c>
      <c r="M543" s="69">
        <f>VLOOKUP(E543,[1]Diccionario!C$2:AC$150,24,0)</f>
        <v>45931</v>
      </c>
      <c r="N543" s="70">
        <f>VLOOKUP(E543,[1]Diccionario!C$2:AC$150,25,0)</f>
        <v>47391</v>
      </c>
      <c r="O543" s="71">
        <f>VLOOKUP(E543,[1]Diccionario!C$2:AC$150,26,0)</f>
        <v>47.97</v>
      </c>
      <c r="P543" s="71">
        <f t="shared" si="97"/>
        <v>-41.97</v>
      </c>
      <c r="Q543" s="71">
        <v>6</v>
      </c>
      <c r="R543" s="66">
        <v>48</v>
      </c>
      <c r="S543" s="72">
        <v>0.99039999999999995</v>
      </c>
      <c r="T543" s="72"/>
      <c r="U543" s="73">
        <f>U542+TablaIndicador[[#This Row],[Costo Mensual]]</f>
        <v>129184075</v>
      </c>
      <c r="V543" s="73">
        <v>0</v>
      </c>
      <c r="W543" s="73">
        <f t="shared" si="98"/>
        <v>0</v>
      </c>
      <c r="X543" s="73">
        <f t="shared" si="99"/>
        <v>129855860.22399999</v>
      </c>
      <c r="Y543" s="73">
        <f t="shared" si="100"/>
        <v>-129184075</v>
      </c>
      <c r="Z543" s="73">
        <f t="shared" si="101"/>
        <v>-129855860.22399999</v>
      </c>
      <c r="AA543" s="75">
        <f t="shared" si="102"/>
        <v>0</v>
      </c>
      <c r="AB543" s="76" t="str">
        <f t="shared" si="103"/>
        <v>No calculado</v>
      </c>
      <c r="AC543" s="76">
        <f t="shared" si="104"/>
        <v>0</v>
      </c>
      <c r="AD543" s="76" t="str">
        <f t="shared" si="105"/>
        <v>Sin Línea Base</v>
      </c>
      <c r="AE543" s="77">
        <f t="shared" si="106"/>
        <v>0</v>
      </c>
      <c r="AF543" s="77">
        <f t="shared" si="107"/>
        <v>-131114560</v>
      </c>
      <c r="AG543" s="78" t="str">
        <f>VLOOKUP(Indicador!E459,[1]Diccionario!C$1:AC$150,27,0)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43" s="78">
        <v>1</v>
      </c>
      <c r="AI543" s="78">
        <v>1</v>
      </c>
      <c r="AJ543" s="78"/>
      <c r="AK543" s="78" t="s">
        <v>319</v>
      </c>
    </row>
    <row r="544" spans="1:37" ht="18.75" customHeight="1" x14ac:dyDescent="0.25">
      <c r="A544" s="64">
        <v>2026</v>
      </c>
      <c r="B544" s="65" t="s">
        <v>49</v>
      </c>
      <c r="C544" s="66" t="s">
        <v>346</v>
      </c>
      <c r="D544" s="67">
        <v>45932.853839039351</v>
      </c>
      <c r="E544" s="66" t="s">
        <v>347</v>
      </c>
      <c r="F544" s="66" t="s">
        <v>151</v>
      </c>
      <c r="G544" s="66" t="s">
        <v>348</v>
      </c>
      <c r="H544" s="66" t="s">
        <v>349</v>
      </c>
      <c r="I544" s="66" t="s">
        <v>63</v>
      </c>
      <c r="J544" s="66" t="s">
        <v>350</v>
      </c>
      <c r="K544" s="66" t="s">
        <v>291</v>
      </c>
      <c r="L544" s="68">
        <f>VLOOKUP(E544,[1]Diccionario!C$2:AC$150,22,0)</f>
        <v>131114560</v>
      </c>
      <c r="M544" s="69">
        <f>VLOOKUP(E544,[1]Diccionario!C$2:AC$150,24,0)</f>
        <v>45931</v>
      </c>
      <c r="N544" s="70">
        <f>VLOOKUP(E544,[1]Diccionario!C$2:AC$150,25,0)</f>
        <v>47391</v>
      </c>
      <c r="O544" s="71">
        <f>VLOOKUP(E544,[1]Diccionario!C$2:AC$150,26,0)</f>
        <v>47.97</v>
      </c>
      <c r="P544" s="71">
        <f t="shared" si="97"/>
        <v>-40.97</v>
      </c>
      <c r="Q544" s="71">
        <v>7</v>
      </c>
      <c r="R544" s="66">
        <v>48</v>
      </c>
      <c r="S544" s="72">
        <v>0.99050000000000005</v>
      </c>
      <c r="T544" s="72"/>
      <c r="U544" s="73">
        <f>U543+TablaIndicador[[#This Row],[Costo Mensual]]</f>
        <v>129184075</v>
      </c>
      <c r="V544" s="73">
        <v>0</v>
      </c>
      <c r="W544" s="73">
        <f t="shared" si="98"/>
        <v>0</v>
      </c>
      <c r="X544" s="73">
        <f t="shared" si="99"/>
        <v>129868971.68000001</v>
      </c>
      <c r="Y544" s="73">
        <f t="shared" si="100"/>
        <v>-129184075</v>
      </c>
      <c r="Z544" s="73">
        <f t="shared" si="101"/>
        <v>-129868971.68000001</v>
      </c>
      <c r="AA544" s="75">
        <f t="shared" si="102"/>
        <v>0</v>
      </c>
      <c r="AB544" s="76" t="str">
        <f t="shared" si="103"/>
        <v>No calculado</v>
      </c>
      <c r="AC544" s="76">
        <f t="shared" si="104"/>
        <v>0</v>
      </c>
      <c r="AD544" s="76" t="str">
        <f t="shared" si="105"/>
        <v>Sin Línea Base</v>
      </c>
      <c r="AE544" s="77">
        <f t="shared" si="106"/>
        <v>0</v>
      </c>
      <c r="AF544" s="77">
        <f t="shared" si="107"/>
        <v>-131114560</v>
      </c>
      <c r="AG544" s="78" t="str">
        <f>VLOOKUP(Indicador!E460,[1]Diccionario!C$1:AC$150,27,0)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44" s="78">
        <v>1</v>
      </c>
      <c r="AI544" s="78">
        <v>1</v>
      </c>
      <c r="AJ544" s="78"/>
      <c r="AK544" s="78" t="s">
        <v>319</v>
      </c>
    </row>
    <row r="545" spans="1:37" ht="18.75" customHeight="1" x14ac:dyDescent="0.25">
      <c r="A545" s="64">
        <v>2026</v>
      </c>
      <c r="B545" s="65" t="s">
        <v>50</v>
      </c>
      <c r="C545" s="66" t="s">
        <v>346</v>
      </c>
      <c r="D545" s="67">
        <v>45932.853839039351</v>
      </c>
      <c r="E545" s="66" t="s">
        <v>347</v>
      </c>
      <c r="F545" s="66" t="s">
        <v>151</v>
      </c>
      <c r="G545" s="66" t="s">
        <v>348</v>
      </c>
      <c r="H545" s="66" t="s">
        <v>349</v>
      </c>
      <c r="I545" s="66" t="s">
        <v>63</v>
      </c>
      <c r="J545" s="66" t="s">
        <v>350</v>
      </c>
      <c r="K545" s="66" t="s">
        <v>291</v>
      </c>
      <c r="L545" s="68">
        <f>VLOOKUP(E545,[1]Diccionario!C$2:AC$150,22,0)</f>
        <v>131114560</v>
      </c>
      <c r="M545" s="69">
        <f>VLOOKUP(E545,[1]Diccionario!C$2:AC$150,24,0)</f>
        <v>45931</v>
      </c>
      <c r="N545" s="70">
        <f>VLOOKUP(E545,[1]Diccionario!C$2:AC$150,25,0)</f>
        <v>47391</v>
      </c>
      <c r="O545" s="71">
        <f>VLOOKUP(E545,[1]Diccionario!C$2:AC$150,26,0)</f>
        <v>47.97</v>
      </c>
      <c r="P545" s="71">
        <f t="shared" si="97"/>
        <v>-39.97</v>
      </c>
      <c r="Q545" s="71">
        <v>8</v>
      </c>
      <c r="R545" s="66">
        <v>48</v>
      </c>
      <c r="S545" s="72">
        <v>0.99060000000000004</v>
      </c>
      <c r="T545" s="72"/>
      <c r="U545" s="73">
        <f>U544+TablaIndicador[[#This Row],[Costo Mensual]]</f>
        <v>129184075</v>
      </c>
      <c r="V545" s="73">
        <v>0</v>
      </c>
      <c r="W545" s="73">
        <f t="shared" si="98"/>
        <v>0</v>
      </c>
      <c r="X545" s="73">
        <f t="shared" si="99"/>
        <v>129882083.13600001</v>
      </c>
      <c r="Y545" s="73">
        <f t="shared" si="100"/>
        <v>-129184075</v>
      </c>
      <c r="Z545" s="73">
        <f t="shared" si="101"/>
        <v>-129882083.13600001</v>
      </c>
      <c r="AA545" s="75">
        <f t="shared" si="102"/>
        <v>0</v>
      </c>
      <c r="AB545" s="76" t="str">
        <f t="shared" si="103"/>
        <v>No calculado</v>
      </c>
      <c r="AC545" s="76">
        <f t="shared" si="104"/>
        <v>0</v>
      </c>
      <c r="AD545" s="76" t="str">
        <f t="shared" si="105"/>
        <v>Sin Línea Base</v>
      </c>
      <c r="AE545" s="77">
        <f t="shared" si="106"/>
        <v>0</v>
      </c>
      <c r="AF545" s="77">
        <f t="shared" si="107"/>
        <v>-131114560</v>
      </c>
      <c r="AG545" s="78" t="str">
        <f>VLOOKUP(Indicador!E461,[1]Diccionario!C$1:AC$150,27,0)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45" s="78">
        <v>1</v>
      </c>
      <c r="AI545" s="78">
        <v>1</v>
      </c>
      <c r="AJ545" s="78"/>
      <c r="AK545" s="78" t="s">
        <v>319</v>
      </c>
    </row>
    <row r="546" spans="1:37" ht="18.75" customHeight="1" x14ac:dyDescent="0.25">
      <c r="A546" s="64">
        <v>2026</v>
      </c>
      <c r="B546" s="65" t="s">
        <v>51</v>
      </c>
      <c r="C546" s="66" t="s">
        <v>346</v>
      </c>
      <c r="D546" s="67">
        <v>45932.853839039351</v>
      </c>
      <c r="E546" s="66" t="s">
        <v>347</v>
      </c>
      <c r="F546" s="66" t="s">
        <v>151</v>
      </c>
      <c r="G546" s="66" t="s">
        <v>348</v>
      </c>
      <c r="H546" s="66" t="s">
        <v>349</v>
      </c>
      <c r="I546" s="66" t="s">
        <v>63</v>
      </c>
      <c r="J546" s="66" t="s">
        <v>350</v>
      </c>
      <c r="K546" s="66" t="s">
        <v>291</v>
      </c>
      <c r="L546" s="68">
        <f>VLOOKUP(E546,[1]Diccionario!C$2:AC$150,22,0)</f>
        <v>131114560</v>
      </c>
      <c r="M546" s="69">
        <f>VLOOKUP(E546,[1]Diccionario!C$2:AC$150,24,0)</f>
        <v>45931</v>
      </c>
      <c r="N546" s="70">
        <f>VLOOKUP(E546,[1]Diccionario!C$2:AC$150,25,0)</f>
        <v>47391</v>
      </c>
      <c r="O546" s="71">
        <f>VLOOKUP(E546,[1]Diccionario!C$2:AC$150,26,0)</f>
        <v>47.97</v>
      </c>
      <c r="P546" s="71">
        <f t="shared" si="97"/>
        <v>-38.97</v>
      </c>
      <c r="Q546" s="71">
        <v>9</v>
      </c>
      <c r="R546" s="66">
        <v>48</v>
      </c>
      <c r="S546" s="72">
        <v>0.99070000000000003</v>
      </c>
      <c r="T546" s="72"/>
      <c r="U546" s="73">
        <f>U545+TablaIndicador[[#This Row],[Costo Mensual]]</f>
        <v>129184075</v>
      </c>
      <c r="V546" s="73">
        <v>0</v>
      </c>
      <c r="W546" s="73">
        <f t="shared" si="98"/>
        <v>0</v>
      </c>
      <c r="X546" s="73">
        <f t="shared" si="99"/>
        <v>129895194.59200001</v>
      </c>
      <c r="Y546" s="73">
        <f t="shared" si="100"/>
        <v>-129184075</v>
      </c>
      <c r="Z546" s="73">
        <f t="shared" si="101"/>
        <v>-129895194.59200001</v>
      </c>
      <c r="AA546" s="75">
        <f t="shared" si="102"/>
        <v>0</v>
      </c>
      <c r="AB546" s="76" t="str">
        <f t="shared" si="103"/>
        <v>No calculado</v>
      </c>
      <c r="AC546" s="76">
        <f t="shared" si="104"/>
        <v>0</v>
      </c>
      <c r="AD546" s="76" t="str">
        <f t="shared" si="105"/>
        <v>Sin Línea Base</v>
      </c>
      <c r="AE546" s="77">
        <f t="shared" si="106"/>
        <v>0</v>
      </c>
      <c r="AF546" s="77">
        <f t="shared" si="107"/>
        <v>-131114560</v>
      </c>
      <c r="AG546" s="78" t="str">
        <f>VLOOKUP(Indicador!E462,[1]Diccionario!C$1:AC$150,27,0)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46" s="78">
        <v>1</v>
      </c>
      <c r="AI546" s="78">
        <v>1</v>
      </c>
      <c r="AJ546" s="78"/>
      <c r="AK546" s="78" t="s">
        <v>319</v>
      </c>
    </row>
    <row r="547" spans="1:37" ht="18.75" customHeight="1" x14ac:dyDescent="0.25">
      <c r="A547" s="64">
        <v>2026</v>
      </c>
      <c r="B547" s="65" t="s">
        <v>52</v>
      </c>
      <c r="C547" s="66" t="s">
        <v>346</v>
      </c>
      <c r="D547" s="67">
        <v>45932.853839039351</v>
      </c>
      <c r="E547" s="66" t="s">
        <v>347</v>
      </c>
      <c r="F547" s="66" t="s">
        <v>151</v>
      </c>
      <c r="G547" s="66" t="s">
        <v>348</v>
      </c>
      <c r="H547" s="66" t="s">
        <v>349</v>
      </c>
      <c r="I547" s="66" t="s">
        <v>63</v>
      </c>
      <c r="J547" s="66" t="s">
        <v>350</v>
      </c>
      <c r="K547" s="66" t="s">
        <v>291</v>
      </c>
      <c r="L547" s="68">
        <f>VLOOKUP(E547,[1]Diccionario!C$2:AC$150,22,0)</f>
        <v>131114560</v>
      </c>
      <c r="M547" s="69">
        <f>VLOOKUP(E547,[1]Diccionario!C$2:AC$150,24,0)</f>
        <v>45931</v>
      </c>
      <c r="N547" s="70">
        <f>VLOOKUP(E547,[1]Diccionario!C$2:AC$150,25,0)</f>
        <v>47391</v>
      </c>
      <c r="O547" s="71">
        <f>VLOOKUP(E547,[1]Diccionario!C$2:AC$150,26,0)</f>
        <v>47.97</v>
      </c>
      <c r="P547" s="71">
        <f t="shared" si="97"/>
        <v>-37.97</v>
      </c>
      <c r="Q547" s="71">
        <v>10</v>
      </c>
      <c r="R547" s="66">
        <v>48</v>
      </c>
      <c r="S547" s="72">
        <v>0.99080000000000001</v>
      </c>
      <c r="T547" s="72"/>
      <c r="U547" s="73">
        <f>U546+TablaIndicador[[#This Row],[Costo Mensual]]</f>
        <v>129184075</v>
      </c>
      <c r="V547" s="73">
        <v>0</v>
      </c>
      <c r="W547" s="73">
        <f t="shared" si="98"/>
        <v>0</v>
      </c>
      <c r="X547" s="73">
        <f t="shared" si="99"/>
        <v>129908306.04800001</v>
      </c>
      <c r="Y547" s="73">
        <f t="shared" si="100"/>
        <v>-129184075</v>
      </c>
      <c r="Z547" s="73">
        <f t="shared" si="101"/>
        <v>-129908306.04800001</v>
      </c>
      <c r="AA547" s="75">
        <f t="shared" si="102"/>
        <v>0</v>
      </c>
      <c r="AB547" s="76" t="str">
        <f t="shared" si="103"/>
        <v>No calculado</v>
      </c>
      <c r="AC547" s="76">
        <f t="shared" si="104"/>
        <v>0</v>
      </c>
      <c r="AD547" s="76" t="str">
        <f t="shared" si="105"/>
        <v>Sin Línea Base</v>
      </c>
      <c r="AE547" s="77">
        <f t="shared" si="106"/>
        <v>0</v>
      </c>
      <c r="AF547" s="77">
        <f t="shared" si="107"/>
        <v>-131114560</v>
      </c>
      <c r="AG547" s="78" t="str">
        <f>VLOOKUP(Indicador!E463,[1]Diccionario!C$1:AC$150,27,0)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47" s="78">
        <v>1</v>
      </c>
      <c r="AI547" s="78">
        <v>1</v>
      </c>
      <c r="AJ547" s="78"/>
      <c r="AK547" s="78" t="s">
        <v>319</v>
      </c>
    </row>
    <row r="548" spans="1:37" ht="18.75" customHeight="1" x14ac:dyDescent="0.25">
      <c r="A548" s="64">
        <v>2026</v>
      </c>
      <c r="B548" s="65" t="s">
        <v>53</v>
      </c>
      <c r="C548" s="66" t="s">
        <v>346</v>
      </c>
      <c r="D548" s="67">
        <v>45932.853839039351</v>
      </c>
      <c r="E548" s="66" t="s">
        <v>347</v>
      </c>
      <c r="F548" s="66" t="s">
        <v>151</v>
      </c>
      <c r="G548" s="66" t="s">
        <v>348</v>
      </c>
      <c r="H548" s="66" t="s">
        <v>349</v>
      </c>
      <c r="I548" s="66" t="s">
        <v>63</v>
      </c>
      <c r="J548" s="66" t="s">
        <v>350</v>
      </c>
      <c r="K548" s="66" t="s">
        <v>291</v>
      </c>
      <c r="L548" s="68">
        <f>VLOOKUP(E548,[1]Diccionario!C$2:AC$150,22,0)</f>
        <v>131114560</v>
      </c>
      <c r="M548" s="69">
        <f>VLOOKUP(E548,[1]Diccionario!C$2:AC$150,24,0)</f>
        <v>45931</v>
      </c>
      <c r="N548" s="70">
        <f>VLOOKUP(E548,[1]Diccionario!C$2:AC$150,25,0)</f>
        <v>47391</v>
      </c>
      <c r="O548" s="71">
        <f>VLOOKUP(E548,[1]Diccionario!C$2:AC$150,26,0)</f>
        <v>47.97</v>
      </c>
      <c r="P548" s="71">
        <f t="shared" si="97"/>
        <v>-36.97</v>
      </c>
      <c r="Q548" s="71">
        <v>11</v>
      </c>
      <c r="R548" s="66">
        <v>48</v>
      </c>
      <c r="S548" s="72">
        <v>0.9909</v>
      </c>
      <c r="T548" s="72"/>
      <c r="U548" s="73">
        <f>U547+TablaIndicador[[#This Row],[Costo Mensual]]</f>
        <v>129184075</v>
      </c>
      <c r="V548" s="73">
        <v>0</v>
      </c>
      <c r="W548" s="73">
        <f t="shared" si="98"/>
        <v>0</v>
      </c>
      <c r="X548" s="73">
        <f t="shared" si="99"/>
        <v>129921417.50399999</v>
      </c>
      <c r="Y548" s="73">
        <f t="shared" si="100"/>
        <v>-129184075</v>
      </c>
      <c r="Z548" s="73">
        <f t="shared" si="101"/>
        <v>-129921417.50399999</v>
      </c>
      <c r="AA548" s="75">
        <f t="shared" si="102"/>
        <v>0</v>
      </c>
      <c r="AB548" s="76" t="str">
        <f t="shared" si="103"/>
        <v>No calculado</v>
      </c>
      <c r="AC548" s="76">
        <f t="shared" si="104"/>
        <v>0</v>
      </c>
      <c r="AD548" s="76" t="str">
        <f t="shared" si="105"/>
        <v>Sin Línea Base</v>
      </c>
      <c r="AE548" s="77">
        <f t="shared" si="106"/>
        <v>0</v>
      </c>
      <c r="AF548" s="77">
        <f t="shared" si="107"/>
        <v>-131114560</v>
      </c>
      <c r="AG548" s="78" t="str">
        <f>VLOOKUP(Indicador!E464,[1]Diccionario!C$1:AC$150,27,0)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48" s="78">
        <v>1</v>
      </c>
      <c r="AI548" s="78">
        <v>1</v>
      </c>
      <c r="AJ548" s="78"/>
      <c r="AK548" s="78" t="s">
        <v>319</v>
      </c>
    </row>
    <row r="549" spans="1:37" ht="18.75" customHeight="1" x14ac:dyDescent="0.25">
      <c r="A549" s="64">
        <v>2026</v>
      </c>
      <c r="B549" s="65" t="s">
        <v>54</v>
      </c>
      <c r="C549" s="66" t="s">
        <v>346</v>
      </c>
      <c r="D549" s="67">
        <v>45932.853839039351</v>
      </c>
      <c r="E549" s="66" t="s">
        <v>347</v>
      </c>
      <c r="F549" s="66" t="s">
        <v>151</v>
      </c>
      <c r="G549" s="66" t="s">
        <v>348</v>
      </c>
      <c r="H549" s="66" t="s">
        <v>349</v>
      </c>
      <c r="I549" s="66" t="s">
        <v>63</v>
      </c>
      <c r="J549" s="66" t="s">
        <v>350</v>
      </c>
      <c r="K549" s="66" t="s">
        <v>291</v>
      </c>
      <c r="L549" s="68">
        <f>VLOOKUP(E549,[1]Diccionario!C$2:AC$150,22,0)</f>
        <v>131114560</v>
      </c>
      <c r="M549" s="69">
        <f>VLOOKUP(E549,[1]Diccionario!C$2:AC$150,24,0)</f>
        <v>45931</v>
      </c>
      <c r="N549" s="70">
        <f>VLOOKUP(E549,[1]Diccionario!C$2:AC$150,25,0)</f>
        <v>47391</v>
      </c>
      <c r="O549" s="71">
        <f>VLOOKUP(E549,[1]Diccionario!C$2:AC$150,26,0)</f>
        <v>47.97</v>
      </c>
      <c r="P549" s="71">
        <f t="shared" si="97"/>
        <v>-35.97</v>
      </c>
      <c r="Q549" s="71">
        <v>12</v>
      </c>
      <c r="R549" s="66">
        <v>48</v>
      </c>
      <c r="S549" s="72">
        <v>0.99099999999999999</v>
      </c>
      <c r="T549" s="72"/>
      <c r="U549" s="73">
        <f>U548+TablaIndicador[[#This Row],[Costo Mensual]]</f>
        <v>129184075</v>
      </c>
      <c r="V549" s="73">
        <v>0</v>
      </c>
      <c r="W549" s="73">
        <f t="shared" si="98"/>
        <v>0</v>
      </c>
      <c r="X549" s="73">
        <f t="shared" si="99"/>
        <v>129934528.95999999</v>
      </c>
      <c r="Y549" s="73">
        <f t="shared" si="100"/>
        <v>-129184075</v>
      </c>
      <c r="Z549" s="73">
        <f t="shared" si="101"/>
        <v>-129934528.95999999</v>
      </c>
      <c r="AA549" s="75">
        <f t="shared" si="102"/>
        <v>0</v>
      </c>
      <c r="AB549" s="76" t="str">
        <f t="shared" si="103"/>
        <v>No calculado</v>
      </c>
      <c r="AC549" s="76">
        <f t="shared" si="104"/>
        <v>0</v>
      </c>
      <c r="AD549" s="76" t="str">
        <f t="shared" si="105"/>
        <v>Sin Línea Base</v>
      </c>
      <c r="AE549" s="77">
        <f t="shared" si="106"/>
        <v>0</v>
      </c>
      <c r="AF549" s="77">
        <f t="shared" si="107"/>
        <v>-131114560</v>
      </c>
      <c r="AG549" s="78" t="str">
        <f>VLOOKUP(Indicador!E465,[1]Diccionario!C$1:AC$150,27,0)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49" s="78">
        <v>1</v>
      </c>
      <c r="AI549" s="78">
        <v>1</v>
      </c>
      <c r="AJ549" s="78"/>
      <c r="AK549" s="78" t="s">
        <v>319</v>
      </c>
    </row>
    <row r="550" spans="1:37" ht="18.75" customHeight="1" x14ac:dyDescent="0.25">
      <c r="A550" s="64">
        <v>2026</v>
      </c>
      <c r="B550" s="65" t="s">
        <v>55</v>
      </c>
      <c r="C550" s="66" t="s">
        <v>346</v>
      </c>
      <c r="D550" s="67">
        <v>45932.853839039351</v>
      </c>
      <c r="E550" s="66" t="s">
        <v>347</v>
      </c>
      <c r="F550" s="66" t="s">
        <v>151</v>
      </c>
      <c r="G550" s="66" t="s">
        <v>348</v>
      </c>
      <c r="H550" s="66" t="s">
        <v>349</v>
      </c>
      <c r="I550" s="66" t="s">
        <v>63</v>
      </c>
      <c r="J550" s="66" t="s">
        <v>350</v>
      </c>
      <c r="K550" s="66" t="s">
        <v>291</v>
      </c>
      <c r="L550" s="68">
        <f>VLOOKUP(E550,[1]Diccionario!C$2:AC$150,22,0)</f>
        <v>131114560</v>
      </c>
      <c r="M550" s="69">
        <f>VLOOKUP(E550,[1]Diccionario!C$2:AC$150,24,0)</f>
        <v>45931</v>
      </c>
      <c r="N550" s="70">
        <f>VLOOKUP(E550,[1]Diccionario!C$2:AC$150,25,0)</f>
        <v>47391</v>
      </c>
      <c r="O550" s="71">
        <f>VLOOKUP(E550,[1]Diccionario!C$2:AC$150,26,0)</f>
        <v>47.97</v>
      </c>
      <c r="P550" s="71">
        <f t="shared" si="97"/>
        <v>-34.97</v>
      </c>
      <c r="Q550" s="71">
        <v>13</v>
      </c>
      <c r="R550" s="66">
        <v>48</v>
      </c>
      <c r="S550" s="72">
        <v>0.99109999999999998</v>
      </c>
      <c r="T550" s="72"/>
      <c r="U550" s="73">
        <f>U549+TablaIndicador[[#This Row],[Costo Mensual]]</f>
        <v>129184075</v>
      </c>
      <c r="V550" s="73">
        <v>0</v>
      </c>
      <c r="W550" s="73">
        <f t="shared" si="98"/>
        <v>0</v>
      </c>
      <c r="X550" s="73">
        <f t="shared" si="99"/>
        <v>129947640.41599999</v>
      </c>
      <c r="Y550" s="73">
        <f t="shared" si="100"/>
        <v>-129184075</v>
      </c>
      <c r="Z550" s="73">
        <f t="shared" si="101"/>
        <v>-129947640.41599999</v>
      </c>
      <c r="AA550" s="75">
        <f t="shared" si="102"/>
        <v>0</v>
      </c>
      <c r="AB550" s="76" t="str">
        <f t="shared" si="103"/>
        <v>No calculado</v>
      </c>
      <c r="AC550" s="76">
        <f t="shared" si="104"/>
        <v>0</v>
      </c>
      <c r="AD550" s="76" t="str">
        <f t="shared" si="105"/>
        <v>Sin Línea Base</v>
      </c>
      <c r="AE550" s="77">
        <f t="shared" si="106"/>
        <v>0</v>
      </c>
      <c r="AF550" s="77">
        <f t="shared" si="107"/>
        <v>-131114560</v>
      </c>
      <c r="AG550" s="78" t="str">
        <f>VLOOKUP(Indicador!E466,[1]Diccionario!C$1:AC$150,27,0)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50" s="78">
        <v>1</v>
      </c>
      <c r="AI550" s="78">
        <v>1</v>
      </c>
      <c r="AJ550" s="78"/>
      <c r="AK550" s="78" t="s">
        <v>319</v>
      </c>
    </row>
    <row r="551" spans="1:37" ht="18.75" customHeight="1" x14ac:dyDescent="0.25">
      <c r="A551" s="64">
        <v>2026</v>
      </c>
      <c r="B551" s="65" t="s">
        <v>56</v>
      </c>
      <c r="C551" s="66" t="s">
        <v>346</v>
      </c>
      <c r="D551" s="67">
        <v>45932.853839039351</v>
      </c>
      <c r="E551" s="66" t="s">
        <v>347</v>
      </c>
      <c r="F551" s="66" t="s">
        <v>151</v>
      </c>
      <c r="G551" s="66" t="s">
        <v>348</v>
      </c>
      <c r="H551" s="66" t="s">
        <v>349</v>
      </c>
      <c r="I551" s="66" t="s">
        <v>63</v>
      </c>
      <c r="J551" s="66" t="s">
        <v>350</v>
      </c>
      <c r="K551" s="66" t="s">
        <v>291</v>
      </c>
      <c r="L551" s="68">
        <f>VLOOKUP(E551,[1]Diccionario!C$2:AC$150,22,0)</f>
        <v>131114560</v>
      </c>
      <c r="M551" s="69">
        <f>VLOOKUP(E551,[1]Diccionario!C$2:AC$150,24,0)</f>
        <v>45931</v>
      </c>
      <c r="N551" s="70">
        <f>VLOOKUP(E551,[1]Diccionario!C$2:AC$150,25,0)</f>
        <v>47391</v>
      </c>
      <c r="O551" s="71">
        <f>VLOOKUP(E551,[1]Diccionario!C$2:AC$150,26,0)</f>
        <v>47.97</v>
      </c>
      <c r="P551" s="71">
        <f t="shared" si="97"/>
        <v>-33.97</v>
      </c>
      <c r="Q551" s="71">
        <v>14</v>
      </c>
      <c r="R551" s="66">
        <v>48</v>
      </c>
      <c r="S551" s="72">
        <v>0.99119999999999997</v>
      </c>
      <c r="T551" s="72"/>
      <c r="U551" s="73">
        <f>U550+TablaIndicador[[#This Row],[Costo Mensual]]</f>
        <v>129184075</v>
      </c>
      <c r="V551" s="73">
        <v>0</v>
      </c>
      <c r="W551" s="73">
        <f t="shared" si="98"/>
        <v>0</v>
      </c>
      <c r="X551" s="73">
        <f t="shared" si="99"/>
        <v>129960751.87199999</v>
      </c>
      <c r="Y551" s="73">
        <f t="shared" si="100"/>
        <v>-129184075</v>
      </c>
      <c r="Z551" s="73">
        <f t="shared" si="101"/>
        <v>-129960751.87199999</v>
      </c>
      <c r="AA551" s="75">
        <f t="shared" si="102"/>
        <v>0</v>
      </c>
      <c r="AB551" s="76" t="str">
        <f t="shared" si="103"/>
        <v>No calculado</v>
      </c>
      <c r="AC551" s="76">
        <f t="shared" si="104"/>
        <v>0</v>
      </c>
      <c r="AD551" s="76" t="str">
        <f t="shared" si="105"/>
        <v>Sin Línea Base</v>
      </c>
      <c r="AE551" s="77">
        <f t="shared" si="106"/>
        <v>0</v>
      </c>
      <c r="AF551" s="77">
        <f t="shared" si="107"/>
        <v>-131114560</v>
      </c>
      <c r="AG551" s="78" t="str">
        <f>VLOOKUP(Indicador!E467,[1]Diccionario!C$1:AC$150,27,0)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51" s="78">
        <v>1</v>
      </c>
      <c r="AI551" s="78">
        <v>1</v>
      </c>
      <c r="AJ551" s="78"/>
      <c r="AK551" s="78" t="s">
        <v>319</v>
      </c>
    </row>
    <row r="552" spans="1:37" ht="18.75" customHeight="1" x14ac:dyDescent="0.25">
      <c r="A552" s="64">
        <v>2026</v>
      </c>
      <c r="B552" s="65" t="s">
        <v>57</v>
      </c>
      <c r="C552" s="66" t="s">
        <v>346</v>
      </c>
      <c r="D552" s="67">
        <v>45932.853839039351</v>
      </c>
      <c r="E552" s="66" t="s">
        <v>347</v>
      </c>
      <c r="F552" s="66" t="s">
        <v>151</v>
      </c>
      <c r="G552" s="66" t="s">
        <v>348</v>
      </c>
      <c r="H552" s="66" t="s">
        <v>349</v>
      </c>
      <c r="I552" s="66" t="s">
        <v>63</v>
      </c>
      <c r="J552" s="66" t="s">
        <v>350</v>
      </c>
      <c r="K552" s="66" t="s">
        <v>291</v>
      </c>
      <c r="L552" s="68">
        <f>VLOOKUP(E552,[1]Diccionario!C$2:AC$150,22,0)</f>
        <v>131114560</v>
      </c>
      <c r="M552" s="69">
        <f>VLOOKUP(E552,[1]Diccionario!C$2:AC$150,24,0)</f>
        <v>45931</v>
      </c>
      <c r="N552" s="70">
        <f>VLOOKUP(E552,[1]Diccionario!C$2:AC$150,25,0)</f>
        <v>47391</v>
      </c>
      <c r="O552" s="71">
        <f>VLOOKUP(E552,[1]Diccionario!C$2:AC$150,26,0)</f>
        <v>47.97</v>
      </c>
      <c r="P552" s="71">
        <f t="shared" si="97"/>
        <v>-32.97</v>
      </c>
      <c r="Q552" s="71">
        <v>15</v>
      </c>
      <c r="R552" s="66">
        <v>48</v>
      </c>
      <c r="S552" s="72">
        <v>0.99129999999999996</v>
      </c>
      <c r="T552" s="72"/>
      <c r="U552" s="73">
        <f>U551+TablaIndicador[[#This Row],[Costo Mensual]]</f>
        <v>129184075</v>
      </c>
      <c r="V552" s="73">
        <v>0</v>
      </c>
      <c r="W552" s="73">
        <f t="shared" si="98"/>
        <v>0</v>
      </c>
      <c r="X552" s="73">
        <f t="shared" si="99"/>
        <v>129973863.32799999</v>
      </c>
      <c r="Y552" s="73">
        <f t="shared" si="100"/>
        <v>-129184075</v>
      </c>
      <c r="Z552" s="73">
        <f t="shared" si="101"/>
        <v>-129973863.32799999</v>
      </c>
      <c r="AA552" s="75">
        <f t="shared" si="102"/>
        <v>0</v>
      </c>
      <c r="AB552" s="76" t="str">
        <f t="shared" si="103"/>
        <v>No calculado</v>
      </c>
      <c r="AC552" s="76">
        <f t="shared" si="104"/>
        <v>0</v>
      </c>
      <c r="AD552" s="76" t="str">
        <f t="shared" si="105"/>
        <v>Sin Línea Base</v>
      </c>
      <c r="AE552" s="77">
        <f t="shared" si="106"/>
        <v>0</v>
      </c>
      <c r="AF552" s="77">
        <f t="shared" si="107"/>
        <v>-131114560</v>
      </c>
      <c r="AG552" s="78" t="str">
        <f>VLOOKUP(Indicador!E468,[1]Diccionario!C$1:AC$150,27,0)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52" s="78">
        <v>1</v>
      </c>
      <c r="AI552" s="78">
        <v>1</v>
      </c>
      <c r="AJ552" s="78"/>
      <c r="AK552" s="78" t="s">
        <v>319</v>
      </c>
    </row>
    <row r="553" spans="1:37" ht="18.75" customHeight="1" x14ac:dyDescent="0.25">
      <c r="A553" s="64">
        <v>2027</v>
      </c>
      <c r="B553" s="65" t="s">
        <v>37</v>
      </c>
      <c r="C553" s="66" t="s">
        <v>346</v>
      </c>
      <c r="D553" s="67">
        <v>45932.853839039351</v>
      </c>
      <c r="E553" s="66" t="s">
        <v>347</v>
      </c>
      <c r="F553" s="66" t="s">
        <v>151</v>
      </c>
      <c r="G553" s="66" t="s">
        <v>348</v>
      </c>
      <c r="H553" s="66" t="s">
        <v>349</v>
      </c>
      <c r="I553" s="66" t="s">
        <v>63</v>
      </c>
      <c r="J553" s="66" t="s">
        <v>350</v>
      </c>
      <c r="K553" s="66" t="s">
        <v>291</v>
      </c>
      <c r="L553" s="68">
        <f>VLOOKUP(E553,[1]Diccionario!C$2:AC$150,22,0)</f>
        <v>131114560</v>
      </c>
      <c r="M553" s="69">
        <f>VLOOKUP(E553,[1]Diccionario!C$2:AC$150,24,0)</f>
        <v>45931</v>
      </c>
      <c r="N553" s="70">
        <f>VLOOKUP(E553,[1]Diccionario!C$2:AC$150,25,0)</f>
        <v>47391</v>
      </c>
      <c r="O553" s="71">
        <f>VLOOKUP(E553,[1]Diccionario!C$2:AC$150,26,0)</f>
        <v>47.97</v>
      </c>
      <c r="P553" s="71">
        <f t="shared" si="97"/>
        <v>-31.97</v>
      </c>
      <c r="Q553" s="71">
        <v>16</v>
      </c>
      <c r="R553" s="66">
        <v>48</v>
      </c>
      <c r="S553" s="72">
        <v>0.99139999999999995</v>
      </c>
      <c r="T553" s="72"/>
      <c r="U553" s="73">
        <f>U552+TablaIndicador[[#This Row],[Costo Mensual]]</f>
        <v>129184075</v>
      </c>
      <c r="V553" s="73">
        <v>0</v>
      </c>
      <c r="W553" s="73">
        <f t="shared" si="98"/>
        <v>0</v>
      </c>
      <c r="X553" s="73">
        <f t="shared" si="99"/>
        <v>129986974.78399999</v>
      </c>
      <c r="Y553" s="73">
        <f t="shared" si="100"/>
        <v>-129184075</v>
      </c>
      <c r="Z553" s="73">
        <f t="shared" si="101"/>
        <v>-129986974.78399999</v>
      </c>
      <c r="AA553" s="75">
        <f t="shared" si="102"/>
        <v>0</v>
      </c>
      <c r="AB553" s="76" t="str">
        <f t="shared" si="103"/>
        <v>No calculado</v>
      </c>
      <c r="AC553" s="76">
        <f t="shared" si="104"/>
        <v>0</v>
      </c>
      <c r="AD553" s="76" t="str">
        <f t="shared" si="105"/>
        <v>Sin Línea Base</v>
      </c>
      <c r="AE553" s="77">
        <f t="shared" si="106"/>
        <v>0</v>
      </c>
      <c r="AF553" s="77">
        <f t="shared" si="107"/>
        <v>-131114560</v>
      </c>
      <c r="AG553" s="78" t="str">
        <f>VLOOKUP(Indicador!E469,[1]Diccionario!C$1:AC$150,27,0)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53" s="78">
        <v>1</v>
      </c>
      <c r="AI553" s="78">
        <v>1</v>
      </c>
      <c r="AJ553" s="78"/>
      <c r="AK553" s="78" t="s">
        <v>319</v>
      </c>
    </row>
    <row r="554" spans="1:37" ht="18.75" customHeight="1" x14ac:dyDescent="0.25">
      <c r="A554" s="64">
        <v>2027</v>
      </c>
      <c r="B554" s="65" t="s">
        <v>47</v>
      </c>
      <c r="C554" s="66" t="s">
        <v>346</v>
      </c>
      <c r="D554" s="67">
        <v>45932.853839039351</v>
      </c>
      <c r="E554" s="66" t="s">
        <v>347</v>
      </c>
      <c r="F554" s="66" t="s">
        <v>151</v>
      </c>
      <c r="G554" s="66" t="s">
        <v>348</v>
      </c>
      <c r="H554" s="66" t="s">
        <v>349</v>
      </c>
      <c r="I554" s="66" t="s">
        <v>63</v>
      </c>
      <c r="J554" s="66" t="s">
        <v>350</v>
      </c>
      <c r="K554" s="66" t="s">
        <v>291</v>
      </c>
      <c r="L554" s="68">
        <f>VLOOKUP(E554,[1]Diccionario!C$2:AC$150,22,0)</f>
        <v>131114560</v>
      </c>
      <c r="M554" s="69">
        <f>VLOOKUP(E554,[1]Diccionario!C$2:AC$150,24,0)</f>
        <v>45931</v>
      </c>
      <c r="N554" s="70">
        <f>VLOOKUP(E554,[1]Diccionario!C$2:AC$150,25,0)</f>
        <v>47391</v>
      </c>
      <c r="O554" s="71">
        <f>VLOOKUP(E554,[1]Diccionario!C$2:AC$150,26,0)</f>
        <v>47.97</v>
      </c>
      <c r="P554" s="71">
        <f t="shared" si="97"/>
        <v>-30.97</v>
      </c>
      <c r="Q554" s="71">
        <v>17</v>
      </c>
      <c r="R554" s="66">
        <v>48</v>
      </c>
      <c r="S554" s="72">
        <v>0.99150000000000005</v>
      </c>
      <c r="T554" s="72"/>
      <c r="U554" s="73">
        <f>U553+TablaIndicador[[#This Row],[Costo Mensual]]</f>
        <v>129184075</v>
      </c>
      <c r="V554" s="73">
        <v>0</v>
      </c>
      <c r="W554" s="73">
        <f t="shared" si="98"/>
        <v>0</v>
      </c>
      <c r="X554" s="73">
        <f t="shared" si="99"/>
        <v>130000086.24000001</v>
      </c>
      <c r="Y554" s="73">
        <f t="shared" si="100"/>
        <v>-129184075</v>
      </c>
      <c r="Z554" s="73">
        <f t="shared" si="101"/>
        <v>-130000086.24000001</v>
      </c>
      <c r="AA554" s="75">
        <f t="shared" si="102"/>
        <v>0</v>
      </c>
      <c r="AB554" s="76" t="str">
        <f t="shared" si="103"/>
        <v>No calculado</v>
      </c>
      <c r="AC554" s="76">
        <f t="shared" si="104"/>
        <v>0</v>
      </c>
      <c r="AD554" s="76" t="str">
        <f t="shared" si="105"/>
        <v>Sin Línea Base</v>
      </c>
      <c r="AE554" s="77">
        <f t="shared" si="106"/>
        <v>0</v>
      </c>
      <c r="AF554" s="77">
        <f t="shared" si="107"/>
        <v>-131114560</v>
      </c>
      <c r="AG554" s="78" t="str">
        <f>VLOOKUP(Indicador!E470,[1]Diccionario!C$1:AC$150,27,0)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54" s="78">
        <v>1</v>
      </c>
      <c r="AI554" s="78">
        <v>1</v>
      </c>
      <c r="AJ554" s="78"/>
      <c r="AK554" s="78" t="s">
        <v>319</v>
      </c>
    </row>
    <row r="555" spans="1:37" ht="18.75" customHeight="1" x14ac:dyDescent="0.25">
      <c r="A555" s="64">
        <v>2027</v>
      </c>
      <c r="B555" s="65" t="s">
        <v>48</v>
      </c>
      <c r="C555" s="66" t="s">
        <v>346</v>
      </c>
      <c r="D555" s="67">
        <v>45932.853839039351</v>
      </c>
      <c r="E555" s="66" t="s">
        <v>347</v>
      </c>
      <c r="F555" s="66" t="s">
        <v>151</v>
      </c>
      <c r="G555" s="66" t="s">
        <v>348</v>
      </c>
      <c r="H555" s="66" t="s">
        <v>349</v>
      </c>
      <c r="I555" s="66" t="s">
        <v>63</v>
      </c>
      <c r="J555" s="66" t="s">
        <v>350</v>
      </c>
      <c r="K555" s="66" t="s">
        <v>291</v>
      </c>
      <c r="L555" s="68">
        <f>VLOOKUP(E555,[1]Diccionario!C$2:AC$150,22,0)</f>
        <v>131114560</v>
      </c>
      <c r="M555" s="69">
        <f>VLOOKUP(E555,[1]Diccionario!C$2:AC$150,24,0)</f>
        <v>45931</v>
      </c>
      <c r="N555" s="70">
        <f>VLOOKUP(E555,[1]Diccionario!C$2:AC$150,25,0)</f>
        <v>47391</v>
      </c>
      <c r="O555" s="71">
        <f>VLOOKUP(E555,[1]Diccionario!C$2:AC$150,26,0)</f>
        <v>47.97</v>
      </c>
      <c r="P555" s="71">
        <f t="shared" si="97"/>
        <v>-29.97</v>
      </c>
      <c r="Q555" s="71">
        <v>18</v>
      </c>
      <c r="R555" s="66">
        <v>48</v>
      </c>
      <c r="S555" s="72">
        <v>0.99160000000000004</v>
      </c>
      <c r="T555" s="72"/>
      <c r="U555" s="73">
        <f>U554+TablaIndicador[[#This Row],[Costo Mensual]]</f>
        <v>129184075</v>
      </c>
      <c r="V555" s="73">
        <v>0</v>
      </c>
      <c r="W555" s="73">
        <f t="shared" si="98"/>
        <v>0</v>
      </c>
      <c r="X555" s="73">
        <f t="shared" si="99"/>
        <v>130013197.69600001</v>
      </c>
      <c r="Y555" s="73">
        <f t="shared" si="100"/>
        <v>-129184075</v>
      </c>
      <c r="Z555" s="73">
        <f t="shared" si="101"/>
        <v>-130013197.69600001</v>
      </c>
      <c r="AA555" s="75">
        <f t="shared" si="102"/>
        <v>0</v>
      </c>
      <c r="AB555" s="76" t="str">
        <f t="shared" si="103"/>
        <v>No calculado</v>
      </c>
      <c r="AC555" s="76">
        <f t="shared" si="104"/>
        <v>0</v>
      </c>
      <c r="AD555" s="76" t="str">
        <f t="shared" si="105"/>
        <v>Sin Línea Base</v>
      </c>
      <c r="AE555" s="77">
        <f t="shared" si="106"/>
        <v>0</v>
      </c>
      <c r="AF555" s="77">
        <f t="shared" si="107"/>
        <v>-131114560</v>
      </c>
      <c r="AG555" s="78" t="str">
        <f>VLOOKUP(Indicador!E471,[1]Diccionario!C$1:AC$150,27,0)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55" s="78">
        <v>1</v>
      </c>
      <c r="AI555" s="78">
        <v>1</v>
      </c>
      <c r="AJ555" s="78"/>
      <c r="AK555" s="78" t="s">
        <v>319</v>
      </c>
    </row>
    <row r="556" spans="1:37" ht="18.75" customHeight="1" x14ac:dyDescent="0.25">
      <c r="A556" s="64">
        <v>2027</v>
      </c>
      <c r="B556" s="65" t="s">
        <v>49</v>
      </c>
      <c r="C556" s="66" t="s">
        <v>346</v>
      </c>
      <c r="D556" s="67">
        <v>45932.853839039351</v>
      </c>
      <c r="E556" s="66" t="s">
        <v>347</v>
      </c>
      <c r="F556" s="66" t="s">
        <v>151</v>
      </c>
      <c r="G556" s="66" t="s">
        <v>348</v>
      </c>
      <c r="H556" s="66" t="s">
        <v>349</v>
      </c>
      <c r="I556" s="66" t="s">
        <v>63</v>
      </c>
      <c r="J556" s="66" t="s">
        <v>350</v>
      </c>
      <c r="K556" s="66" t="s">
        <v>291</v>
      </c>
      <c r="L556" s="68">
        <f>VLOOKUP(E556,[1]Diccionario!C$2:AC$150,22,0)</f>
        <v>131114560</v>
      </c>
      <c r="M556" s="69">
        <f>VLOOKUP(E556,[1]Diccionario!C$2:AC$150,24,0)</f>
        <v>45931</v>
      </c>
      <c r="N556" s="70">
        <f>VLOOKUP(E556,[1]Diccionario!C$2:AC$150,25,0)</f>
        <v>47391</v>
      </c>
      <c r="O556" s="71">
        <f>VLOOKUP(E556,[1]Diccionario!C$2:AC$150,26,0)</f>
        <v>47.97</v>
      </c>
      <c r="P556" s="71">
        <f t="shared" si="97"/>
        <v>-28.97</v>
      </c>
      <c r="Q556" s="71">
        <v>19</v>
      </c>
      <c r="R556" s="66">
        <v>48</v>
      </c>
      <c r="S556" s="72">
        <v>0.99170000000000003</v>
      </c>
      <c r="T556" s="72"/>
      <c r="U556" s="73">
        <f>U555+TablaIndicador[[#This Row],[Costo Mensual]]</f>
        <v>129184075</v>
      </c>
      <c r="V556" s="73">
        <v>0</v>
      </c>
      <c r="W556" s="73">
        <f t="shared" si="98"/>
        <v>0</v>
      </c>
      <c r="X556" s="73">
        <f t="shared" si="99"/>
        <v>130026309.15200001</v>
      </c>
      <c r="Y556" s="73">
        <f t="shared" si="100"/>
        <v>-129184075</v>
      </c>
      <c r="Z556" s="73">
        <f t="shared" si="101"/>
        <v>-130026309.15200001</v>
      </c>
      <c r="AA556" s="75">
        <f t="shared" si="102"/>
        <v>0</v>
      </c>
      <c r="AB556" s="76" t="str">
        <f t="shared" si="103"/>
        <v>No calculado</v>
      </c>
      <c r="AC556" s="76">
        <f t="shared" si="104"/>
        <v>0</v>
      </c>
      <c r="AD556" s="76" t="str">
        <f t="shared" si="105"/>
        <v>Sin Línea Base</v>
      </c>
      <c r="AE556" s="77">
        <f t="shared" si="106"/>
        <v>0</v>
      </c>
      <c r="AF556" s="77">
        <f t="shared" si="107"/>
        <v>-131114560</v>
      </c>
      <c r="AG556" s="78" t="str">
        <f>VLOOKUP(Indicador!E472,[1]Diccionario!C$1:AC$150,27,0)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56" s="78">
        <v>1</v>
      </c>
      <c r="AI556" s="78">
        <v>1</v>
      </c>
      <c r="AJ556" s="78"/>
      <c r="AK556" s="78" t="s">
        <v>319</v>
      </c>
    </row>
    <row r="557" spans="1:37" ht="18.75" customHeight="1" x14ac:dyDescent="0.25">
      <c r="A557" s="64">
        <v>2027</v>
      </c>
      <c r="B557" s="65" t="s">
        <v>50</v>
      </c>
      <c r="C557" s="66" t="s">
        <v>346</v>
      </c>
      <c r="D557" s="67">
        <v>45932.853839039351</v>
      </c>
      <c r="E557" s="66" t="s">
        <v>347</v>
      </c>
      <c r="F557" s="66" t="s">
        <v>151</v>
      </c>
      <c r="G557" s="66" t="s">
        <v>348</v>
      </c>
      <c r="H557" s="66" t="s">
        <v>349</v>
      </c>
      <c r="I557" s="66" t="s">
        <v>63</v>
      </c>
      <c r="J557" s="66" t="s">
        <v>350</v>
      </c>
      <c r="K557" s="66" t="s">
        <v>291</v>
      </c>
      <c r="L557" s="68">
        <f>VLOOKUP(E557,[1]Diccionario!C$2:AC$150,22,0)</f>
        <v>131114560</v>
      </c>
      <c r="M557" s="69">
        <f>VLOOKUP(E557,[1]Diccionario!C$2:AC$150,24,0)</f>
        <v>45931</v>
      </c>
      <c r="N557" s="70">
        <f>VLOOKUP(E557,[1]Diccionario!C$2:AC$150,25,0)</f>
        <v>47391</v>
      </c>
      <c r="O557" s="71">
        <f>VLOOKUP(E557,[1]Diccionario!C$2:AC$150,26,0)</f>
        <v>47.97</v>
      </c>
      <c r="P557" s="71">
        <f t="shared" si="97"/>
        <v>-27.97</v>
      </c>
      <c r="Q557" s="71">
        <v>20</v>
      </c>
      <c r="R557" s="66">
        <v>48</v>
      </c>
      <c r="S557" s="72">
        <v>0.99180000000000001</v>
      </c>
      <c r="T557" s="72"/>
      <c r="U557" s="73">
        <f>U556+TablaIndicador[[#This Row],[Costo Mensual]]</f>
        <v>129184075</v>
      </c>
      <c r="V557" s="73">
        <v>0</v>
      </c>
      <c r="W557" s="73">
        <f t="shared" si="98"/>
        <v>0</v>
      </c>
      <c r="X557" s="73">
        <f t="shared" si="99"/>
        <v>130039420.608</v>
      </c>
      <c r="Y557" s="73">
        <f t="shared" si="100"/>
        <v>-129184075</v>
      </c>
      <c r="Z557" s="73">
        <f t="shared" si="101"/>
        <v>-130039420.608</v>
      </c>
      <c r="AA557" s="75">
        <f t="shared" si="102"/>
        <v>0</v>
      </c>
      <c r="AB557" s="76" t="str">
        <f t="shared" si="103"/>
        <v>No calculado</v>
      </c>
      <c r="AC557" s="76">
        <f t="shared" si="104"/>
        <v>0</v>
      </c>
      <c r="AD557" s="76" t="str">
        <f t="shared" si="105"/>
        <v>Sin Línea Base</v>
      </c>
      <c r="AE557" s="77">
        <f t="shared" si="106"/>
        <v>0</v>
      </c>
      <c r="AF557" s="77">
        <f t="shared" si="107"/>
        <v>-131114560</v>
      </c>
      <c r="AG557" s="78" t="str">
        <f>VLOOKUP(Indicador!E473,[1]Diccionario!C$1:AC$150,27,0)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57" s="78">
        <v>1</v>
      </c>
      <c r="AI557" s="78">
        <v>1</v>
      </c>
      <c r="AJ557" s="78"/>
      <c r="AK557" s="78" t="s">
        <v>319</v>
      </c>
    </row>
    <row r="558" spans="1:37" ht="18.75" customHeight="1" x14ac:dyDescent="0.25">
      <c r="A558" s="64">
        <v>2027</v>
      </c>
      <c r="B558" s="65" t="s">
        <v>51</v>
      </c>
      <c r="C558" s="66" t="s">
        <v>346</v>
      </c>
      <c r="D558" s="67">
        <v>45932.853839039351</v>
      </c>
      <c r="E558" s="66" t="s">
        <v>347</v>
      </c>
      <c r="F558" s="66" t="s">
        <v>151</v>
      </c>
      <c r="G558" s="66" t="s">
        <v>348</v>
      </c>
      <c r="H558" s="66" t="s">
        <v>349</v>
      </c>
      <c r="I558" s="66" t="s">
        <v>63</v>
      </c>
      <c r="J558" s="66" t="s">
        <v>350</v>
      </c>
      <c r="K558" s="66" t="s">
        <v>291</v>
      </c>
      <c r="L558" s="68">
        <f>VLOOKUP(E558,[1]Diccionario!C$2:AC$150,22,0)</f>
        <v>131114560</v>
      </c>
      <c r="M558" s="69">
        <f>VLOOKUP(E558,[1]Diccionario!C$2:AC$150,24,0)</f>
        <v>45931</v>
      </c>
      <c r="N558" s="70">
        <f>VLOOKUP(E558,[1]Diccionario!C$2:AC$150,25,0)</f>
        <v>47391</v>
      </c>
      <c r="O558" s="71">
        <f>VLOOKUP(E558,[1]Diccionario!C$2:AC$150,26,0)</f>
        <v>47.97</v>
      </c>
      <c r="P558" s="71">
        <f t="shared" si="97"/>
        <v>-26.97</v>
      </c>
      <c r="Q558" s="71">
        <v>21</v>
      </c>
      <c r="R558" s="66">
        <v>48</v>
      </c>
      <c r="S558" s="72">
        <v>0.9919</v>
      </c>
      <c r="T558" s="72"/>
      <c r="U558" s="73">
        <f>U557+TablaIndicador[[#This Row],[Costo Mensual]]</f>
        <v>129184075</v>
      </c>
      <c r="V558" s="73">
        <v>0</v>
      </c>
      <c r="W558" s="73">
        <f t="shared" si="98"/>
        <v>0</v>
      </c>
      <c r="X558" s="73">
        <f t="shared" si="99"/>
        <v>130052532.064</v>
      </c>
      <c r="Y558" s="73">
        <f t="shared" si="100"/>
        <v>-129184075</v>
      </c>
      <c r="Z558" s="73">
        <f t="shared" si="101"/>
        <v>-130052532.064</v>
      </c>
      <c r="AA558" s="75">
        <f t="shared" si="102"/>
        <v>0</v>
      </c>
      <c r="AB558" s="76" t="str">
        <f t="shared" si="103"/>
        <v>No calculado</v>
      </c>
      <c r="AC558" s="76">
        <f t="shared" si="104"/>
        <v>0</v>
      </c>
      <c r="AD558" s="76" t="str">
        <f t="shared" si="105"/>
        <v>Sin Línea Base</v>
      </c>
      <c r="AE558" s="77">
        <f t="shared" si="106"/>
        <v>0</v>
      </c>
      <c r="AF558" s="77">
        <f t="shared" si="107"/>
        <v>-131114560</v>
      </c>
      <c r="AG558" s="78" t="str">
        <f>VLOOKUP(Indicador!E474,[1]Diccionario!C$1:AC$150,27,0)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58" s="78">
        <v>1</v>
      </c>
      <c r="AI558" s="78">
        <v>1</v>
      </c>
      <c r="AJ558" s="78"/>
      <c r="AK558" s="78" t="s">
        <v>319</v>
      </c>
    </row>
    <row r="559" spans="1:37" ht="18.75" customHeight="1" x14ac:dyDescent="0.25">
      <c r="A559" s="64">
        <v>2027</v>
      </c>
      <c r="B559" s="65" t="s">
        <v>52</v>
      </c>
      <c r="C559" s="66" t="s">
        <v>346</v>
      </c>
      <c r="D559" s="67">
        <v>45932.853839039351</v>
      </c>
      <c r="E559" s="66" t="s">
        <v>347</v>
      </c>
      <c r="F559" s="66" t="s">
        <v>151</v>
      </c>
      <c r="G559" s="66" t="s">
        <v>348</v>
      </c>
      <c r="H559" s="66" t="s">
        <v>349</v>
      </c>
      <c r="I559" s="66" t="s">
        <v>63</v>
      </c>
      <c r="J559" s="66" t="s">
        <v>350</v>
      </c>
      <c r="K559" s="66" t="s">
        <v>291</v>
      </c>
      <c r="L559" s="68">
        <f>VLOOKUP(E559,[1]Diccionario!C$2:AC$150,22,0)</f>
        <v>131114560</v>
      </c>
      <c r="M559" s="69">
        <f>VLOOKUP(E559,[1]Diccionario!C$2:AC$150,24,0)</f>
        <v>45931</v>
      </c>
      <c r="N559" s="70">
        <f>VLOOKUP(E559,[1]Diccionario!C$2:AC$150,25,0)</f>
        <v>47391</v>
      </c>
      <c r="O559" s="71">
        <f>VLOOKUP(E559,[1]Diccionario!C$2:AC$150,26,0)</f>
        <v>47.97</v>
      </c>
      <c r="P559" s="71">
        <f t="shared" si="97"/>
        <v>-25.97</v>
      </c>
      <c r="Q559" s="71">
        <v>22</v>
      </c>
      <c r="R559" s="66">
        <v>48</v>
      </c>
      <c r="S559" s="72">
        <v>0.99199999999999999</v>
      </c>
      <c r="T559" s="72"/>
      <c r="U559" s="73">
        <f>U558+TablaIndicador[[#This Row],[Costo Mensual]]</f>
        <v>129184075</v>
      </c>
      <c r="V559" s="73">
        <v>0</v>
      </c>
      <c r="W559" s="73">
        <f t="shared" si="98"/>
        <v>0</v>
      </c>
      <c r="X559" s="73">
        <f t="shared" si="99"/>
        <v>130065643.52</v>
      </c>
      <c r="Y559" s="73">
        <f t="shared" si="100"/>
        <v>-129184075</v>
      </c>
      <c r="Z559" s="73">
        <f t="shared" si="101"/>
        <v>-130065643.52</v>
      </c>
      <c r="AA559" s="75">
        <f t="shared" si="102"/>
        <v>0</v>
      </c>
      <c r="AB559" s="76" t="str">
        <f t="shared" si="103"/>
        <v>No calculado</v>
      </c>
      <c r="AC559" s="76">
        <f t="shared" si="104"/>
        <v>0</v>
      </c>
      <c r="AD559" s="76" t="str">
        <f t="shared" si="105"/>
        <v>Sin Línea Base</v>
      </c>
      <c r="AE559" s="77">
        <f t="shared" si="106"/>
        <v>0</v>
      </c>
      <c r="AF559" s="77">
        <f t="shared" si="107"/>
        <v>-131114560</v>
      </c>
      <c r="AG559" s="78" t="str">
        <f>VLOOKUP(Indicador!E475,[1]Diccionario!C$1:AC$150,27,0)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59" s="78">
        <v>1</v>
      </c>
      <c r="AI559" s="78">
        <v>1</v>
      </c>
      <c r="AJ559" s="78"/>
      <c r="AK559" s="78" t="s">
        <v>319</v>
      </c>
    </row>
    <row r="560" spans="1:37" ht="18.75" customHeight="1" x14ac:dyDescent="0.25">
      <c r="A560" s="64">
        <v>2027</v>
      </c>
      <c r="B560" s="65" t="s">
        <v>53</v>
      </c>
      <c r="C560" s="66" t="s">
        <v>346</v>
      </c>
      <c r="D560" s="67">
        <v>45932.853839039351</v>
      </c>
      <c r="E560" s="66" t="s">
        <v>347</v>
      </c>
      <c r="F560" s="66" t="s">
        <v>151</v>
      </c>
      <c r="G560" s="66" t="s">
        <v>348</v>
      </c>
      <c r="H560" s="66" t="s">
        <v>349</v>
      </c>
      <c r="I560" s="66" t="s">
        <v>63</v>
      </c>
      <c r="J560" s="66" t="s">
        <v>350</v>
      </c>
      <c r="K560" s="66" t="s">
        <v>291</v>
      </c>
      <c r="L560" s="68">
        <f>VLOOKUP(E560,[1]Diccionario!C$2:AC$150,22,0)</f>
        <v>131114560</v>
      </c>
      <c r="M560" s="69">
        <f>VLOOKUP(E560,[1]Diccionario!C$2:AC$150,24,0)</f>
        <v>45931</v>
      </c>
      <c r="N560" s="70">
        <f>VLOOKUP(E560,[1]Diccionario!C$2:AC$150,25,0)</f>
        <v>47391</v>
      </c>
      <c r="O560" s="71">
        <f>VLOOKUP(E560,[1]Diccionario!C$2:AC$150,26,0)</f>
        <v>47.97</v>
      </c>
      <c r="P560" s="71">
        <f t="shared" si="97"/>
        <v>-24.97</v>
      </c>
      <c r="Q560" s="71">
        <v>23</v>
      </c>
      <c r="R560" s="66">
        <v>48</v>
      </c>
      <c r="S560" s="72">
        <v>0.99209999999999998</v>
      </c>
      <c r="T560" s="72"/>
      <c r="U560" s="73">
        <f>U559+TablaIndicador[[#This Row],[Costo Mensual]]</f>
        <v>129184075</v>
      </c>
      <c r="V560" s="73">
        <v>0</v>
      </c>
      <c r="W560" s="73">
        <f t="shared" si="98"/>
        <v>0</v>
      </c>
      <c r="X560" s="73">
        <f t="shared" si="99"/>
        <v>130078754.976</v>
      </c>
      <c r="Y560" s="73">
        <f t="shared" si="100"/>
        <v>-129184075</v>
      </c>
      <c r="Z560" s="73">
        <f t="shared" si="101"/>
        <v>-130078754.976</v>
      </c>
      <c r="AA560" s="75">
        <f t="shared" si="102"/>
        <v>0</v>
      </c>
      <c r="AB560" s="76" t="str">
        <f t="shared" si="103"/>
        <v>No calculado</v>
      </c>
      <c r="AC560" s="76">
        <f t="shared" si="104"/>
        <v>0</v>
      </c>
      <c r="AD560" s="76" t="str">
        <f t="shared" si="105"/>
        <v>Sin Línea Base</v>
      </c>
      <c r="AE560" s="77">
        <f t="shared" si="106"/>
        <v>0</v>
      </c>
      <c r="AF560" s="77">
        <f t="shared" si="107"/>
        <v>-131114560</v>
      </c>
      <c r="AG560" s="78" t="str">
        <f>VLOOKUP(Indicador!E476,[1]Diccionario!C$1:AC$150,27,0)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60" s="78">
        <v>1</v>
      </c>
      <c r="AI560" s="78">
        <v>1</v>
      </c>
      <c r="AJ560" s="78"/>
      <c r="AK560" s="78" t="s">
        <v>319</v>
      </c>
    </row>
    <row r="561" spans="1:37" ht="18.75" customHeight="1" x14ac:dyDescent="0.25">
      <c r="A561" s="64">
        <v>2027</v>
      </c>
      <c r="B561" s="65" t="s">
        <v>54</v>
      </c>
      <c r="C561" s="66" t="s">
        <v>346</v>
      </c>
      <c r="D561" s="67">
        <v>45932.853839039351</v>
      </c>
      <c r="E561" s="66" t="s">
        <v>347</v>
      </c>
      <c r="F561" s="66" t="s">
        <v>151</v>
      </c>
      <c r="G561" s="66" t="s">
        <v>348</v>
      </c>
      <c r="H561" s="66" t="s">
        <v>349</v>
      </c>
      <c r="I561" s="66" t="s">
        <v>63</v>
      </c>
      <c r="J561" s="66" t="s">
        <v>350</v>
      </c>
      <c r="K561" s="66" t="s">
        <v>291</v>
      </c>
      <c r="L561" s="68">
        <f>VLOOKUP(E561,[1]Diccionario!C$2:AC$150,22,0)</f>
        <v>131114560</v>
      </c>
      <c r="M561" s="69">
        <f>VLOOKUP(E561,[1]Diccionario!C$2:AC$150,24,0)</f>
        <v>45931</v>
      </c>
      <c r="N561" s="70">
        <f>VLOOKUP(E561,[1]Diccionario!C$2:AC$150,25,0)</f>
        <v>47391</v>
      </c>
      <c r="O561" s="71">
        <f>VLOOKUP(E561,[1]Diccionario!C$2:AC$150,26,0)</f>
        <v>47.97</v>
      </c>
      <c r="P561" s="71">
        <f t="shared" si="97"/>
        <v>-23.97</v>
      </c>
      <c r="Q561" s="71">
        <v>24</v>
      </c>
      <c r="R561" s="66">
        <v>48</v>
      </c>
      <c r="S561" s="72">
        <v>0.99219999999999997</v>
      </c>
      <c r="T561" s="72"/>
      <c r="U561" s="73">
        <f>U560+TablaIndicador[[#This Row],[Costo Mensual]]</f>
        <v>129184075</v>
      </c>
      <c r="V561" s="73">
        <v>0</v>
      </c>
      <c r="W561" s="73">
        <f t="shared" si="98"/>
        <v>0</v>
      </c>
      <c r="X561" s="73">
        <f t="shared" si="99"/>
        <v>130091866.432</v>
      </c>
      <c r="Y561" s="73">
        <f t="shared" si="100"/>
        <v>-129184075</v>
      </c>
      <c r="Z561" s="73">
        <f t="shared" si="101"/>
        <v>-130091866.432</v>
      </c>
      <c r="AA561" s="75">
        <f t="shared" si="102"/>
        <v>0</v>
      </c>
      <c r="AB561" s="76" t="str">
        <f t="shared" si="103"/>
        <v>No calculado</v>
      </c>
      <c r="AC561" s="76">
        <f t="shared" si="104"/>
        <v>0</v>
      </c>
      <c r="AD561" s="76" t="str">
        <f t="shared" si="105"/>
        <v>Sin Línea Base</v>
      </c>
      <c r="AE561" s="77">
        <f t="shared" si="106"/>
        <v>0</v>
      </c>
      <c r="AF561" s="77">
        <f t="shared" si="107"/>
        <v>-131114560</v>
      </c>
      <c r="AG561" s="78" t="str">
        <f>VLOOKUP(Indicador!E477,[1]Diccionario!C$1:AC$150,27,0)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61" s="78">
        <v>1</v>
      </c>
      <c r="AI561" s="78">
        <v>1</v>
      </c>
      <c r="AJ561" s="78"/>
      <c r="AK561" s="78" t="s">
        <v>319</v>
      </c>
    </row>
    <row r="562" spans="1:37" ht="18.75" customHeight="1" x14ac:dyDescent="0.25">
      <c r="A562" s="64">
        <v>2027</v>
      </c>
      <c r="B562" s="65" t="s">
        <v>55</v>
      </c>
      <c r="C562" s="66" t="s">
        <v>346</v>
      </c>
      <c r="D562" s="67">
        <v>45932.853839039351</v>
      </c>
      <c r="E562" s="66" t="s">
        <v>347</v>
      </c>
      <c r="F562" s="66" t="s">
        <v>151</v>
      </c>
      <c r="G562" s="66" t="s">
        <v>348</v>
      </c>
      <c r="H562" s="66" t="s">
        <v>349</v>
      </c>
      <c r="I562" s="66" t="s">
        <v>63</v>
      </c>
      <c r="J562" s="66" t="s">
        <v>350</v>
      </c>
      <c r="K562" s="66" t="s">
        <v>291</v>
      </c>
      <c r="L562" s="68">
        <f>VLOOKUP(E562,[1]Diccionario!C$2:AC$150,22,0)</f>
        <v>131114560</v>
      </c>
      <c r="M562" s="69">
        <f>VLOOKUP(E562,[1]Diccionario!C$2:AC$150,24,0)</f>
        <v>45931</v>
      </c>
      <c r="N562" s="70">
        <f>VLOOKUP(E562,[1]Diccionario!C$2:AC$150,25,0)</f>
        <v>47391</v>
      </c>
      <c r="O562" s="71">
        <f>VLOOKUP(E562,[1]Diccionario!C$2:AC$150,26,0)</f>
        <v>47.97</v>
      </c>
      <c r="P562" s="71">
        <f t="shared" si="97"/>
        <v>-22.97</v>
      </c>
      <c r="Q562" s="71">
        <v>25</v>
      </c>
      <c r="R562" s="66">
        <v>48</v>
      </c>
      <c r="S562" s="72">
        <v>0.99229999999999996</v>
      </c>
      <c r="T562" s="72"/>
      <c r="U562" s="73">
        <f>U561+TablaIndicador[[#This Row],[Costo Mensual]]</f>
        <v>129184075</v>
      </c>
      <c r="V562" s="73">
        <v>0</v>
      </c>
      <c r="W562" s="73">
        <f t="shared" si="98"/>
        <v>0</v>
      </c>
      <c r="X562" s="73">
        <f t="shared" si="99"/>
        <v>130104977.888</v>
      </c>
      <c r="Y562" s="73">
        <f t="shared" si="100"/>
        <v>-129184075</v>
      </c>
      <c r="Z562" s="73">
        <f t="shared" si="101"/>
        <v>-130104977.888</v>
      </c>
      <c r="AA562" s="75">
        <f t="shared" si="102"/>
        <v>0</v>
      </c>
      <c r="AB562" s="76" t="str">
        <f t="shared" si="103"/>
        <v>No calculado</v>
      </c>
      <c r="AC562" s="76">
        <f t="shared" si="104"/>
        <v>0</v>
      </c>
      <c r="AD562" s="76" t="str">
        <f t="shared" si="105"/>
        <v>Sin Línea Base</v>
      </c>
      <c r="AE562" s="77">
        <f t="shared" si="106"/>
        <v>0</v>
      </c>
      <c r="AF562" s="77">
        <f t="shared" si="107"/>
        <v>-131114560</v>
      </c>
      <c r="AG562" s="78" t="str">
        <f>VLOOKUP(Indicador!E478,[1]Diccionario!C$1:AC$150,27,0)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62" s="78">
        <v>1</v>
      </c>
      <c r="AI562" s="78">
        <v>1</v>
      </c>
      <c r="AJ562" s="78"/>
      <c r="AK562" s="78" t="s">
        <v>319</v>
      </c>
    </row>
    <row r="563" spans="1:37" ht="18.75" customHeight="1" x14ac:dyDescent="0.25">
      <c r="A563" s="64">
        <v>2027</v>
      </c>
      <c r="B563" s="65" t="s">
        <v>56</v>
      </c>
      <c r="C563" s="66" t="s">
        <v>346</v>
      </c>
      <c r="D563" s="67">
        <v>45932.853839039351</v>
      </c>
      <c r="E563" s="66" t="s">
        <v>347</v>
      </c>
      <c r="F563" s="66" t="s">
        <v>151</v>
      </c>
      <c r="G563" s="66" t="s">
        <v>348</v>
      </c>
      <c r="H563" s="66" t="s">
        <v>349</v>
      </c>
      <c r="I563" s="66" t="s">
        <v>63</v>
      </c>
      <c r="J563" s="66" t="s">
        <v>350</v>
      </c>
      <c r="K563" s="66" t="s">
        <v>291</v>
      </c>
      <c r="L563" s="68">
        <f>VLOOKUP(E563,[1]Diccionario!C$2:AC$150,22,0)</f>
        <v>131114560</v>
      </c>
      <c r="M563" s="69">
        <f>VLOOKUP(E563,[1]Diccionario!C$2:AC$150,24,0)</f>
        <v>45931</v>
      </c>
      <c r="N563" s="70">
        <f>VLOOKUP(E563,[1]Diccionario!C$2:AC$150,25,0)</f>
        <v>47391</v>
      </c>
      <c r="O563" s="71">
        <f>VLOOKUP(E563,[1]Diccionario!C$2:AC$150,26,0)</f>
        <v>47.97</v>
      </c>
      <c r="P563" s="71">
        <f t="shared" si="97"/>
        <v>-21.97</v>
      </c>
      <c r="Q563" s="71">
        <v>26</v>
      </c>
      <c r="R563" s="66">
        <v>48</v>
      </c>
      <c r="S563" s="72">
        <v>0.99239999999999995</v>
      </c>
      <c r="T563" s="72"/>
      <c r="U563" s="73">
        <f>U562+TablaIndicador[[#This Row],[Costo Mensual]]</f>
        <v>129184075</v>
      </c>
      <c r="V563" s="73">
        <v>0</v>
      </c>
      <c r="W563" s="73">
        <f t="shared" si="98"/>
        <v>0</v>
      </c>
      <c r="X563" s="73">
        <f t="shared" si="99"/>
        <v>130118089.344</v>
      </c>
      <c r="Y563" s="73">
        <f t="shared" si="100"/>
        <v>-129184075</v>
      </c>
      <c r="Z563" s="73">
        <f t="shared" si="101"/>
        <v>-130118089.344</v>
      </c>
      <c r="AA563" s="75">
        <f t="shared" si="102"/>
        <v>0</v>
      </c>
      <c r="AB563" s="76" t="str">
        <f t="shared" si="103"/>
        <v>No calculado</v>
      </c>
      <c r="AC563" s="76">
        <f t="shared" si="104"/>
        <v>0</v>
      </c>
      <c r="AD563" s="76" t="str">
        <f t="shared" si="105"/>
        <v>Sin Línea Base</v>
      </c>
      <c r="AE563" s="77">
        <f t="shared" si="106"/>
        <v>0</v>
      </c>
      <c r="AF563" s="77">
        <f t="shared" si="107"/>
        <v>-131114560</v>
      </c>
      <c r="AG563" s="78" t="str">
        <f>VLOOKUP(Indicador!E479,[1]Diccionario!C$1:AC$150,27,0)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63" s="78">
        <v>1</v>
      </c>
      <c r="AI563" s="78">
        <v>1</v>
      </c>
      <c r="AJ563" s="78"/>
      <c r="AK563" s="78" t="s">
        <v>319</v>
      </c>
    </row>
    <row r="564" spans="1:37" ht="18.75" customHeight="1" x14ac:dyDescent="0.25">
      <c r="A564" s="64">
        <v>2027</v>
      </c>
      <c r="B564" s="65" t="s">
        <v>57</v>
      </c>
      <c r="C564" s="66" t="s">
        <v>346</v>
      </c>
      <c r="D564" s="67">
        <v>45932.853839039351</v>
      </c>
      <c r="E564" s="66" t="s">
        <v>347</v>
      </c>
      <c r="F564" s="66" t="s">
        <v>151</v>
      </c>
      <c r="G564" s="66" t="s">
        <v>348</v>
      </c>
      <c r="H564" s="66" t="s">
        <v>349</v>
      </c>
      <c r="I564" s="66" t="s">
        <v>63</v>
      </c>
      <c r="J564" s="66" t="s">
        <v>350</v>
      </c>
      <c r="K564" s="66" t="s">
        <v>291</v>
      </c>
      <c r="L564" s="68">
        <f>VLOOKUP(E564,[1]Diccionario!C$2:AC$150,22,0)</f>
        <v>131114560</v>
      </c>
      <c r="M564" s="69">
        <f>VLOOKUP(E564,[1]Diccionario!C$2:AC$150,24,0)</f>
        <v>45931</v>
      </c>
      <c r="N564" s="70">
        <f>VLOOKUP(E564,[1]Diccionario!C$2:AC$150,25,0)</f>
        <v>47391</v>
      </c>
      <c r="O564" s="71">
        <f>VLOOKUP(E564,[1]Diccionario!C$2:AC$150,26,0)</f>
        <v>47.97</v>
      </c>
      <c r="P564" s="71">
        <f t="shared" si="97"/>
        <v>-20.97</v>
      </c>
      <c r="Q564" s="71">
        <v>27</v>
      </c>
      <c r="R564" s="66">
        <v>48</v>
      </c>
      <c r="S564" s="72">
        <v>0.99250000000000005</v>
      </c>
      <c r="T564" s="72"/>
      <c r="U564" s="73">
        <f>U563+TablaIndicador[[#This Row],[Costo Mensual]]</f>
        <v>129184075</v>
      </c>
      <c r="V564" s="73">
        <v>0</v>
      </c>
      <c r="W564" s="73">
        <f t="shared" si="98"/>
        <v>0</v>
      </c>
      <c r="X564" s="73">
        <f t="shared" si="99"/>
        <v>130131200.80000001</v>
      </c>
      <c r="Y564" s="73">
        <f t="shared" si="100"/>
        <v>-129184075</v>
      </c>
      <c r="Z564" s="73">
        <f t="shared" si="101"/>
        <v>-130131200.80000001</v>
      </c>
      <c r="AA564" s="75">
        <f t="shared" si="102"/>
        <v>0</v>
      </c>
      <c r="AB564" s="76" t="str">
        <f t="shared" si="103"/>
        <v>No calculado</v>
      </c>
      <c r="AC564" s="76">
        <f t="shared" si="104"/>
        <v>0</v>
      </c>
      <c r="AD564" s="76" t="str">
        <f t="shared" si="105"/>
        <v>Sin Línea Base</v>
      </c>
      <c r="AE564" s="77">
        <f t="shared" si="106"/>
        <v>0</v>
      </c>
      <c r="AF564" s="77">
        <f t="shared" si="107"/>
        <v>-131114560</v>
      </c>
      <c r="AG564" s="78" t="str">
        <f>VLOOKUP(Indicador!E480,[1]Diccionario!C$1:AC$150,27,0)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64" s="78">
        <v>1</v>
      </c>
      <c r="AI564" s="78">
        <v>1</v>
      </c>
      <c r="AJ564" s="78"/>
      <c r="AK564" s="78" t="s">
        <v>319</v>
      </c>
    </row>
    <row r="565" spans="1:37" ht="18.75" customHeight="1" x14ac:dyDescent="0.25">
      <c r="A565" s="64">
        <v>2028</v>
      </c>
      <c r="B565" s="65" t="s">
        <v>37</v>
      </c>
      <c r="C565" s="66" t="s">
        <v>346</v>
      </c>
      <c r="D565" s="67">
        <v>45932.853839039351</v>
      </c>
      <c r="E565" s="66" t="s">
        <v>347</v>
      </c>
      <c r="F565" s="66" t="s">
        <v>151</v>
      </c>
      <c r="G565" s="66" t="s">
        <v>348</v>
      </c>
      <c r="H565" s="66" t="s">
        <v>349</v>
      </c>
      <c r="I565" s="66" t="s">
        <v>63</v>
      </c>
      <c r="J565" s="66" t="s">
        <v>350</v>
      </c>
      <c r="K565" s="66" t="s">
        <v>291</v>
      </c>
      <c r="L565" s="68">
        <f>VLOOKUP(E565,[1]Diccionario!C$2:AC$150,22,0)</f>
        <v>131114560</v>
      </c>
      <c r="M565" s="69">
        <f>VLOOKUP(E565,[1]Diccionario!C$2:AC$150,24,0)</f>
        <v>45931</v>
      </c>
      <c r="N565" s="70">
        <f>VLOOKUP(E565,[1]Diccionario!C$2:AC$150,25,0)</f>
        <v>47391</v>
      </c>
      <c r="O565" s="71">
        <f>VLOOKUP(E565,[1]Diccionario!C$2:AC$150,26,0)</f>
        <v>47.97</v>
      </c>
      <c r="P565" s="71">
        <f t="shared" si="97"/>
        <v>-19.97</v>
      </c>
      <c r="Q565" s="71">
        <v>28</v>
      </c>
      <c r="R565" s="66">
        <v>48</v>
      </c>
      <c r="S565" s="72">
        <v>0.99260000000000004</v>
      </c>
      <c r="T565" s="72"/>
      <c r="U565" s="73">
        <f>U564+TablaIndicador[[#This Row],[Costo Mensual]]</f>
        <v>129184075</v>
      </c>
      <c r="V565" s="73">
        <v>0</v>
      </c>
      <c r="W565" s="73">
        <f t="shared" si="98"/>
        <v>0</v>
      </c>
      <c r="X565" s="73">
        <f t="shared" si="99"/>
        <v>130144312.25600001</v>
      </c>
      <c r="Y565" s="73">
        <f t="shared" si="100"/>
        <v>-129184075</v>
      </c>
      <c r="Z565" s="73">
        <f t="shared" si="101"/>
        <v>-130144312.25600001</v>
      </c>
      <c r="AA565" s="75">
        <f t="shared" si="102"/>
        <v>0</v>
      </c>
      <c r="AB565" s="76" t="str">
        <f t="shared" si="103"/>
        <v>No calculado</v>
      </c>
      <c r="AC565" s="76">
        <f t="shared" si="104"/>
        <v>0</v>
      </c>
      <c r="AD565" s="76" t="str">
        <f t="shared" si="105"/>
        <v>Sin Línea Base</v>
      </c>
      <c r="AE565" s="77">
        <f t="shared" si="106"/>
        <v>0</v>
      </c>
      <c r="AF565" s="77">
        <f t="shared" si="107"/>
        <v>-131114560</v>
      </c>
      <c r="AG565" s="78" t="str">
        <f>VLOOKUP(Indicador!E481,[1]Diccionario!C$1:AC$150,27,0)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65" s="78">
        <v>1</v>
      </c>
      <c r="AI565" s="78">
        <v>1</v>
      </c>
      <c r="AJ565" s="78"/>
      <c r="AK565" s="78" t="s">
        <v>319</v>
      </c>
    </row>
    <row r="566" spans="1:37" ht="18.75" customHeight="1" x14ac:dyDescent="0.25">
      <c r="A566" s="64">
        <v>2028</v>
      </c>
      <c r="B566" s="65" t="s">
        <v>47</v>
      </c>
      <c r="C566" s="66" t="s">
        <v>346</v>
      </c>
      <c r="D566" s="67">
        <v>45932.853839039351</v>
      </c>
      <c r="E566" s="66" t="s">
        <v>347</v>
      </c>
      <c r="F566" s="66" t="s">
        <v>151</v>
      </c>
      <c r="G566" s="66" t="s">
        <v>348</v>
      </c>
      <c r="H566" s="66" t="s">
        <v>349</v>
      </c>
      <c r="I566" s="66" t="s">
        <v>63</v>
      </c>
      <c r="J566" s="66" t="s">
        <v>350</v>
      </c>
      <c r="K566" s="66" t="s">
        <v>291</v>
      </c>
      <c r="L566" s="68">
        <f>VLOOKUP(E566,[1]Diccionario!C$2:AC$150,22,0)</f>
        <v>131114560</v>
      </c>
      <c r="M566" s="69">
        <f>VLOOKUP(E566,[1]Diccionario!C$2:AC$150,24,0)</f>
        <v>45931</v>
      </c>
      <c r="N566" s="70">
        <f>VLOOKUP(E566,[1]Diccionario!C$2:AC$150,25,0)</f>
        <v>47391</v>
      </c>
      <c r="O566" s="71">
        <f>VLOOKUP(E566,[1]Diccionario!C$2:AC$150,26,0)</f>
        <v>47.97</v>
      </c>
      <c r="P566" s="71">
        <f t="shared" si="97"/>
        <v>-18.97</v>
      </c>
      <c r="Q566" s="71">
        <v>29</v>
      </c>
      <c r="R566" s="66">
        <v>48</v>
      </c>
      <c r="S566" s="72">
        <v>0.99270000000000003</v>
      </c>
      <c r="T566" s="72"/>
      <c r="U566" s="73">
        <f>U565+TablaIndicador[[#This Row],[Costo Mensual]]</f>
        <v>129184075</v>
      </c>
      <c r="V566" s="73">
        <v>0</v>
      </c>
      <c r="W566" s="73">
        <f t="shared" si="98"/>
        <v>0</v>
      </c>
      <c r="X566" s="73">
        <f t="shared" si="99"/>
        <v>130157423.712</v>
      </c>
      <c r="Y566" s="73">
        <f t="shared" si="100"/>
        <v>-129184075</v>
      </c>
      <c r="Z566" s="73">
        <f t="shared" si="101"/>
        <v>-130157423.712</v>
      </c>
      <c r="AA566" s="75">
        <f t="shared" si="102"/>
        <v>0</v>
      </c>
      <c r="AB566" s="76" t="str">
        <f t="shared" si="103"/>
        <v>No calculado</v>
      </c>
      <c r="AC566" s="76">
        <f t="shared" si="104"/>
        <v>0</v>
      </c>
      <c r="AD566" s="76" t="str">
        <f t="shared" si="105"/>
        <v>Sin Línea Base</v>
      </c>
      <c r="AE566" s="77">
        <f t="shared" si="106"/>
        <v>0</v>
      </c>
      <c r="AF566" s="77">
        <f t="shared" si="107"/>
        <v>-131114560</v>
      </c>
      <c r="AG566" s="78" t="str">
        <f>VLOOKUP(Indicador!E482,[1]Diccionario!C$1:AC$150,27,0)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66" s="78">
        <v>1</v>
      </c>
      <c r="AI566" s="78">
        <v>1</v>
      </c>
      <c r="AJ566" s="78"/>
      <c r="AK566" s="78" t="s">
        <v>319</v>
      </c>
    </row>
    <row r="567" spans="1:37" ht="18.75" customHeight="1" x14ac:dyDescent="0.25">
      <c r="A567" s="64">
        <v>2028</v>
      </c>
      <c r="B567" s="65" t="s">
        <v>48</v>
      </c>
      <c r="C567" s="66" t="s">
        <v>346</v>
      </c>
      <c r="D567" s="67">
        <v>45932.853839039351</v>
      </c>
      <c r="E567" s="66" t="s">
        <v>347</v>
      </c>
      <c r="F567" s="66" t="s">
        <v>151</v>
      </c>
      <c r="G567" s="66" t="s">
        <v>348</v>
      </c>
      <c r="H567" s="66" t="s">
        <v>349</v>
      </c>
      <c r="I567" s="66" t="s">
        <v>63</v>
      </c>
      <c r="J567" s="66" t="s">
        <v>350</v>
      </c>
      <c r="K567" s="66" t="s">
        <v>291</v>
      </c>
      <c r="L567" s="68">
        <f>VLOOKUP(E567,[1]Diccionario!C$2:AC$150,22,0)</f>
        <v>131114560</v>
      </c>
      <c r="M567" s="69">
        <f>VLOOKUP(E567,[1]Diccionario!C$2:AC$150,24,0)</f>
        <v>45931</v>
      </c>
      <c r="N567" s="70">
        <f>VLOOKUP(E567,[1]Diccionario!C$2:AC$150,25,0)</f>
        <v>47391</v>
      </c>
      <c r="O567" s="71">
        <f>VLOOKUP(E567,[1]Diccionario!C$2:AC$150,26,0)</f>
        <v>47.97</v>
      </c>
      <c r="P567" s="71">
        <f t="shared" si="97"/>
        <v>-17.97</v>
      </c>
      <c r="Q567" s="71">
        <v>30</v>
      </c>
      <c r="R567" s="66">
        <v>48</v>
      </c>
      <c r="S567" s="72">
        <v>0.99280000000000002</v>
      </c>
      <c r="T567" s="72"/>
      <c r="U567" s="73">
        <f>U566+TablaIndicador[[#This Row],[Costo Mensual]]</f>
        <v>129184075</v>
      </c>
      <c r="V567" s="73">
        <v>0</v>
      </c>
      <c r="W567" s="73">
        <f t="shared" si="98"/>
        <v>0</v>
      </c>
      <c r="X567" s="73">
        <f t="shared" si="99"/>
        <v>130170535.168</v>
      </c>
      <c r="Y567" s="73">
        <f t="shared" si="100"/>
        <v>-129184075</v>
      </c>
      <c r="Z567" s="73">
        <f t="shared" si="101"/>
        <v>-130170535.168</v>
      </c>
      <c r="AA567" s="75">
        <f t="shared" si="102"/>
        <v>0</v>
      </c>
      <c r="AB567" s="76" t="str">
        <f t="shared" si="103"/>
        <v>No calculado</v>
      </c>
      <c r="AC567" s="76">
        <f t="shared" si="104"/>
        <v>0</v>
      </c>
      <c r="AD567" s="76" t="str">
        <f t="shared" si="105"/>
        <v>Sin Línea Base</v>
      </c>
      <c r="AE567" s="77">
        <f t="shared" si="106"/>
        <v>0</v>
      </c>
      <c r="AF567" s="77">
        <f t="shared" si="107"/>
        <v>-131114560</v>
      </c>
      <c r="AG567" s="78" t="str">
        <f>VLOOKUP(Indicador!E483,[1]Diccionario!C$1:AC$150,27,0)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67" s="78">
        <v>1</v>
      </c>
      <c r="AI567" s="78">
        <v>1</v>
      </c>
      <c r="AJ567" s="78"/>
      <c r="AK567" s="78" t="s">
        <v>319</v>
      </c>
    </row>
    <row r="568" spans="1:37" ht="18.75" customHeight="1" x14ac:dyDescent="0.25">
      <c r="A568" s="64">
        <v>2028</v>
      </c>
      <c r="B568" s="65" t="s">
        <v>49</v>
      </c>
      <c r="C568" s="66" t="s">
        <v>346</v>
      </c>
      <c r="D568" s="67">
        <v>45932.853839039351</v>
      </c>
      <c r="E568" s="66" t="s">
        <v>347</v>
      </c>
      <c r="F568" s="66" t="s">
        <v>151</v>
      </c>
      <c r="G568" s="66" t="s">
        <v>348</v>
      </c>
      <c r="H568" s="66" t="s">
        <v>349</v>
      </c>
      <c r="I568" s="66" t="s">
        <v>63</v>
      </c>
      <c r="J568" s="66" t="s">
        <v>350</v>
      </c>
      <c r="K568" s="66" t="s">
        <v>291</v>
      </c>
      <c r="L568" s="68">
        <f>VLOOKUP(E568,[1]Diccionario!C$2:AC$150,22,0)</f>
        <v>131114560</v>
      </c>
      <c r="M568" s="69">
        <f>VLOOKUP(E568,[1]Diccionario!C$2:AC$150,24,0)</f>
        <v>45931</v>
      </c>
      <c r="N568" s="70">
        <f>VLOOKUP(E568,[1]Diccionario!C$2:AC$150,25,0)</f>
        <v>47391</v>
      </c>
      <c r="O568" s="71">
        <f>VLOOKUP(E568,[1]Diccionario!C$2:AC$150,26,0)</f>
        <v>47.97</v>
      </c>
      <c r="P568" s="71">
        <f t="shared" si="97"/>
        <v>-16.97</v>
      </c>
      <c r="Q568" s="71">
        <v>31</v>
      </c>
      <c r="R568" s="66">
        <v>48</v>
      </c>
      <c r="S568" s="72">
        <v>0.9929</v>
      </c>
      <c r="T568" s="72"/>
      <c r="U568" s="73">
        <f>U567+TablaIndicador[[#This Row],[Costo Mensual]]</f>
        <v>129184075</v>
      </c>
      <c r="V568" s="73">
        <v>0</v>
      </c>
      <c r="W568" s="73">
        <f t="shared" si="98"/>
        <v>0</v>
      </c>
      <c r="X568" s="73">
        <f t="shared" si="99"/>
        <v>130183646.624</v>
      </c>
      <c r="Y568" s="73">
        <f t="shared" si="100"/>
        <v>-129184075</v>
      </c>
      <c r="Z568" s="73">
        <f t="shared" si="101"/>
        <v>-130183646.624</v>
      </c>
      <c r="AA568" s="75">
        <f t="shared" si="102"/>
        <v>0</v>
      </c>
      <c r="AB568" s="76" t="str">
        <f t="shared" si="103"/>
        <v>No calculado</v>
      </c>
      <c r="AC568" s="76">
        <f t="shared" si="104"/>
        <v>0</v>
      </c>
      <c r="AD568" s="76" t="str">
        <f t="shared" si="105"/>
        <v>Sin Línea Base</v>
      </c>
      <c r="AE568" s="77">
        <f t="shared" si="106"/>
        <v>0</v>
      </c>
      <c r="AF568" s="77">
        <f t="shared" si="107"/>
        <v>-131114560</v>
      </c>
      <c r="AG568" s="78" t="str">
        <f>VLOOKUP(Indicador!E484,[1]Diccionario!C$1:AC$150,27,0)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68" s="78">
        <v>1</v>
      </c>
      <c r="AI568" s="78">
        <v>1</v>
      </c>
      <c r="AJ568" s="78"/>
      <c r="AK568" s="78" t="s">
        <v>319</v>
      </c>
    </row>
    <row r="569" spans="1:37" ht="18.75" customHeight="1" x14ac:dyDescent="0.25">
      <c r="A569" s="64">
        <v>2028</v>
      </c>
      <c r="B569" s="65" t="s">
        <v>50</v>
      </c>
      <c r="C569" s="66" t="s">
        <v>346</v>
      </c>
      <c r="D569" s="67">
        <v>45932.853839039351</v>
      </c>
      <c r="E569" s="66" t="s">
        <v>347</v>
      </c>
      <c r="F569" s="66" t="s">
        <v>151</v>
      </c>
      <c r="G569" s="66" t="s">
        <v>348</v>
      </c>
      <c r="H569" s="66" t="s">
        <v>349</v>
      </c>
      <c r="I569" s="66" t="s">
        <v>63</v>
      </c>
      <c r="J569" s="66" t="s">
        <v>350</v>
      </c>
      <c r="K569" s="66" t="s">
        <v>291</v>
      </c>
      <c r="L569" s="68">
        <f>VLOOKUP(E569,[1]Diccionario!C$2:AC$150,22,0)</f>
        <v>131114560</v>
      </c>
      <c r="M569" s="69">
        <f>VLOOKUP(E569,[1]Diccionario!C$2:AC$150,24,0)</f>
        <v>45931</v>
      </c>
      <c r="N569" s="70">
        <f>VLOOKUP(E569,[1]Diccionario!C$2:AC$150,25,0)</f>
        <v>47391</v>
      </c>
      <c r="O569" s="71">
        <f>VLOOKUP(E569,[1]Diccionario!C$2:AC$150,26,0)</f>
        <v>47.97</v>
      </c>
      <c r="P569" s="71">
        <f t="shared" si="97"/>
        <v>-15.969999999999999</v>
      </c>
      <c r="Q569" s="71">
        <v>32</v>
      </c>
      <c r="R569" s="66">
        <v>48</v>
      </c>
      <c r="S569" s="72">
        <v>0.99299999999999999</v>
      </c>
      <c r="T569" s="72"/>
      <c r="U569" s="73">
        <f>U568+TablaIndicador[[#This Row],[Costo Mensual]]</f>
        <v>129184075</v>
      </c>
      <c r="V569" s="73">
        <v>0</v>
      </c>
      <c r="W569" s="73">
        <f t="shared" si="98"/>
        <v>0</v>
      </c>
      <c r="X569" s="73">
        <f t="shared" si="99"/>
        <v>130196758.08</v>
      </c>
      <c r="Y569" s="73">
        <f t="shared" si="100"/>
        <v>-129184075</v>
      </c>
      <c r="Z569" s="73">
        <f t="shared" si="101"/>
        <v>-130196758.08</v>
      </c>
      <c r="AA569" s="75">
        <f t="shared" si="102"/>
        <v>0</v>
      </c>
      <c r="AB569" s="76" t="str">
        <f t="shared" si="103"/>
        <v>No calculado</v>
      </c>
      <c r="AC569" s="76">
        <f t="shared" si="104"/>
        <v>0</v>
      </c>
      <c r="AD569" s="76" t="str">
        <f t="shared" si="105"/>
        <v>Sin Línea Base</v>
      </c>
      <c r="AE569" s="77">
        <f t="shared" si="106"/>
        <v>0</v>
      </c>
      <c r="AF569" s="77">
        <f t="shared" si="107"/>
        <v>-131114560</v>
      </c>
      <c r="AG569" s="78" t="str">
        <f>VLOOKUP(Indicador!E485,[1]Diccionario!C$1:AC$150,27,0)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69" s="78">
        <v>1</v>
      </c>
      <c r="AI569" s="78">
        <v>1</v>
      </c>
      <c r="AJ569" s="78"/>
      <c r="AK569" s="78" t="s">
        <v>319</v>
      </c>
    </row>
    <row r="570" spans="1:37" ht="18.75" customHeight="1" x14ac:dyDescent="0.25">
      <c r="A570" s="64">
        <v>2028</v>
      </c>
      <c r="B570" s="65" t="s">
        <v>51</v>
      </c>
      <c r="C570" s="66" t="s">
        <v>346</v>
      </c>
      <c r="D570" s="67">
        <v>45932.853839039351</v>
      </c>
      <c r="E570" s="66" t="s">
        <v>347</v>
      </c>
      <c r="F570" s="66" t="s">
        <v>151</v>
      </c>
      <c r="G570" s="66" t="s">
        <v>348</v>
      </c>
      <c r="H570" s="66" t="s">
        <v>349</v>
      </c>
      <c r="I570" s="66" t="s">
        <v>63</v>
      </c>
      <c r="J570" s="66" t="s">
        <v>350</v>
      </c>
      <c r="K570" s="66" t="s">
        <v>291</v>
      </c>
      <c r="L570" s="68">
        <f>VLOOKUP(E570,[1]Diccionario!C$2:AC$150,22,0)</f>
        <v>131114560</v>
      </c>
      <c r="M570" s="69">
        <f>VLOOKUP(E570,[1]Diccionario!C$2:AC$150,24,0)</f>
        <v>45931</v>
      </c>
      <c r="N570" s="70">
        <f>VLOOKUP(E570,[1]Diccionario!C$2:AC$150,25,0)</f>
        <v>47391</v>
      </c>
      <c r="O570" s="71">
        <f>VLOOKUP(E570,[1]Diccionario!C$2:AC$150,26,0)</f>
        <v>47.97</v>
      </c>
      <c r="P570" s="71">
        <f t="shared" si="97"/>
        <v>-14.969999999999999</v>
      </c>
      <c r="Q570" s="71">
        <v>33</v>
      </c>
      <c r="R570" s="66">
        <v>48</v>
      </c>
      <c r="S570" s="72">
        <v>0.99309999999999998</v>
      </c>
      <c r="T570" s="72"/>
      <c r="U570" s="73">
        <f>U569+TablaIndicador[[#This Row],[Costo Mensual]]</f>
        <v>129184075</v>
      </c>
      <c r="V570" s="73">
        <v>0</v>
      </c>
      <c r="W570" s="73">
        <f t="shared" si="98"/>
        <v>0</v>
      </c>
      <c r="X570" s="73">
        <f t="shared" si="99"/>
        <v>130209869.536</v>
      </c>
      <c r="Y570" s="73">
        <f t="shared" si="100"/>
        <v>-129184075</v>
      </c>
      <c r="Z570" s="73">
        <f t="shared" si="101"/>
        <v>-130209869.536</v>
      </c>
      <c r="AA570" s="75">
        <f t="shared" si="102"/>
        <v>0</v>
      </c>
      <c r="AB570" s="76" t="str">
        <f t="shared" si="103"/>
        <v>No calculado</v>
      </c>
      <c r="AC570" s="76">
        <f t="shared" si="104"/>
        <v>0</v>
      </c>
      <c r="AD570" s="76" t="str">
        <f t="shared" si="105"/>
        <v>Sin Línea Base</v>
      </c>
      <c r="AE570" s="77">
        <f t="shared" si="106"/>
        <v>0</v>
      </c>
      <c r="AF570" s="77">
        <f t="shared" si="107"/>
        <v>-131114560</v>
      </c>
      <c r="AG570" s="78" t="str">
        <f>VLOOKUP(Indicador!E486,[1]Diccionario!C$1:AC$150,27,0)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570" s="78">
        <v>1</v>
      </c>
      <c r="AI570" s="78">
        <v>1</v>
      </c>
      <c r="AJ570" s="78"/>
      <c r="AK570" s="78" t="s">
        <v>319</v>
      </c>
    </row>
    <row r="571" spans="1:37" ht="18.75" customHeight="1" x14ac:dyDescent="0.25">
      <c r="A571" s="64">
        <v>2028</v>
      </c>
      <c r="B571" s="65" t="s">
        <v>52</v>
      </c>
      <c r="C571" s="66" t="s">
        <v>346</v>
      </c>
      <c r="D571" s="67">
        <v>45932.853839039351</v>
      </c>
      <c r="E571" s="66" t="s">
        <v>347</v>
      </c>
      <c r="F571" s="66" t="s">
        <v>151</v>
      </c>
      <c r="G571" s="66" t="s">
        <v>348</v>
      </c>
      <c r="H571" s="66" t="s">
        <v>349</v>
      </c>
      <c r="I571" s="66" t="s">
        <v>63</v>
      </c>
      <c r="J571" s="66" t="s">
        <v>350</v>
      </c>
      <c r="K571" s="66" t="s">
        <v>291</v>
      </c>
      <c r="L571" s="68">
        <f>VLOOKUP(E571,[1]Diccionario!C$2:AC$150,22,0)</f>
        <v>131114560</v>
      </c>
      <c r="M571" s="69">
        <f>VLOOKUP(E571,[1]Diccionario!C$2:AC$150,24,0)</f>
        <v>45931</v>
      </c>
      <c r="N571" s="70">
        <f>VLOOKUP(E571,[1]Diccionario!C$2:AC$150,25,0)</f>
        <v>47391</v>
      </c>
      <c r="O571" s="71">
        <f>VLOOKUP(E571,[1]Diccionario!C$2:AC$150,26,0)</f>
        <v>47.97</v>
      </c>
      <c r="P571" s="71">
        <f t="shared" si="97"/>
        <v>-13.969999999999999</v>
      </c>
      <c r="Q571" s="71">
        <v>34</v>
      </c>
      <c r="R571" s="66">
        <v>48</v>
      </c>
      <c r="S571" s="72">
        <v>0.99319999999999997</v>
      </c>
      <c r="T571" s="72"/>
      <c r="U571" s="73">
        <f>U570+TablaIndicador[[#This Row],[Costo Mensual]]</f>
        <v>129184075</v>
      </c>
      <c r="V571" s="73">
        <v>0</v>
      </c>
      <c r="W571" s="73">
        <f t="shared" si="98"/>
        <v>0</v>
      </c>
      <c r="X571" s="73">
        <f t="shared" si="99"/>
        <v>130222980.992</v>
      </c>
      <c r="Y571" s="73">
        <f t="shared" si="100"/>
        <v>-129184075</v>
      </c>
      <c r="Z571" s="73">
        <f t="shared" si="101"/>
        <v>-130222980.992</v>
      </c>
      <c r="AA571" s="75">
        <f t="shared" si="102"/>
        <v>0</v>
      </c>
      <c r="AB571" s="76" t="str">
        <f t="shared" si="103"/>
        <v>No calculado</v>
      </c>
      <c r="AC571" s="76">
        <f t="shared" si="104"/>
        <v>0</v>
      </c>
      <c r="AD571" s="76" t="str">
        <f t="shared" si="105"/>
        <v>Sin Línea Base</v>
      </c>
      <c r="AE571" s="77">
        <f t="shared" si="106"/>
        <v>0</v>
      </c>
      <c r="AF571" s="77">
        <f t="shared" si="107"/>
        <v>-131114560</v>
      </c>
      <c r="AG571" s="78" t="str">
        <f>VLOOKUP(Indicador!E487,[1]Diccionario!C$1:AC$150,27,0)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71" s="78">
        <v>1</v>
      </c>
      <c r="AI571" s="78">
        <v>1</v>
      </c>
      <c r="AJ571" s="78"/>
      <c r="AK571" s="78" t="s">
        <v>319</v>
      </c>
    </row>
    <row r="572" spans="1:37" ht="18.75" customHeight="1" x14ac:dyDescent="0.25">
      <c r="A572" s="64">
        <v>2028</v>
      </c>
      <c r="B572" s="65" t="s">
        <v>53</v>
      </c>
      <c r="C572" s="66" t="s">
        <v>346</v>
      </c>
      <c r="D572" s="67">
        <v>45932.853839039351</v>
      </c>
      <c r="E572" s="66" t="s">
        <v>347</v>
      </c>
      <c r="F572" s="66" t="s">
        <v>151</v>
      </c>
      <c r="G572" s="66" t="s">
        <v>348</v>
      </c>
      <c r="H572" s="66" t="s">
        <v>349</v>
      </c>
      <c r="I572" s="66" t="s">
        <v>63</v>
      </c>
      <c r="J572" s="66" t="s">
        <v>350</v>
      </c>
      <c r="K572" s="66" t="s">
        <v>291</v>
      </c>
      <c r="L572" s="68">
        <f>VLOOKUP(E572,[1]Diccionario!C$2:AC$150,22,0)</f>
        <v>131114560</v>
      </c>
      <c r="M572" s="69">
        <f>VLOOKUP(E572,[1]Diccionario!C$2:AC$150,24,0)</f>
        <v>45931</v>
      </c>
      <c r="N572" s="70">
        <f>VLOOKUP(E572,[1]Diccionario!C$2:AC$150,25,0)</f>
        <v>47391</v>
      </c>
      <c r="O572" s="71">
        <f>VLOOKUP(E572,[1]Diccionario!C$2:AC$150,26,0)</f>
        <v>47.97</v>
      </c>
      <c r="P572" s="71">
        <f t="shared" si="97"/>
        <v>-12.969999999999999</v>
      </c>
      <c r="Q572" s="71">
        <v>35</v>
      </c>
      <c r="R572" s="66">
        <v>48</v>
      </c>
      <c r="S572" s="72">
        <v>0.99329999999999996</v>
      </c>
      <c r="T572" s="72"/>
      <c r="U572" s="73">
        <f>U571+TablaIndicador[[#This Row],[Costo Mensual]]</f>
        <v>129184075</v>
      </c>
      <c r="V572" s="73">
        <v>0</v>
      </c>
      <c r="W572" s="73">
        <f t="shared" si="98"/>
        <v>0</v>
      </c>
      <c r="X572" s="73">
        <f t="shared" si="99"/>
        <v>130236092.448</v>
      </c>
      <c r="Y572" s="73">
        <f t="shared" si="100"/>
        <v>-129184075</v>
      </c>
      <c r="Z572" s="73">
        <f t="shared" si="101"/>
        <v>-130236092.448</v>
      </c>
      <c r="AA572" s="75">
        <f t="shared" si="102"/>
        <v>0</v>
      </c>
      <c r="AB572" s="76" t="str">
        <f t="shared" si="103"/>
        <v>No calculado</v>
      </c>
      <c r="AC572" s="76">
        <f t="shared" si="104"/>
        <v>0</v>
      </c>
      <c r="AD572" s="76" t="str">
        <f t="shared" si="105"/>
        <v>Sin Línea Base</v>
      </c>
      <c r="AE572" s="77">
        <f t="shared" si="106"/>
        <v>0</v>
      </c>
      <c r="AF572" s="77">
        <f t="shared" si="107"/>
        <v>-131114560</v>
      </c>
      <c r="AG572" s="78" t="str">
        <f>VLOOKUP(Indicador!E488,[1]Diccionario!C$1:AC$150,27,0)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72" s="78">
        <v>1</v>
      </c>
      <c r="AI572" s="78">
        <v>1</v>
      </c>
      <c r="AJ572" s="78"/>
      <c r="AK572" s="78" t="s">
        <v>319</v>
      </c>
    </row>
    <row r="573" spans="1:37" ht="18.75" customHeight="1" x14ac:dyDescent="0.25">
      <c r="A573" s="64">
        <v>2028</v>
      </c>
      <c r="B573" s="65" t="s">
        <v>54</v>
      </c>
      <c r="C573" s="66" t="s">
        <v>346</v>
      </c>
      <c r="D573" s="67">
        <v>45932.853839039351</v>
      </c>
      <c r="E573" s="66" t="s">
        <v>347</v>
      </c>
      <c r="F573" s="66" t="s">
        <v>151</v>
      </c>
      <c r="G573" s="66" t="s">
        <v>348</v>
      </c>
      <c r="H573" s="66" t="s">
        <v>349</v>
      </c>
      <c r="I573" s="66" t="s">
        <v>63</v>
      </c>
      <c r="J573" s="66" t="s">
        <v>350</v>
      </c>
      <c r="K573" s="66" t="s">
        <v>291</v>
      </c>
      <c r="L573" s="68">
        <f>VLOOKUP(E573,[1]Diccionario!C$2:AC$150,22,0)</f>
        <v>131114560</v>
      </c>
      <c r="M573" s="69">
        <f>VLOOKUP(E573,[1]Diccionario!C$2:AC$150,24,0)</f>
        <v>45931</v>
      </c>
      <c r="N573" s="70">
        <f>VLOOKUP(E573,[1]Diccionario!C$2:AC$150,25,0)</f>
        <v>47391</v>
      </c>
      <c r="O573" s="71">
        <f>VLOOKUP(E573,[1]Diccionario!C$2:AC$150,26,0)</f>
        <v>47.97</v>
      </c>
      <c r="P573" s="71">
        <f t="shared" si="97"/>
        <v>-11.969999999999999</v>
      </c>
      <c r="Q573" s="71">
        <v>36</v>
      </c>
      <c r="R573" s="66">
        <v>48</v>
      </c>
      <c r="S573" s="72">
        <v>0.99339999999999995</v>
      </c>
      <c r="T573" s="72"/>
      <c r="U573" s="73">
        <f>U572+TablaIndicador[[#This Row],[Costo Mensual]]</f>
        <v>129184075</v>
      </c>
      <c r="V573" s="73">
        <v>0</v>
      </c>
      <c r="W573" s="73">
        <f t="shared" si="98"/>
        <v>0</v>
      </c>
      <c r="X573" s="73">
        <f t="shared" si="99"/>
        <v>130249203.904</v>
      </c>
      <c r="Y573" s="73">
        <f t="shared" si="100"/>
        <v>-129184075</v>
      </c>
      <c r="Z573" s="73">
        <f t="shared" si="101"/>
        <v>-130249203.904</v>
      </c>
      <c r="AA573" s="75">
        <f t="shared" si="102"/>
        <v>0</v>
      </c>
      <c r="AB573" s="76" t="str">
        <f t="shared" si="103"/>
        <v>No calculado</v>
      </c>
      <c r="AC573" s="76">
        <f t="shared" si="104"/>
        <v>0</v>
      </c>
      <c r="AD573" s="76" t="str">
        <f t="shared" si="105"/>
        <v>Sin Línea Base</v>
      </c>
      <c r="AE573" s="77">
        <f t="shared" si="106"/>
        <v>0</v>
      </c>
      <c r="AF573" s="77">
        <f t="shared" si="107"/>
        <v>-131114560</v>
      </c>
      <c r="AG573" s="78" t="str">
        <f>VLOOKUP(Indicador!E489,[1]Diccionario!C$1:AC$150,27,0)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73" s="78">
        <v>1</v>
      </c>
      <c r="AI573" s="78">
        <v>1</v>
      </c>
      <c r="AJ573" s="78"/>
      <c r="AK573" s="78" t="s">
        <v>319</v>
      </c>
    </row>
    <row r="574" spans="1:37" ht="18.75" customHeight="1" x14ac:dyDescent="0.25">
      <c r="A574" s="64">
        <v>2028</v>
      </c>
      <c r="B574" s="65" t="s">
        <v>55</v>
      </c>
      <c r="C574" s="66" t="s">
        <v>346</v>
      </c>
      <c r="D574" s="67">
        <v>45932.853839039351</v>
      </c>
      <c r="E574" s="66" t="s">
        <v>347</v>
      </c>
      <c r="F574" s="66" t="s">
        <v>151</v>
      </c>
      <c r="G574" s="66" t="s">
        <v>348</v>
      </c>
      <c r="H574" s="66" t="s">
        <v>349</v>
      </c>
      <c r="I574" s="66" t="s">
        <v>63</v>
      </c>
      <c r="J574" s="66" t="s">
        <v>350</v>
      </c>
      <c r="K574" s="66" t="s">
        <v>291</v>
      </c>
      <c r="L574" s="68">
        <f>VLOOKUP(E574,[1]Diccionario!C$2:AC$150,22,0)</f>
        <v>131114560</v>
      </c>
      <c r="M574" s="69">
        <f>VLOOKUP(E574,[1]Diccionario!C$2:AC$150,24,0)</f>
        <v>45931</v>
      </c>
      <c r="N574" s="70">
        <f>VLOOKUP(E574,[1]Diccionario!C$2:AC$150,25,0)</f>
        <v>47391</v>
      </c>
      <c r="O574" s="71">
        <f>VLOOKUP(E574,[1]Diccionario!C$2:AC$150,26,0)</f>
        <v>47.97</v>
      </c>
      <c r="P574" s="71">
        <f t="shared" si="97"/>
        <v>-10.969999999999999</v>
      </c>
      <c r="Q574" s="71">
        <v>37</v>
      </c>
      <c r="R574" s="66">
        <v>48</v>
      </c>
      <c r="S574" s="72">
        <v>0.99350000000000005</v>
      </c>
      <c r="T574" s="72"/>
      <c r="U574" s="73">
        <f>U573+TablaIndicador[[#This Row],[Costo Mensual]]</f>
        <v>129184075</v>
      </c>
      <c r="V574" s="73">
        <v>0</v>
      </c>
      <c r="W574" s="73">
        <f t="shared" si="98"/>
        <v>0</v>
      </c>
      <c r="X574" s="73">
        <f t="shared" si="99"/>
        <v>130262315.36</v>
      </c>
      <c r="Y574" s="73">
        <f t="shared" si="100"/>
        <v>-129184075</v>
      </c>
      <c r="Z574" s="73">
        <f t="shared" si="101"/>
        <v>-130262315.36</v>
      </c>
      <c r="AA574" s="75">
        <f t="shared" si="102"/>
        <v>0</v>
      </c>
      <c r="AB574" s="76" t="str">
        <f t="shared" si="103"/>
        <v>No calculado</v>
      </c>
      <c r="AC574" s="76">
        <f t="shared" si="104"/>
        <v>0</v>
      </c>
      <c r="AD574" s="76" t="str">
        <f t="shared" si="105"/>
        <v>Sin Línea Base</v>
      </c>
      <c r="AE574" s="77">
        <f t="shared" si="106"/>
        <v>0</v>
      </c>
      <c r="AF574" s="77">
        <f t="shared" si="107"/>
        <v>-131114560</v>
      </c>
      <c r="AG574" s="78" t="str">
        <f>VLOOKUP(Indicador!E490,[1]Diccionario!C$1:AC$150,27,0)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74" s="78">
        <v>1</v>
      </c>
      <c r="AI574" s="78">
        <v>1</v>
      </c>
      <c r="AJ574" s="78"/>
      <c r="AK574" s="78" t="s">
        <v>319</v>
      </c>
    </row>
    <row r="575" spans="1:37" ht="18.75" customHeight="1" x14ac:dyDescent="0.25">
      <c r="A575" s="64">
        <v>2028</v>
      </c>
      <c r="B575" s="65" t="s">
        <v>56</v>
      </c>
      <c r="C575" s="66" t="s">
        <v>346</v>
      </c>
      <c r="D575" s="67">
        <v>45932.853839039351</v>
      </c>
      <c r="E575" s="66" t="s">
        <v>347</v>
      </c>
      <c r="F575" s="66" t="s">
        <v>151</v>
      </c>
      <c r="G575" s="66" t="s">
        <v>348</v>
      </c>
      <c r="H575" s="66" t="s">
        <v>349</v>
      </c>
      <c r="I575" s="66" t="s">
        <v>63</v>
      </c>
      <c r="J575" s="66" t="s">
        <v>350</v>
      </c>
      <c r="K575" s="66" t="s">
        <v>291</v>
      </c>
      <c r="L575" s="68">
        <f>VLOOKUP(E575,[1]Diccionario!C$2:AC$150,22,0)</f>
        <v>131114560</v>
      </c>
      <c r="M575" s="69">
        <f>VLOOKUP(E575,[1]Diccionario!C$2:AC$150,24,0)</f>
        <v>45931</v>
      </c>
      <c r="N575" s="70">
        <f>VLOOKUP(E575,[1]Diccionario!C$2:AC$150,25,0)</f>
        <v>47391</v>
      </c>
      <c r="O575" s="71">
        <f>VLOOKUP(E575,[1]Diccionario!C$2:AC$150,26,0)</f>
        <v>47.97</v>
      </c>
      <c r="P575" s="71">
        <f t="shared" ref="P575:P638" si="108">Q575-O575</f>
        <v>-9.9699999999999989</v>
      </c>
      <c r="Q575" s="71">
        <v>38</v>
      </c>
      <c r="R575" s="66">
        <v>48</v>
      </c>
      <c r="S575" s="72">
        <v>0.99360000000000004</v>
      </c>
      <c r="T575" s="72"/>
      <c r="U575" s="73">
        <f>U574+TablaIndicador[[#This Row],[Costo Mensual]]</f>
        <v>129184075</v>
      </c>
      <c r="V575" s="73">
        <v>0</v>
      </c>
      <c r="W575" s="73">
        <f t="shared" si="98"/>
        <v>0</v>
      </c>
      <c r="X575" s="73">
        <f t="shared" si="99"/>
        <v>130275426.816</v>
      </c>
      <c r="Y575" s="73">
        <f t="shared" si="100"/>
        <v>-129184075</v>
      </c>
      <c r="Z575" s="73">
        <f t="shared" si="101"/>
        <v>-130275426.816</v>
      </c>
      <c r="AA575" s="75">
        <f t="shared" si="102"/>
        <v>0</v>
      </c>
      <c r="AB575" s="76" t="str">
        <f t="shared" si="103"/>
        <v>No calculado</v>
      </c>
      <c r="AC575" s="76">
        <f t="shared" si="104"/>
        <v>0</v>
      </c>
      <c r="AD575" s="76" t="str">
        <f t="shared" si="105"/>
        <v>Sin Línea Base</v>
      </c>
      <c r="AE575" s="77">
        <f t="shared" si="106"/>
        <v>0</v>
      </c>
      <c r="AF575" s="77">
        <f t="shared" si="107"/>
        <v>-131114560</v>
      </c>
      <c r="AG575" s="78" t="str">
        <f>VLOOKUP(Indicador!E491,[1]Diccionario!C$1:AC$150,27,0)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75" s="78">
        <v>1</v>
      </c>
      <c r="AI575" s="78">
        <v>1</v>
      </c>
      <c r="AJ575" s="78"/>
      <c r="AK575" s="78" t="s">
        <v>319</v>
      </c>
    </row>
    <row r="576" spans="1:37" ht="18.75" customHeight="1" x14ac:dyDescent="0.25">
      <c r="A576" s="64">
        <v>2028</v>
      </c>
      <c r="B576" s="65" t="s">
        <v>57</v>
      </c>
      <c r="C576" s="66" t="s">
        <v>346</v>
      </c>
      <c r="D576" s="67">
        <v>45932.853839039351</v>
      </c>
      <c r="E576" s="66" t="s">
        <v>347</v>
      </c>
      <c r="F576" s="66" t="s">
        <v>151</v>
      </c>
      <c r="G576" s="66" t="s">
        <v>348</v>
      </c>
      <c r="H576" s="66" t="s">
        <v>349</v>
      </c>
      <c r="I576" s="66" t="s">
        <v>63</v>
      </c>
      <c r="J576" s="66" t="s">
        <v>350</v>
      </c>
      <c r="K576" s="66" t="s">
        <v>291</v>
      </c>
      <c r="L576" s="68">
        <f>VLOOKUP(E576,[1]Diccionario!C$2:AC$150,22,0)</f>
        <v>131114560</v>
      </c>
      <c r="M576" s="69">
        <f>VLOOKUP(E576,[1]Diccionario!C$2:AC$150,24,0)</f>
        <v>45931</v>
      </c>
      <c r="N576" s="70">
        <f>VLOOKUP(E576,[1]Diccionario!C$2:AC$150,25,0)</f>
        <v>47391</v>
      </c>
      <c r="O576" s="71">
        <f>VLOOKUP(E576,[1]Diccionario!C$2:AC$150,26,0)</f>
        <v>47.97</v>
      </c>
      <c r="P576" s="71">
        <f t="shared" si="108"/>
        <v>-8.9699999999999989</v>
      </c>
      <c r="Q576" s="71">
        <v>39</v>
      </c>
      <c r="R576" s="66">
        <v>48</v>
      </c>
      <c r="S576" s="72">
        <v>0.99370000000000003</v>
      </c>
      <c r="T576" s="72"/>
      <c r="U576" s="73">
        <f>U575+TablaIndicador[[#This Row],[Costo Mensual]]</f>
        <v>129184075</v>
      </c>
      <c r="V576" s="73">
        <v>0</v>
      </c>
      <c r="W576" s="73">
        <f t="shared" si="98"/>
        <v>0</v>
      </c>
      <c r="X576" s="73">
        <f t="shared" si="99"/>
        <v>130288538.272</v>
      </c>
      <c r="Y576" s="73">
        <f t="shared" si="100"/>
        <v>-129184075</v>
      </c>
      <c r="Z576" s="73">
        <f t="shared" si="101"/>
        <v>-130288538.272</v>
      </c>
      <c r="AA576" s="75">
        <f t="shared" si="102"/>
        <v>0</v>
      </c>
      <c r="AB576" s="76" t="str">
        <f t="shared" si="103"/>
        <v>No calculado</v>
      </c>
      <c r="AC576" s="76">
        <f t="shared" si="104"/>
        <v>0</v>
      </c>
      <c r="AD576" s="76" t="str">
        <f t="shared" si="105"/>
        <v>Sin Línea Base</v>
      </c>
      <c r="AE576" s="77">
        <f t="shared" si="106"/>
        <v>0</v>
      </c>
      <c r="AF576" s="77">
        <f t="shared" si="107"/>
        <v>-131114560</v>
      </c>
      <c r="AG576" s="78" t="str">
        <f>VLOOKUP(Indicador!E492,[1]Diccionario!C$1:AC$150,27,0)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76" s="78">
        <v>1</v>
      </c>
      <c r="AI576" s="78">
        <v>1</v>
      </c>
      <c r="AJ576" s="78"/>
      <c r="AK576" s="78" t="s">
        <v>319</v>
      </c>
    </row>
    <row r="577" spans="1:37" ht="18.75" customHeight="1" x14ac:dyDescent="0.25">
      <c r="A577" s="64">
        <v>2029</v>
      </c>
      <c r="B577" s="65" t="s">
        <v>37</v>
      </c>
      <c r="C577" s="66" t="s">
        <v>346</v>
      </c>
      <c r="D577" s="67">
        <v>45932.853839039351</v>
      </c>
      <c r="E577" s="66" t="s">
        <v>347</v>
      </c>
      <c r="F577" s="66" t="s">
        <v>151</v>
      </c>
      <c r="G577" s="66" t="s">
        <v>348</v>
      </c>
      <c r="H577" s="66" t="s">
        <v>349</v>
      </c>
      <c r="I577" s="66" t="s">
        <v>63</v>
      </c>
      <c r="J577" s="66" t="s">
        <v>350</v>
      </c>
      <c r="K577" s="66" t="s">
        <v>291</v>
      </c>
      <c r="L577" s="68">
        <f>VLOOKUP(E577,[1]Diccionario!C$2:AC$150,22,0)</f>
        <v>131114560</v>
      </c>
      <c r="M577" s="69">
        <f>VLOOKUP(E577,[1]Diccionario!C$2:AC$150,24,0)</f>
        <v>45931</v>
      </c>
      <c r="N577" s="70">
        <f>VLOOKUP(E577,[1]Diccionario!C$2:AC$150,25,0)</f>
        <v>47391</v>
      </c>
      <c r="O577" s="71">
        <f>VLOOKUP(E577,[1]Diccionario!C$2:AC$150,26,0)</f>
        <v>47.97</v>
      </c>
      <c r="P577" s="71">
        <f t="shared" si="108"/>
        <v>-7.9699999999999989</v>
      </c>
      <c r="Q577" s="71">
        <v>40</v>
      </c>
      <c r="R577" s="66">
        <v>48</v>
      </c>
      <c r="S577" s="72">
        <v>0.99380000000000002</v>
      </c>
      <c r="T577" s="72"/>
      <c r="U577" s="73">
        <f>U576+TablaIndicador[[#This Row],[Costo Mensual]]</f>
        <v>129184075</v>
      </c>
      <c r="V577" s="73">
        <v>0</v>
      </c>
      <c r="W577" s="73">
        <f t="shared" si="98"/>
        <v>0</v>
      </c>
      <c r="X577" s="73">
        <f t="shared" si="99"/>
        <v>130301649.728</v>
      </c>
      <c r="Y577" s="73">
        <f t="shared" si="100"/>
        <v>-129184075</v>
      </c>
      <c r="Z577" s="73">
        <f t="shared" si="101"/>
        <v>-130301649.728</v>
      </c>
      <c r="AA577" s="75">
        <f t="shared" si="102"/>
        <v>0</v>
      </c>
      <c r="AB577" s="76" t="str">
        <f t="shared" si="103"/>
        <v>No calculado</v>
      </c>
      <c r="AC577" s="76">
        <f t="shared" si="104"/>
        <v>0</v>
      </c>
      <c r="AD577" s="76" t="str">
        <f t="shared" si="105"/>
        <v>Sin Línea Base</v>
      </c>
      <c r="AE577" s="77">
        <f t="shared" si="106"/>
        <v>0</v>
      </c>
      <c r="AF577" s="77">
        <f t="shared" si="107"/>
        <v>-131114560</v>
      </c>
      <c r="AG577" s="78" t="str">
        <f>VLOOKUP(Indicador!E493,[1]Diccionario!C$1:AC$150,27,0)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77" s="78">
        <v>1</v>
      </c>
      <c r="AI577" s="78">
        <v>1</v>
      </c>
      <c r="AJ577" s="78"/>
      <c r="AK577" s="78" t="s">
        <v>319</v>
      </c>
    </row>
    <row r="578" spans="1:37" ht="18.75" customHeight="1" x14ac:dyDescent="0.25">
      <c r="A578" s="64">
        <v>2029</v>
      </c>
      <c r="B578" s="65" t="s">
        <v>47</v>
      </c>
      <c r="C578" s="66" t="s">
        <v>346</v>
      </c>
      <c r="D578" s="67">
        <v>45932.853839039351</v>
      </c>
      <c r="E578" s="66" t="s">
        <v>347</v>
      </c>
      <c r="F578" s="66" t="s">
        <v>151</v>
      </c>
      <c r="G578" s="66" t="s">
        <v>348</v>
      </c>
      <c r="H578" s="66" t="s">
        <v>349</v>
      </c>
      <c r="I578" s="66" t="s">
        <v>63</v>
      </c>
      <c r="J578" s="66" t="s">
        <v>350</v>
      </c>
      <c r="K578" s="66" t="s">
        <v>291</v>
      </c>
      <c r="L578" s="68">
        <f>VLOOKUP(E578,[1]Diccionario!C$2:AC$150,22,0)</f>
        <v>131114560</v>
      </c>
      <c r="M578" s="69">
        <f>VLOOKUP(E578,[1]Diccionario!C$2:AC$150,24,0)</f>
        <v>45931</v>
      </c>
      <c r="N578" s="70">
        <f>VLOOKUP(E578,[1]Diccionario!C$2:AC$150,25,0)</f>
        <v>47391</v>
      </c>
      <c r="O578" s="71">
        <f>VLOOKUP(E578,[1]Diccionario!C$2:AC$150,26,0)</f>
        <v>47.97</v>
      </c>
      <c r="P578" s="71">
        <f t="shared" si="108"/>
        <v>-6.9699999999999989</v>
      </c>
      <c r="Q578" s="71">
        <v>41</v>
      </c>
      <c r="R578" s="66">
        <v>48</v>
      </c>
      <c r="S578" s="72">
        <v>0.99390000000000001</v>
      </c>
      <c r="T578" s="72"/>
      <c r="U578" s="73">
        <f>U577+TablaIndicador[[#This Row],[Costo Mensual]]</f>
        <v>129184075</v>
      </c>
      <c r="V578" s="73">
        <v>0</v>
      </c>
      <c r="W578" s="73">
        <f t="shared" ref="W578:W641" si="109">IFERROR(T578*L578,0)</f>
        <v>0</v>
      </c>
      <c r="X578" s="73">
        <f t="shared" ref="X578:X641" si="110">S578*L578</f>
        <v>130314761.184</v>
      </c>
      <c r="Y578" s="73">
        <f t="shared" ref="Y578:Y641" si="111">IFERROR(W578-U578,0)</f>
        <v>-129184075</v>
      </c>
      <c r="Z578" s="73">
        <f t="shared" ref="Z578:Z641" si="112">W578-X578</f>
        <v>-130314761.184</v>
      </c>
      <c r="AA578" s="75">
        <f t="shared" ref="AA578:AA641" si="113">IFERROR(W578/U578,"No se realizó gasto en este corte")</f>
        <v>0</v>
      </c>
      <c r="AB578" s="76" t="str">
        <f t="shared" ref="AB578:AB641" si="114">IFERROR(
  IF(OR(AA578="",AA578=0),
    "No calculado",
    IF(AA578&gt;1,"Costo eficiente: se está gastando menos de lo presupuestado",
      IF(AA578=1,"Costo según lo presupuestado",
        "Costo ineficiente: se está gastando más de lo presupuestado"))),
"No calculado")</f>
        <v>No calculado</v>
      </c>
      <c r="AC578" s="76">
        <f t="shared" ref="AC578:AC641" si="115">IFERROR(W578/X578,0)</f>
        <v>0</v>
      </c>
      <c r="AD578" s="76" t="str">
        <f t="shared" ref="AD578:AD641" si="116">IF(OR(AC578="",AC578=0),"Sin Línea Base",
IF(AC578&gt;1,"Proyecto adelantado respecto al cronograma",
IF(AC578=1,"Proyecto a tiempo según lo planificado",
IF(AC578&lt;1,"Proyecto atrasado con respecto al cronograma",
"No calculado"))))</f>
        <v>Sin Línea Base</v>
      </c>
      <c r="AE578" s="77">
        <f t="shared" ref="AE578:AE641" si="117">IFERROR(L578/AA578,0)</f>
        <v>0</v>
      </c>
      <c r="AF578" s="77">
        <f t="shared" ref="AF578:AF641" si="118">IFERROR(AE578-L578,0)</f>
        <v>-131114560</v>
      </c>
      <c r="AG578" s="78" t="str">
        <f>VLOOKUP(Indicador!E494,[1]Diccionario!C$1:AC$150,27,0)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78" s="78">
        <v>1</v>
      </c>
      <c r="AI578" s="78">
        <v>1</v>
      </c>
      <c r="AJ578" s="78"/>
      <c r="AK578" s="78" t="s">
        <v>319</v>
      </c>
    </row>
    <row r="579" spans="1:37" ht="18.75" customHeight="1" x14ac:dyDescent="0.25">
      <c r="A579" s="64">
        <v>2029</v>
      </c>
      <c r="B579" s="65" t="s">
        <v>48</v>
      </c>
      <c r="C579" s="66" t="s">
        <v>346</v>
      </c>
      <c r="D579" s="67">
        <v>45932.853839039351</v>
      </c>
      <c r="E579" s="66" t="s">
        <v>347</v>
      </c>
      <c r="F579" s="66" t="s">
        <v>151</v>
      </c>
      <c r="G579" s="66" t="s">
        <v>348</v>
      </c>
      <c r="H579" s="66" t="s">
        <v>349</v>
      </c>
      <c r="I579" s="66" t="s">
        <v>63</v>
      </c>
      <c r="J579" s="66" t="s">
        <v>350</v>
      </c>
      <c r="K579" s="66" t="s">
        <v>291</v>
      </c>
      <c r="L579" s="68">
        <f>VLOOKUP(E579,[1]Diccionario!C$2:AC$150,22,0)</f>
        <v>131114560</v>
      </c>
      <c r="M579" s="69">
        <f>VLOOKUP(E579,[1]Diccionario!C$2:AC$150,24,0)</f>
        <v>45931</v>
      </c>
      <c r="N579" s="70">
        <f>VLOOKUP(E579,[1]Diccionario!C$2:AC$150,25,0)</f>
        <v>47391</v>
      </c>
      <c r="O579" s="71">
        <f>VLOOKUP(E579,[1]Diccionario!C$2:AC$150,26,0)</f>
        <v>47.97</v>
      </c>
      <c r="P579" s="71">
        <f t="shared" si="108"/>
        <v>-5.9699999999999989</v>
      </c>
      <c r="Q579" s="71">
        <v>42</v>
      </c>
      <c r="R579" s="66">
        <v>48</v>
      </c>
      <c r="S579" s="72">
        <v>0.99399999999999999</v>
      </c>
      <c r="T579" s="72"/>
      <c r="U579" s="73">
        <f>U578+TablaIndicador[[#This Row],[Costo Mensual]]</f>
        <v>129184075</v>
      </c>
      <c r="V579" s="73">
        <v>0</v>
      </c>
      <c r="W579" s="73">
        <f t="shared" si="109"/>
        <v>0</v>
      </c>
      <c r="X579" s="73">
        <f t="shared" si="110"/>
        <v>130327872.64</v>
      </c>
      <c r="Y579" s="73">
        <f t="shared" si="111"/>
        <v>-129184075</v>
      </c>
      <c r="Z579" s="73">
        <f t="shared" si="112"/>
        <v>-130327872.64</v>
      </c>
      <c r="AA579" s="75">
        <f t="shared" si="113"/>
        <v>0</v>
      </c>
      <c r="AB579" s="76" t="str">
        <f t="shared" si="114"/>
        <v>No calculado</v>
      </c>
      <c r="AC579" s="76">
        <f t="shared" si="115"/>
        <v>0</v>
      </c>
      <c r="AD579" s="76" t="str">
        <f t="shared" si="116"/>
        <v>Sin Línea Base</v>
      </c>
      <c r="AE579" s="77">
        <f t="shared" si="117"/>
        <v>0</v>
      </c>
      <c r="AF579" s="77">
        <f t="shared" si="118"/>
        <v>-131114560</v>
      </c>
      <c r="AG579" s="78" t="str">
        <f>VLOOKUP(Indicador!E495,[1]Diccionario!C$1:AC$150,27,0)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79" s="78">
        <v>1</v>
      </c>
      <c r="AI579" s="78">
        <v>1</v>
      </c>
      <c r="AJ579" s="78"/>
      <c r="AK579" s="78" t="s">
        <v>319</v>
      </c>
    </row>
    <row r="580" spans="1:37" ht="18.75" customHeight="1" x14ac:dyDescent="0.25">
      <c r="A580" s="64">
        <v>2029</v>
      </c>
      <c r="B580" s="65" t="s">
        <v>49</v>
      </c>
      <c r="C580" s="66" t="s">
        <v>346</v>
      </c>
      <c r="D580" s="67">
        <v>45932.853839039351</v>
      </c>
      <c r="E580" s="66" t="s">
        <v>347</v>
      </c>
      <c r="F580" s="66" t="s">
        <v>151</v>
      </c>
      <c r="G580" s="66" t="s">
        <v>348</v>
      </c>
      <c r="H580" s="66" t="s">
        <v>349</v>
      </c>
      <c r="I580" s="66" t="s">
        <v>63</v>
      </c>
      <c r="J580" s="66" t="s">
        <v>350</v>
      </c>
      <c r="K580" s="66" t="s">
        <v>291</v>
      </c>
      <c r="L580" s="68">
        <f>VLOOKUP(E580,[1]Diccionario!C$2:AC$150,22,0)</f>
        <v>131114560</v>
      </c>
      <c r="M580" s="69">
        <f>VLOOKUP(E580,[1]Diccionario!C$2:AC$150,24,0)</f>
        <v>45931</v>
      </c>
      <c r="N580" s="70">
        <f>VLOOKUP(E580,[1]Diccionario!C$2:AC$150,25,0)</f>
        <v>47391</v>
      </c>
      <c r="O580" s="71">
        <f>VLOOKUP(E580,[1]Diccionario!C$2:AC$150,26,0)</f>
        <v>47.97</v>
      </c>
      <c r="P580" s="71">
        <f t="shared" si="108"/>
        <v>-4.9699999999999989</v>
      </c>
      <c r="Q580" s="71">
        <v>43</v>
      </c>
      <c r="R580" s="66">
        <v>48</v>
      </c>
      <c r="S580" s="72">
        <v>0.99409999999999998</v>
      </c>
      <c r="T580" s="72"/>
      <c r="U580" s="73">
        <f>U579+TablaIndicador[[#This Row],[Costo Mensual]]</f>
        <v>129184075</v>
      </c>
      <c r="V580" s="73">
        <v>0</v>
      </c>
      <c r="W580" s="73">
        <f t="shared" si="109"/>
        <v>0</v>
      </c>
      <c r="X580" s="73">
        <f t="shared" si="110"/>
        <v>130340984.096</v>
      </c>
      <c r="Y580" s="73">
        <f t="shared" si="111"/>
        <v>-129184075</v>
      </c>
      <c r="Z580" s="73">
        <f t="shared" si="112"/>
        <v>-130340984.096</v>
      </c>
      <c r="AA580" s="75">
        <f t="shared" si="113"/>
        <v>0</v>
      </c>
      <c r="AB580" s="76" t="str">
        <f t="shared" si="114"/>
        <v>No calculado</v>
      </c>
      <c r="AC580" s="76">
        <f t="shared" si="115"/>
        <v>0</v>
      </c>
      <c r="AD580" s="76" t="str">
        <f t="shared" si="116"/>
        <v>Sin Línea Base</v>
      </c>
      <c r="AE580" s="77">
        <f t="shared" si="117"/>
        <v>0</v>
      </c>
      <c r="AF580" s="77">
        <f t="shared" si="118"/>
        <v>-131114560</v>
      </c>
      <c r="AG580" s="78" t="str">
        <f>VLOOKUP(Indicador!E496,[1]Diccionario!C$1:AC$150,27,0)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80" s="78">
        <v>1</v>
      </c>
      <c r="AI580" s="78">
        <v>1</v>
      </c>
      <c r="AJ580" s="78"/>
      <c r="AK580" s="78" t="s">
        <v>319</v>
      </c>
    </row>
    <row r="581" spans="1:37" ht="18.75" customHeight="1" x14ac:dyDescent="0.25">
      <c r="A581" s="64">
        <v>2029</v>
      </c>
      <c r="B581" s="65" t="s">
        <v>50</v>
      </c>
      <c r="C581" s="66" t="s">
        <v>346</v>
      </c>
      <c r="D581" s="67">
        <v>45932.853839039351</v>
      </c>
      <c r="E581" s="66" t="s">
        <v>347</v>
      </c>
      <c r="F581" s="66" t="s">
        <v>151</v>
      </c>
      <c r="G581" s="66" t="s">
        <v>348</v>
      </c>
      <c r="H581" s="66" t="s">
        <v>349</v>
      </c>
      <c r="I581" s="66" t="s">
        <v>63</v>
      </c>
      <c r="J581" s="66" t="s">
        <v>350</v>
      </c>
      <c r="K581" s="66" t="s">
        <v>291</v>
      </c>
      <c r="L581" s="68">
        <f>VLOOKUP(E581,[1]Diccionario!C$2:AC$150,22,0)</f>
        <v>131114560</v>
      </c>
      <c r="M581" s="69">
        <f>VLOOKUP(E581,[1]Diccionario!C$2:AC$150,24,0)</f>
        <v>45931</v>
      </c>
      <c r="N581" s="70">
        <f>VLOOKUP(E581,[1]Diccionario!C$2:AC$150,25,0)</f>
        <v>47391</v>
      </c>
      <c r="O581" s="71">
        <f>VLOOKUP(E581,[1]Diccionario!C$2:AC$150,26,0)</f>
        <v>47.97</v>
      </c>
      <c r="P581" s="71">
        <f t="shared" si="108"/>
        <v>-3.9699999999999989</v>
      </c>
      <c r="Q581" s="71">
        <v>44</v>
      </c>
      <c r="R581" s="66">
        <v>48</v>
      </c>
      <c r="S581" s="72">
        <v>0.99419999999999997</v>
      </c>
      <c r="T581" s="72"/>
      <c r="U581" s="73">
        <f>U580+TablaIndicador[[#This Row],[Costo Mensual]]</f>
        <v>129184075</v>
      </c>
      <c r="V581" s="73">
        <v>0</v>
      </c>
      <c r="W581" s="73">
        <f t="shared" si="109"/>
        <v>0</v>
      </c>
      <c r="X581" s="73">
        <f t="shared" si="110"/>
        <v>130354095.552</v>
      </c>
      <c r="Y581" s="73">
        <f t="shared" si="111"/>
        <v>-129184075</v>
      </c>
      <c r="Z581" s="73">
        <f t="shared" si="112"/>
        <v>-130354095.552</v>
      </c>
      <c r="AA581" s="75">
        <f t="shared" si="113"/>
        <v>0</v>
      </c>
      <c r="AB581" s="76" t="str">
        <f t="shared" si="114"/>
        <v>No calculado</v>
      </c>
      <c r="AC581" s="76">
        <f t="shared" si="115"/>
        <v>0</v>
      </c>
      <c r="AD581" s="76" t="str">
        <f t="shared" si="116"/>
        <v>Sin Línea Base</v>
      </c>
      <c r="AE581" s="77">
        <f t="shared" si="117"/>
        <v>0</v>
      </c>
      <c r="AF581" s="77">
        <f t="shared" si="118"/>
        <v>-131114560</v>
      </c>
      <c r="AG581" s="78" t="str">
        <f>VLOOKUP(Indicador!E497,[1]Diccionario!C$1:AC$150,27,0)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81" s="78">
        <v>1</v>
      </c>
      <c r="AI581" s="78">
        <v>1</v>
      </c>
      <c r="AJ581" s="78"/>
      <c r="AK581" s="78" t="s">
        <v>319</v>
      </c>
    </row>
    <row r="582" spans="1:37" ht="18.75" customHeight="1" x14ac:dyDescent="0.25">
      <c r="A582" s="64">
        <v>2029</v>
      </c>
      <c r="B582" s="65" t="s">
        <v>51</v>
      </c>
      <c r="C582" s="66" t="s">
        <v>346</v>
      </c>
      <c r="D582" s="67">
        <v>45932.853839039351</v>
      </c>
      <c r="E582" s="66" t="s">
        <v>347</v>
      </c>
      <c r="F582" s="66" t="s">
        <v>151</v>
      </c>
      <c r="G582" s="66" t="s">
        <v>348</v>
      </c>
      <c r="H582" s="66" t="s">
        <v>349</v>
      </c>
      <c r="I582" s="66" t="s">
        <v>63</v>
      </c>
      <c r="J582" s="66" t="s">
        <v>350</v>
      </c>
      <c r="K582" s="66" t="s">
        <v>291</v>
      </c>
      <c r="L582" s="68">
        <f>VLOOKUP(E582,[1]Diccionario!C$2:AC$150,22,0)</f>
        <v>131114560</v>
      </c>
      <c r="M582" s="69">
        <f>VLOOKUP(E582,[1]Diccionario!C$2:AC$150,24,0)</f>
        <v>45931</v>
      </c>
      <c r="N582" s="70">
        <f>VLOOKUP(E582,[1]Diccionario!C$2:AC$150,25,0)</f>
        <v>47391</v>
      </c>
      <c r="O582" s="71">
        <f>VLOOKUP(E582,[1]Diccionario!C$2:AC$150,26,0)</f>
        <v>47.97</v>
      </c>
      <c r="P582" s="71">
        <f t="shared" si="108"/>
        <v>-2.9699999999999989</v>
      </c>
      <c r="Q582" s="71">
        <v>45</v>
      </c>
      <c r="R582" s="66">
        <v>48</v>
      </c>
      <c r="S582" s="72">
        <v>0.99429999999999996</v>
      </c>
      <c r="T582" s="72"/>
      <c r="U582" s="73">
        <f>U581+TablaIndicador[[#This Row],[Costo Mensual]]</f>
        <v>129184075</v>
      </c>
      <c r="V582" s="73">
        <v>0</v>
      </c>
      <c r="W582" s="73">
        <f t="shared" si="109"/>
        <v>0</v>
      </c>
      <c r="X582" s="73">
        <f t="shared" si="110"/>
        <v>130367207.008</v>
      </c>
      <c r="Y582" s="73">
        <f t="shared" si="111"/>
        <v>-129184075</v>
      </c>
      <c r="Z582" s="73">
        <f t="shared" si="112"/>
        <v>-130367207.008</v>
      </c>
      <c r="AA582" s="75">
        <f t="shared" si="113"/>
        <v>0</v>
      </c>
      <c r="AB582" s="76" t="str">
        <f t="shared" si="114"/>
        <v>No calculado</v>
      </c>
      <c r="AC582" s="76">
        <f t="shared" si="115"/>
        <v>0</v>
      </c>
      <c r="AD582" s="76" t="str">
        <f t="shared" si="116"/>
        <v>Sin Línea Base</v>
      </c>
      <c r="AE582" s="77">
        <f t="shared" si="117"/>
        <v>0</v>
      </c>
      <c r="AF582" s="77">
        <f t="shared" si="118"/>
        <v>-131114560</v>
      </c>
      <c r="AG582" s="78" t="str">
        <f>VLOOKUP(Indicador!E498,[1]Diccionario!C$1:AC$150,27,0)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82" s="78">
        <v>1</v>
      </c>
      <c r="AI582" s="78">
        <v>1</v>
      </c>
      <c r="AJ582" s="78"/>
      <c r="AK582" s="78" t="s">
        <v>319</v>
      </c>
    </row>
    <row r="583" spans="1:37" ht="18.75" customHeight="1" x14ac:dyDescent="0.25">
      <c r="A583" s="64">
        <v>2029</v>
      </c>
      <c r="B583" s="65" t="s">
        <v>52</v>
      </c>
      <c r="C583" s="66" t="s">
        <v>346</v>
      </c>
      <c r="D583" s="67">
        <v>45932.853839039351</v>
      </c>
      <c r="E583" s="66" t="s">
        <v>347</v>
      </c>
      <c r="F583" s="66" t="s">
        <v>151</v>
      </c>
      <c r="G583" s="66" t="s">
        <v>348</v>
      </c>
      <c r="H583" s="66" t="s">
        <v>349</v>
      </c>
      <c r="I583" s="66" t="s">
        <v>63</v>
      </c>
      <c r="J583" s="66" t="s">
        <v>350</v>
      </c>
      <c r="K583" s="66" t="s">
        <v>291</v>
      </c>
      <c r="L583" s="68">
        <f>VLOOKUP(E583,[1]Diccionario!C$2:AC$150,22,0)</f>
        <v>131114560</v>
      </c>
      <c r="M583" s="69">
        <f>VLOOKUP(E583,[1]Diccionario!C$2:AC$150,24,0)</f>
        <v>45931</v>
      </c>
      <c r="N583" s="70">
        <f>VLOOKUP(E583,[1]Diccionario!C$2:AC$150,25,0)</f>
        <v>47391</v>
      </c>
      <c r="O583" s="71">
        <f>VLOOKUP(E583,[1]Diccionario!C$2:AC$150,26,0)</f>
        <v>47.97</v>
      </c>
      <c r="P583" s="71">
        <f t="shared" si="108"/>
        <v>-1.9699999999999989</v>
      </c>
      <c r="Q583" s="71">
        <v>46</v>
      </c>
      <c r="R583" s="66">
        <v>48</v>
      </c>
      <c r="S583" s="72">
        <v>0.99439999999999995</v>
      </c>
      <c r="T583" s="72"/>
      <c r="U583" s="73">
        <f>U582+TablaIndicador[[#This Row],[Costo Mensual]]</f>
        <v>129184075</v>
      </c>
      <c r="V583" s="73">
        <v>0</v>
      </c>
      <c r="W583" s="73">
        <f t="shared" si="109"/>
        <v>0</v>
      </c>
      <c r="X583" s="73">
        <f t="shared" si="110"/>
        <v>130380318.46399999</v>
      </c>
      <c r="Y583" s="73">
        <f t="shared" si="111"/>
        <v>-129184075</v>
      </c>
      <c r="Z583" s="73">
        <f t="shared" si="112"/>
        <v>-130380318.46399999</v>
      </c>
      <c r="AA583" s="75">
        <f t="shared" si="113"/>
        <v>0</v>
      </c>
      <c r="AB583" s="76" t="str">
        <f t="shared" si="114"/>
        <v>No calculado</v>
      </c>
      <c r="AC583" s="76">
        <f t="shared" si="115"/>
        <v>0</v>
      </c>
      <c r="AD583" s="76" t="str">
        <f t="shared" si="116"/>
        <v>Sin Línea Base</v>
      </c>
      <c r="AE583" s="77">
        <f t="shared" si="117"/>
        <v>0</v>
      </c>
      <c r="AF583" s="77">
        <f t="shared" si="118"/>
        <v>-131114560</v>
      </c>
      <c r="AG583" s="78" t="str">
        <f>VLOOKUP(Indicador!E499,[1]Diccionario!C$1:AC$150,27,0)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83" s="78">
        <v>1</v>
      </c>
      <c r="AI583" s="78">
        <v>1</v>
      </c>
      <c r="AJ583" s="78"/>
      <c r="AK583" s="78" t="s">
        <v>319</v>
      </c>
    </row>
    <row r="584" spans="1:37" ht="18.75" customHeight="1" x14ac:dyDescent="0.25">
      <c r="A584" s="64">
        <v>2029</v>
      </c>
      <c r="B584" s="65" t="s">
        <v>53</v>
      </c>
      <c r="C584" s="66" t="s">
        <v>346</v>
      </c>
      <c r="D584" s="67">
        <v>45932.853839039351</v>
      </c>
      <c r="E584" s="66" t="s">
        <v>347</v>
      </c>
      <c r="F584" s="66" t="s">
        <v>151</v>
      </c>
      <c r="G584" s="66" t="s">
        <v>348</v>
      </c>
      <c r="H584" s="66" t="s">
        <v>349</v>
      </c>
      <c r="I584" s="66" t="s">
        <v>63</v>
      </c>
      <c r="J584" s="66" t="s">
        <v>350</v>
      </c>
      <c r="K584" s="66" t="s">
        <v>291</v>
      </c>
      <c r="L584" s="68">
        <f>VLOOKUP(E584,[1]Diccionario!C$2:AC$150,22,0)</f>
        <v>131114560</v>
      </c>
      <c r="M584" s="69">
        <f>VLOOKUP(E584,[1]Diccionario!C$2:AC$150,24,0)</f>
        <v>45931</v>
      </c>
      <c r="N584" s="70">
        <f>VLOOKUP(E584,[1]Diccionario!C$2:AC$150,25,0)</f>
        <v>47391</v>
      </c>
      <c r="O584" s="71">
        <f>VLOOKUP(E584,[1]Diccionario!C$2:AC$150,26,0)</f>
        <v>47.97</v>
      </c>
      <c r="P584" s="71">
        <f t="shared" si="108"/>
        <v>-0.96999999999999886</v>
      </c>
      <c r="Q584" s="71">
        <v>47</v>
      </c>
      <c r="R584" s="66">
        <v>48</v>
      </c>
      <c r="S584" s="72">
        <v>0.99449999999999905</v>
      </c>
      <c r="T584" s="72"/>
      <c r="U584" s="73">
        <f>U583+TablaIndicador[[#This Row],[Costo Mensual]]</f>
        <v>129184075</v>
      </c>
      <c r="V584" s="73">
        <v>0</v>
      </c>
      <c r="W584" s="73">
        <f t="shared" si="109"/>
        <v>0</v>
      </c>
      <c r="X584" s="73">
        <f t="shared" si="110"/>
        <v>130393429.91999988</v>
      </c>
      <c r="Y584" s="73">
        <f t="shared" si="111"/>
        <v>-129184075</v>
      </c>
      <c r="Z584" s="73">
        <f t="shared" si="112"/>
        <v>-130393429.91999988</v>
      </c>
      <c r="AA584" s="75">
        <f t="shared" si="113"/>
        <v>0</v>
      </c>
      <c r="AB584" s="76" t="str">
        <f t="shared" si="114"/>
        <v>No calculado</v>
      </c>
      <c r="AC584" s="76">
        <f t="shared" si="115"/>
        <v>0</v>
      </c>
      <c r="AD584" s="76" t="str">
        <f t="shared" si="116"/>
        <v>Sin Línea Base</v>
      </c>
      <c r="AE584" s="77">
        <f t="shared" si="117"/>
        <v>0</v>
      </c>
      <c r="AF584" s="77">
        <f t="shared" si="118"/>
        <v>-131114560</v>
      </c>
      <c r="AG584" s="78" t="str">
        <f>VLOOKUP(Indicador!E500,[1]Diccionario!C$1:AC$150,27,0)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84" s="78">
        <v>1</v>
      </c>
      <c r="AI584" s="78">
        <v>1</v>
      </c>
      <c r="AJ584" s="78"/>
      <c r="AK584" s="78" t="s">
        <v>319</v>
      </c>
    </row>
    <row r="585" spans="1:37" ht="18.75" customHeight="1" x14ac:dyDescent="0.25">
      <c r="A585" s="64">
        <v>2029</v>
      </c>
      <c r="B585" s="65" t="s">
        <v>54</v>
      </c>
      <c r="C585" s="66" t="s">
        <v>346</v>
      </c>
      <c r="D585" s="67">
        <v>45932.853839039351</v>
      </c>
      <c r="E585" s="66" t="s">
        <v>347</v>
      </c>
      <c r="F585" s="66" t="s">
        <v>151</v>
      </c>
      <c r="G585" s="66" t="s">
        <v>348</v>
      </c>
      <c r="H585" s="66" t="s">
        <v>349</v>
      </c>
      <c r="I585" s="66" t="s">
        <v>63</v>
      </c>
      <c r="J585" s="66" t="s">
        <v>350</v>
      </c>
      <c r="K585" s="66" t="s">
        <v>291</v>
      </c>
      <c r="L585" s="68">
        <f>VLOOKUP(E585,[1]Diccionario!C$2:AC$150,22,0)</f>
        <v>131114560</v>
      </c>
      <c r="M585" s="69">
        <f>VLOOKUP(E585,[1]Diccionario!C$2:AC$150,24,0)</f>
        <v>45931</v>
      </c>
      <c r="N585" s="70">
        <f>VLOOKUP(E585,[1]Diccionario!C$2:AC$150,25,0)</f>
        <v>47391</v>
      </c>
      <c r="O585" s="71">
        <f>VLOOKUP(E585,[1]Diccionario!C$2:AC$150,26,0)</f>
        <v>47.97</v>
      </c>
      <c r="P585" s="71">
        <f t="shared" si="108"/>
        <v>3.0000000000001137E-2</v>
      </c>
      <c r="Q585" s="71">
        <v>48</v>
      </c>
      <c r="R585" s="66">
        <v>48</v>
      </c>
      <c r="S585" s="72">
        <v>1</v>
      </c>
      <c r="T585" s="72"/>
      <c r="U585" s="73">
        <f>U584+TablaIndicador[[#This Row],[Costo Mensual]]</f>
        <v>129184075</v>
      </c>
      <c r="V585" s="73">
        <v>0</v>
      </c>
      <c r="W585" s="73">
        <f t="shared" si="109"/>
        <v>0</v>
      </c>
      <c r="X585" s="73">
        <f t="shared" si="110"/>
        <v>131114560</v>
      </c>
      <c r="Y585" s="73">
        <f t="shared" si="111"/>
        <v>-129184075</v>
      </c>
      <c r="Z585" s="73">
        <f t="shared" si="112"/>
        <v>-131114560</v>
      </c>
      <c r="AA585" s="75">
        <f t="shared" si="113"/>
        <v>0</v>
      </c>
      <c r="AB585" s="76" t="str">
        <f t="shared" si="114"/>
        <v>No calculado</v>
      </c>
      <c r="AC585" s="76">
        <f t="shared" si="115"/>
        <v>0</v>
      </c>
      <c r="AD585" s="76" t="str">
        <f t="shared" si="116"/>
        <v>Sin Línea Base</v>
      </c>
      <c r="AE585" s="77">
        <f t="shared" si="117"/>
        <v>0</v>
      </c>
      <c r="AF585" s="77">
        <f t="shared" si="118"/>
        <v>-131114560</v>
      </c>
      <c r="AG585" s="78" t="str">
        <f>VLOOKUP(Indicador!E501,[1]Diccionario!C$1:AC$150,27,0)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85" s="78">
        <v>1</v>
      </c>
      <c r="AI585" s="78">
        <v>1</v>
      </c>
      <c r="AJ585" s="78"/>
      <c r="AK585" s="78" t="s">
        <v>319</v>
      </c>
    </row>
    <row r="586" spans="1:37" ht="18.75" customHeight="1" x14ac:dyDescent="0.25">
      <c r="A586" s="11">
        <v>2025</v>
      </c>
      <c r="B586" s="12" t="s">
        <v>53</v>
      </c>
      <c r="C586" s="15" t="s">
        <v>351</v>
      </c>
      <c r="D586" s="39">
        <v>45933.093777812501</v>
      </c>
      <c r="E586" s="15" t="s">
        <v>352</v>
      </c>
      <c r="F586" s="15" t="s">
        <v>101</v>
      </c>
      <c r="G586" s="15" t="s">
        <v>353</v>
      </c>
      <c r="H586" s="15" t="s">
        <v>354</v>
      </c>
      <c r="I586" s="15" t="s">
        <v>78</v>
      </c>
      <c r="J586" s="15" t="s">
        <v>355</v>
      </c>
      <c r="K586" s="15" t="s">
        <v>45</v>
      </c>
      <c r="L586" s="17">
        <f>VLOOKUP(E586,[1]Diccionario!C$2:AC$150,22,0)</f>
        <v>1456222952</v>
      </c>
      <c r="M586" s="18">
        <f>VLOOKUP(E586,[1]Diccionario!C$2:AC$150,24,0)</f>
        <v>45880</v>
      </c>
      <c r="N586" s="19">
        <f>VLOOKUP(E586,[1]Diccionario!C$2:AC$150,25,0)</f>
        <v>46662</v>
      </c>
      <c r="O586" s="20">
        <f>VLOOKUP(E586,[1]Diccionario!C$2:AC$150,26,0)</f>
        <v>25.7</v>
      </c>
      <c r="P586" s="20">
        <f t="shared" si="108"/>
        <v>-24.7</v>
      </c>
      <c r="Q586" s="20">
        <v>1</v>
      </c>
      <c r="R586" s="15">
        <v>26</v>
      </c>
      <c r="S586" s="21">
        <v>0.05</v>
      </c>
      <c r="T586" s="21">
        <v>0.05</v>
      </c>
      <c r="U586" s="22"/>
      <c r="V586" s="24"/>
      <c r="W586" s="24">
        <f t="shared" si="109"/>
        <v>72811147.600000009</v>
      </c>
      <c r="X586" s="24">
        <f t="shared" si="110"/>
        <v>72811147.600000009</v>
      </c>
      <c r="Y586" s="24">
        <f t="shared" si="111"/>
        <v>72811147.600000009</v>
      </c>
      <c r="Z586" s="24">
        <f t="shared" si="112"/>
        <v>0</v>
      </c>
      <c r="AA586" s="25" t="str">
        <f t="shared" si="113"/>
        <v>No se realizó gasto en este corte</v>
      </c>
      <c r="AB586" s="26" t="str">
        <f t="shared" si="114"/>
        <v>Costo eficiente: se está gastando menos de lo presupuestado</v>
      </c>
      <c r="AC586" s="26">
        <f t="shared" si="115"/>
        <v>1</v>
      </c>
      <c r="AD586" s="26" t="str">
        <f t="shared" si="116"/>
        <v>Proyecto a tiempo según lo planificado</v>
      </c>
      <c r="AE586" s="27">
        <f t="shared" si="117"/>
        <v>0</v>
      </c>
      <c r="AF586" s="27">
        <f t="shared" si="118"/>
        <v>-1456222952</v>
      </c>
      <c r="AG586" s="28" t="str">
        <f>VLOOKUP(Indicador!E349,[1]Diccionario!C$1:AC$150,27,0)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86" s="28">
        <v>1</v>
      </c>
      <c r="AI586" s="28">
        <v>1</v>
      </c>
      <c r="AJ586" s="28"/>
      <c r="AK586" s="28"/>
    </row>
    <row r="587" spans="1:37" ht="18.75" customHeight="1" x14ac:dyDescent="0.25">
      <c r="A587" s="11">
        <v>2025</v>
      </c>
      <c r="B587" s="12" t="s">
        <v>54</v>
      </c>
      <c r="C587" s="15" t="s">
        <v>351</v>
      </c>
      <c r="D587" s="39">
        <v>45933.093777812501</v>
      </c>
      <c r="E587" s="15" t="s">
        <v>352</v>
      </c>
      <c r="F587" s="15" t="s">
        <v>101</v>
      </c>
      <c r="G587" s="15" t="s">
        <v>353</v>
      </c>
      <c r="H587" s="15" t="s">
        <v>354</v>
      </c>
      <c r="I587" s="15" t="s">
        <v>78</v>
      </c>
      <c r="J587" s="15" t="s">
        <v>355</v>
      </c>
      <c r="K587" s="15" t="s">
        <v>45</v>
      </c>
      <c r="L587" s="17">
        <f>VLOOKUP(E587,[1]Diccionario!C$2:AC$150,22,0)</f>
        <v>1456222952</v>
      </c>
      <c r="M587" s="18">
        <f>VLOOKUP(E587,[1]Diccionario!C$2:AC$150,24,0)</f>
        <v>45880</v>
      </c>
      <c r="N587" s="19">
        <f>VLOOKUP(E587,[1]Diccionario!C$2:AC$150,25,0)</f>
        <v>46662</v>
      </c>
      <c r="O587" s="20">
        <f>VLOOKUP(E587,[1]Diccionario!C$2:AC$150,26,0)</f>
        <v>25.7</v>
      </c>
      <c r="P587" s="20">
        <f t="shared" si="108"/>
        <v>-23.7</v>
      </c>
      <c r="Q587" s="20">
        <v>2</v>
      </c>
      <c r="R587" s="15">
        <v>26</v>
      </c>
      <c r="S587" s="21">
        <v>0.08</v>
      </c>
      <c r="T587" s="21">
        <v>0.08</v>
      </c>
      <c r="U587" s="22"/>
      <c r="V587" s="24"/>
      <c r="W587" s="24">
        <f t="shared" si="109"/>
        <v>116497836.16</v>
      </c>
      <c r="X587" s="24">
        <f t="shared" si="110"/>
        <v>116497836.16</v>
      </c>
      <c r="Y587" s="24">
        <f t="shared" si="111"/>
        <v>116497836.16</v>
      </c>
      <c r="Z587" s="24">
        <f t="shared" si="112"/>
        <v>0</v>
      </c>
      <c r="AA587" s="25" t="str">
        <f t="shared" si="113"/>
        <v>No se realizó gasto en este corte</v>
      </c>
      <c r="AB587" s="26" t="str">
        <f t="shared" si="114"/>
        <v>Costo eficiente: se está gastando menos de lo presupuestado</v>
      </c>
      <c r="AC587" s="26">
        <f t="shared" si="115"/>
        <v>1</v>
      </c>
      <c r="AD587" s="26" t="str">
        <f t="shared" si="116"/>
        <v>Proyecto a tiempo según lo planificado</v>
      </c>
      <c r="AE587" s="27">
        <f t="shared" si="117"/>
        <v>0</v>
      </c>
      <c r="AF587" s="27">
        <f t="shared" si="118"/>
        <v>-1456222952</v>
      </c>
      <c r="AG587" s="28" t="str">
        <f>VLOOKUP(Indicador!E350,[1]Diccionario!C$1:AC$150,27,0)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87" s="28">
        <v>1</v>
      </c>
      <c r="AI587" s="28">
        <v>1</v>
      </c>
      <c r="AJ587" s="28"/>
      <c r="AK587" s="28"/>
    </row>
    <row r="588" spans="1:37" ht="18.75" customHeight="1" x14ac:dyDescent="0.25">
      <c r="A588" s="11">
        <v>2025</v>
      </c>
      <c r="B588" s="12" t="s">
        <v>55</v>
      </c>
      <c r="C588" s="15" t="s">
        <v>351</v>
      </c>
      <c r="D588" s="39">
        <v>45933.093777812501</v>
      </c>
      <c r="E588" s="15" t="s">
        <v>352</v>
      </c>
      <c r="F588" s="15" t="s">
        <v>101</v>
      </c>
      <c r="G588" s="15" t="s">
        <v>353</v>
      </c>
      <c r="H588" s="15" t="s">
        <v>354</v>
      </c>
      <c r="I588" s="15" t="s">
        <v>78</v>
      </c>
      <c r="J588" s="15" t="s">
        <v>355</v>
      </c>
      <c r="K588" s="15" t="s">
        <v>45</v>
      </c>
      <c r="L588" s="17">
        <f>VLOOKUP(E588,[1]Diccionario!C$2:AC$150,22,0)</f>
        <v>1456222952</v>
      </c>
      <c r="M588" s="18">
        <f>VLOOKUP(E588,[1]Diccionario!C$2:AC$150,24,0)</f>
        <v>45880</v>
      </c>
      <c r="N588" s="19">
        <f>VLOOKUP(E588,[1]Diccionario!C$2:AC$150,25,0)</f>
        <v>46662</v>
      </c>
      <c r="O588" s="20">
        <f>VLOOKUP(E588,[1]Diccionario!C$2:AC$150,26,0)</f>
        <v>25.7</v>
      </c>
      <c r="P588" s="20">
        <f t="shared" si="108"/>
        <v>-22.7</v>
      </c>
      <c r="Q588" s="20">
        <v>3</v>
      </c>
      <c r="R588" s="15">
        <v>26</v>
      </c>
      <c r="S588" s="21">
        <v>0.11</v>
      </c>
      <c r="T588" s="21">
        <v>0.11</v>
      </c>
      <c r="U588" s="22"/>
      <c r="V588" s="24"/>
      <c r="W588" s="24">
        <f t="shared" si="109"/>
        <v>160184524.72</v>
      </c>
      <c r="X588" s="24">
        <f t="shared" si="110"/>
        <v>160184524.72</v>
      </c>
      <c r="Y588" s="24">
        <f t="shared" si="111"/>
        <v>160184524.72</v>
      </c>
      <c r="Z588" s="24">
        <f t="shared" si="112"/>
        <v>0</v>
      </c>
      <c r="AA588" s="25" t="str">
        <f t="shared" si="113"/>
        <v>No se realizó gasto en este corte</v>
      </c>
      <c r="AB588" s="26" t="str">
        <f t="shared" si="114"/>
        <v>Costo eficiente: se está gastando menos de lo presupuestado</v>
      </c>
      <c r="AC588" s="26">
        <f t="shared" si="115"/>
        <v>1</v>
      </c>
      <c r="AD588" s="26" t="str">
        <f t="shared" si="116"/>
        <v>Proyecto a tiempo según lo planificado</v>
      </c>
      <c r="AE588" s="27">
        <f t="shared" si="117"/>
        <v>0</v>
      </c>
      <c r="AF588" s="27">
        <f t="shared" si="118"/>
        <v>-1456222952</v>
      </c>
      <c r="AG588" s="28" t="str">
        <f>VLOOKUP(Indicador!E351,[1]Diccionario!C$1:AC$150,27,0)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88" s="28">
        <v>1</v>
      </c>
      <c r="AI588" s="28">
        <v>1</v>
      </c>
      <c r="AJ588" s="28"/>
      <c r="AK588" s="28"/>
    </row>
    <row r="589" spans="1:37" ht="18.75" customHeight="1" x14ac:dyDescent="0.25">
      <c r="A589" s="11">
        <v>2025</v>
      </c>
      <c r="B589" s="12" t="s">
        <v>56</v>
      </c>
      <c r="C589" s="15" t="s">
        <v>351</v>
      </c>
      <c r="D589" s="39">
        <v>45933.093777812501</v>
      </c>
      <c r="E589" s="15" t="s">
        <v>352</v>
      </c>
      <c r="F589" s="15" t="s">
        <v>101</v>
      </c>
      <c r="G589" s="15" t="s">
        <v>353</v>
      </c>
      <c r="H589" s="15" t="s">
        <v>354</v>
      </c>
      <c r="I589" s="15" t="s">
        <v>78</v>
      </c>
      <c r="J589" s="15" t="s">
        <v>355</v>
      </c>
      <c r="K589" s="15" t="s">
        <v>45</v>
      </c>
      <c r="L589" s="17">
        <f>VLOOKUP(E589,[1]Diccionario!C$2:AC$150,22,0)</f>
        <v>1456222952</v>
      </c>
      <c r="M589" s="18">
        <f>VLOOKUP(E589,[1]Diccionario!C$2:AC$150,24,0)</f>
        <v>45880</v>
      </c>
      <c r="N589" s="19">
        <f>VLOOKUP(E589,[1]Diccionario!C$2:AC$150,25,0)</f>
        <v>46662</v>
      </c>
      <c r="O589" s="20">
        <f>VLOOKUP(E589,[1]Diccionario!C$2:AC$150,26,0)</f>
        <v>25.7</v>
      </c>
      <c r="P589" s="20">
        <f t="shared" si="108"/>
        <v>-21.7</v>
      </c>
      <c r="Q589" s="20">
        <v>4</v>
      </c>
      <c r="R589" s="15">
        <v>26</v>
      </c>
      <c r="S589" s="21">
        <v>0.14000000000000001</v>
      </c>
      <c r="T589" s="21">
        <v>0.14000000000000001</v>
      </c>
      <c r="U589" s="22"/>
      <c r="V589" s="24"/>
      <c r="W589" s="24">
        <f t="shared" si="109"/>
        <v>203871213.28000003</v>
      </c>
      <c r="X589" s="24">
        <f t="shared" si="110"/>
        <v>203871213.28000003</v>
      </c>
      <c r="Y589" s="24">
        <f t="shared" si="111"/>
        <v>203871213.28000003</v>
      </c>
      <c r="Z589" s="24">
        <f t="shared" si="112"/>
        <v>0</v>
      </c>
      <c r="AA589" s="25" t="str">
        <f t="shared" si="113"/>
        <v>No se realizó gasto en este corte</v>
      </c>
      <c r="AB589" s="26" t="str">
        <f t="shared" si="114"/>
        <v>Costo eficiente: se está gastando menos de lo presupuestado</v>
      </c>
      <c r="AC589" s="26">
        <f t="shared" si="115"/>
        <v>1</v>
      </c>
      <c r="AD589" s="26" t="str">
        <f t="shared" si="116"/>
        <v>Proyecto a tiempo según lo planificado</v>
      </c>
      <c r="AE589" s="27">
        <f t="shared" si="117"/>
        <v>0</v>
      </c>
      <c r="AF589" s="27">
        <f t="shared" si="118"/>
        <v>-1456222952</v>
      </c>
      <c r="AG589" s="28" t="str">
        <f>VLOOKUP(Indicador!E352,[1]Diccionario!C$1:AC$150,27,0)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89" s="28">
        <v>1</v>
      </c>
      <c r="AI589" s="28">
        <v>1</v>
      </c>
      <c r="AJ589" s="28"/>
      <c r="AK589" s="28"/>
    </row>
    <row r="590" spans="1:37" ht="18.75" customHeight="1" x14ac:dyDescent="0.25">
      <c r="A590" s="11">
        <v>2025</v>
      </c>
      <c r="B590" s="12" t="s">
        <v>57</v>
      </c>
      <c r="C590" s="15" t="s">
        <v>351</v>
      </c>
      <c r="D590" s="39">
        <v>45933.093777812501</v>
      </c>
      <c r="E590" s="15" t="s">
        <v>352</v>
      </c>
      <c r="F590" s="15" t="s">
        <v>101</v>
      </c>
      <c r="G590" s="15" t="s">
        <v>353</v>
      </c>
      <c r="H590" s="15" t="s">
        <v>354</v>
      </c>
      <c r="I590" s="15" t="s">
        <v>78</v>
      </c>
      <c r="J590" s="15" t="s">
        <v>355</v>
      </c>
      <c r="K590" s="15" t="s">
        <v>45</v>
      </c>
      <c r="L590" s="17">
        <f>VLOOKUP(E590,[1]Diccionario!C$2:AC$150,22,0)</f>
        <v>1456222952</v>
      </c>
      <c r="M590" s="18">
        <f>VLOOKUP(E590,[1]Diccionario!C$2:AC$150,24,0)</f>
        <v>45880</v>
      </c>
      <c r="N590" s="19">
        <f>VLOOKUP(E590,[1]Diccionario!C$2:AC$150,25,0)</f>
        <v>46662</v>
      </c>
      <c r="O590" s="20">
        <f>VLOOKUP(E590,[1]Diccionario!C$2:AC$150,26,0)</f>
        <v>25.7</v>
      </c>
      <c r="P590" s="20">
        <f t="shared" si="108"/>
        <v>-20.7</v>
      </c>
      <c r="Q590" s="20">
        <v>5</v>
      </c>
      <c r="R590" s="15">
        <v>26</v>
      </c>
      <c r="S590" s="21">
        <v>0.17</v>
      </c>
      <c r="T590" s="21">
        <v>0.17</v>
      </c>
      <c r="U590" s="22"/>
      <c r="V590" s="24"/>
      <c r="W590" s="24">
        <f t="shared" si="109"/>
        <v>247557901.84</v>
      </c>
      <c r="X590" s="24">
        <f t="shared" si="110"/>
        <v>247557901.84</v>
      </c>
      <c r="Y590" s="24">
        <f t="shared" si="111"/>
        <v>247557901.84</v>
      </c>
      <c r="Z590" s="24">
        <f t="shared" si="112"/>
        <v>0</v>
      </c>
      <c r="AA590" s="25" t="str">
        <f t="shared" si="113"/>
        <v>No se realizó gasto en este corte</v>
      </c>
      <c r="AB590" s="26" t="str">
        <f t="shared" si="114"/>
        <v>Costo eficiente: se está gastando menos de lo presupuestado</v>
      </c>
      <c r="AC590" s="26">
        <f t="shared" si="115"/>
        <v>1</v>
      </c>
      <c r="AD590" s="26" t="str">
        <f t="shared" si="116"/>
        <v>Proyecto a tiempo según lo planificado</v>
      </c>
      <c r="AE590" s="27">
        <f t="shared" si="117"/>
        <v>0</v>
      </c>
      <c r="AF590" s="27">
        <f t="shared" si="118"/>
        <v>-1456222952</v>
      </c>
      <c r="AG590" s="28" t="str">
        <f>VLOOKUP(Indicador!E353,[1]Diccionario!C$1:AC$150,27,0)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90" s="28">
        <v>1</v>
      </c>
      <c r="AI590" s="28">
        <v>1</v>
      </c>
      <c r="AJ590" s="28"/>
      <c r="AK590" s="28"/>
    </row>
    <row r="591" spans="1:37" ht="18.75" customHeight="1" x14ac:dyDescent="0.25">
      <c r="A591" s="11">
        <v>2026</v>
      </c>
      <c r="B591" s="12" t="s">
        <v>37</v>
      </c>
      <c r="C591" s="15" t="s">
        <v>351</v>
      </c>
      <c r="D591" s="39">
        <v>45933.093777812501</v>
      </c>
      <c r="E591" s="15" t="s">
        <v>352</v>
      </c>
      <c r="F591" s="15" t="s">
        <v>101</v>
      </c>
      <c r="G591" s="15" t="s">
        <v>353</v>
      </c>
      <c r="H591" s="15" t="s">
        <v>354</v>
      </c>
      <c r="I591" s="15" t="s">
        <v>78</v>
      </c>
      <c r="J591" s="15" t="s">
        <v>355</v>
      </c>
      <c r="K591" s="15" t="s">
        <v>45</v>
      </c>
      <c r="L591" s="17">
        <f>VLOOKUP(E591,[1]Diccionario!C$2:AC$150,22,0)</f>
        <v>1456222952</v>
      </c>
      <c r="M591" s="18">
        <f>VLOOKUP(E591,[1]Diccionario!C$2:AC$150,24,0)</f>
        <v>45880</v>
      </c>
      <c r="N591" s="19">
        <f>VLOOKUP(E591,[1]Diccionario!C$2:AC$150,25,0)</f>
        <v>46662</v>
      </c>
      <c r="O591" s="20">
        <f>VLOOKUP(E591,[1]Diccionario!C$2:AC$150,26,0)</f>
        <v>25.7</v>
      </c>
      <c r="P591" s="20">
        <f t="shared" si="108"/>
        <v>-19.7</v>
      </c>
      <c r="Q591" s="20">
        <v>6</v>
      </c>
      <c r="R591" s="15">
        <v>26</v>
      </c>
      <c r="S591" s="21">
        <v>0.2</v>
      </c>
      <c r="T591" s="21">
        <v>0.2</v>
      </c>
      <c r="U591" s="22"/>
      <c r="V591" s="24"/>
      <c r="W591" s="24">
        <f t="shared" si="109"/>
        <v>291244590.40000004</v>
      </c>
      <c r="X591" s="24">
        <f t="shared" si="110"/>
        <v>291244590.40000004</v>
      </c>
      <c r="Y591" s="24">
        <f t="shared" si="111"/>
        <v>291244590.40000004</v>
      </c>
      <c r="Z591" s="24">
        <f t="shared" si="112"/>
        <v>0</v>
      </c>
      <c r="AA591" s="25" t="str">
        <f t="shared" si="113"/>
        <v>No se realizó gasto en este corte</v>
      </c>
      <c r="AB591" s="26" t="str">
        <f t="shared" si="114"/>
        <v>Costo eficiente: se está gastando menos de lo presupuestado</v>
      </c>
      <c r="AC591" s="26">
        <f t="shared" si="115"/>
        <v>1</v>
      </c>
      <c r="AD591" s="26" t="str">
        <f t="shared" si="116"/>
        <v>Proyecto a tiempo según lo planificado</v>
      </c>
      <c r="AE591" s="27">
        <f t="shared" si="117"/>
        <v>0</v>
      </c>
      <c r="AF591" s="27">
        <f t="shared" si="118"/>
        <v>-1456222952</v>
      </c>
      <c r="AG591" s="28" t="str">
        <f>VLOOKUP(Indicador!E354,[1]Diccionario!C$1:AC$150,27,0)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91" s="28">
        <v>1</v>
      </c>
      <c r="AI591" s="28">
        <v>1</v>
      </c>
      <c r="AJ591" s="28"/>
      <c r="AK591" s="28"/>
    </row>
    <row r="592" spans="1:37" ht="18.75" customHeight="1" x14ac:dyDescent="0.25">
      <c r="A592" s="11">
        <v>2026</v>
      </c>
      <c r="B592" s="12" t="s">
        <v>47</v>
      </c>
      <c r="C592" s="15" t="s">
        <v>351</v>
      </c>
      <c r="D592" s="39">
        <v>45933.093777812501</v>
      </c>
      <c r="E592" s="15" t="s">
        <v>352</v>
      </c>
      <c r="F592" s="15" t="s">
        <v>101</v>
      </c>
      <c r="G592" s="15" t="s">
        <v>353</v>
      </c>
      <c r="H592" s="15" t="s">
        <v>354</v>
      </c>
      <c r="I592" s="15" t="s">
        <v>78</v>
      </c>
      <c r="J592" s="15" t="s">
        <v>355</v>
      </c>
      <c r="K592" s="15" t="s">
        <v>45</v>
      </c>
      <c r="L592" s="17">
        <f>VLOOKUP(E592,[1]Diccionario!C$2:AC$150,22,0)</f>
        <v>1456222952</v>
      </c>
      <c r="M592" s="18">
        <f>VLOOKUP(E592,[1]Diccionario!C$2:AC$150,24,0)</f>
        <v>45880</v>
      </c>
      <c r="N592" s="19">
        <f>VLOOKUP(E592,[1]Diccionario!C$2:AC$150,25,0)</f>
        <v>46662</v>
      </c>
      <c r="O592" s="20">
        <f>VLOOKUP(E592,[1]Diccionario!C$2:AC$150,26,0)</f>
        <v>25.7</v>
      </c>
      <c r="P592" s="20">
        <f t="shared" si="108"/>
        <v>-18.7</v>
      </c>
      <c r="Q592" s="20">
        <v>7</v>
      </c>
      <c r="R592" s="15">
        <v>26</v>
      </c>
      <c r="S592" s="21">
        <v>0.23</v>
      </c>
      <c r="T592" s="21"/>
      <c r="U592" s="22"/>
      <c r="V592" s="24"/>
      <c r="W592" s="24">
        <f t="shared" si="109"/>
        <v>0</v>
      </c>
      <c r="X592" s="24">
        <f t="shared" si="110"/>
        <v>334931278.96000004</v>
      </c>
      <c r="Y592" s="24">
        <f t="shared" si="111"/>
        <v>0</v>
      </c>
      <c r="Z592" s="24">
        <f t="shared" si="112"/>
        <v>-334931278.96000004</v>
      </c>
      <c r="AA592" s="25" t="str">
        <f t="shared" si="113"/>
        <v>No se realizó gasto en este corte</v>
      </c>
      <c r="AB592" s="26" t="str">
        <f t="shared" si="114"/>
        <v>Costo eficiente: se está gastando menos de lo presupuestado</v>
      </c>
      <c r="AC592" s="26">
        <f t="shared" si="115"/>
        <v>0</v>
      </c>
      <c r="AD592" s="26" t="str">
        <f t="shared" si="116"/>
        <v>Sin Línea Base</v>
      </c>
      <c r="AE592" s="27">
        <f t="shared" si="117"/>
        <v>0</v>
      </c>
      <c r="AF592" s="27">
        <f t="shared" si="118"/>
        <v>-1456222952</v>
      </c>
      <c r="AG592" s="28" t="str">
        <f>VLOOKUP(Indicador!E355,[1]Diccionario!C$1:AC$150,27,0)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92" s="28">
        <v>1</v>
      </c>
      <c r="AI592" s="28">
        <v>1</v>
      </c>
      <c r="AJ592" s="28"/>
      <c r="AK592" s="28"/>
    </row>
    <row r="593" spans="1:37" ht="18.75" customHeight="1" x14ac:dyDescent="0.25">
      <c r="A593" s="11">
        <v>2026</v>
      </c>
      <c r="B593" s="12" t="s">
        <v>48</v>
      </c>
      <c r="C593" s="15" t="s">
        <v>351</v>
      </c>
      <c r="D593" s="39">
        <v>45933.093777812501</v>
      </c>
      <c r="E593" s="15" t="s">
        <v>352</v>
      </c>
      <c r="F593" s="15" t="s">
        <v>101</v>
      </c>
      <c r="G593" s="15" t="s">
        <v>353</v>
      </c>
      <c r="H593" s="15" t="s">
        <v>354</v>
      </c>
      <c r="I593" s="15" t="s">
        <v>78</v>
      </c>
      <c r="J593" s="15" t="s">
        <v>355</v>
      </c>
      <c r="K593" s="15" t="s">
        <v>45</v>
      </c>
      <c r="L593" s="17">
        <f>VLOOKUP(E593,[1]Diccionario!C$2:AC$150,22,0)</f>
        <v>1456222952</v>
      </c>
      <c r="M593" s="18">
        <f>VLOOKUP(E593,[1]Diccionario!C$2:AC$150,24,0)</f>
        <v>45880</v>
      </c>
      <c r="N593" s="19">
        <f>VLOOKUP(E593,[1]Diccionario!C$2:AC$150,25,0)</f>
        <v>46662</v>
      </c>
      <c r="O593" s="20">
        <f>VLOOKUP(E593,[1]Diccionario!C$2:AC$150,26,0)</f>
        <v>25.7</v>
      </c>
      <c r="P593" s="20">
        <f t="shared" si="108"/>
        <v>-17.7</v>
      </c>
      <c r="Q593" s="20">
        <v>8</v>
      </c>
      <c r="R593" s="15">
        <v>26</v>
      </c>
      <c r="S593" s="21">
        <v>0.26</v>
      </c>
      <c r="T593" s="21"/>
      <c r="U593" s="22"/>
      <c r="V593" s="24"/>
      <c r="W593" s="24">
        <f t="shared" si="109"/>
        <v>0</v>
      </c>
      <c r="X593" s="24">
        <f t="shared" si="110"/>
        <v>378617967.52000004</v>
      </c>
      <c r="Y593" s="24">
        <f t="shared" si="111"/>
        <v>0</v>
      </c>
      <c r="Z593" s="24">
        <f t="shared" si="112"/>
        <v>-378617967.52000004</v>
      </c>
      <c r="AA593" s="25" t="str">
        <f t="shared" si="113"/>
        <v>No se realizó gasto en este corte</v>
      </c>
      <c r="AB593" s="26" t="str">
        <f t="shared" si="114"/>
        <v>Costo eficiente: se está gastando menos de lo presupuestado</v>
      </c>
      <c r="AC593" s="26">
        <f t="shared" si="115"/>
        <v>0</v>
      </c>
      <c r="AD593" s="26" t="str">
        <f t="shared" si="116"/>
        <v>Sin Línea Base</v>
      </c>
      <c r="AE593" s="27">
        <f t="shared" si="117"/>
        <v>0</v>
      </c>
      <c r="AF593" s="27">
        <f t="shared" si="118"/>
        <v>-1456222952</v>
      </c>
      <c r="AG593" s="28" t="str">
        <f>VLOOKUP(Indicador!E356,[1]Diccionario!C$1:AC$150,27,0)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93" s="28">
        <v>1</v>
      </c>
      <c r="AI593" s="28">
        <v>1</v>
      </c>
      <c r="AJ593" s="28"/>
      <c r="AK593" s="28"/>
    </row>
    <row r="594" spans="1:37" ht="18.75" customHeight="1" x14ac:dyDescent="0.25">
      <c r="A594" s="11">
        <v>2026</v>
      </c>
      <c r="B594" s="12" t="s">
        <v>49</v>
      </c>
      <c r="C594" s="15" t="s">
        <v>351</v>
      </c>
      <c r="D594" s="39">
        <v>45933.093777812501</v>
      </c>
      <c r="E594" s="15" t="s">
        <v>352</v>
      </c>
      <c r="F594" s="15" t="s">
        <v>101</v>
      </c>
      <c r="G594" s="15" t="s">
        <v>353</v>
      </c>
      <c r="H594" s="15" t="s">
        <v>354</v>
      </c>
      <c r="I594" s="15" t="s">
        <v>78</v>
      </c>
      <c r="J594" s="15" t="s">
        <v>355</v>
      </c>
      <c r="K594" s="15" t="s">
        <v>45</v>
      </c>
      <c r="L594" s="17">
        <f>VLOOKUP(E594,[1]Diccionario!C$2:AC$150,22,0)</f>
        <v>1456222952</v>
      </c>
      <c r="M594" s="18">
        <f>VLOOKUP(E594,[1]Diccionario!C$2:AC$150,24,0)</f>
        <v>45880</v>
      </c>
      <c r="N594" s="19">
        <f>VLOOKUP(E594,[1]Diccionario!C$2:AC$150,25,0)</f>
        <v>46662</v>
      </c>
      <c r="O594" s="20">
        <f>VLOOKUP(E594,[1]Diccionario!C$2:AC$150,26,0)</f>
        <v>25.7</v>
      </c>
      <c r="P594" s="20">
        <f t="shared" si="108"/>
        <v>-16.7</v>
      </c>
      <c r="Q594" s="20">
        <v>9</v>
      </c>
      <c r="R594" s="15">
        <v>26</v>
      </c>
      <c r="S594" s="21">
        <v>0.28999999999999998</v>
      </c>
      <c r="T594" s="21"/>
      <c r="U594" s="22"/>
      <c r="V594" s="24"/>
      <c r="W594" s="24">
        <f t="shared" si="109"/>
        <v>0</v>
      </c>
      <c r="X594" s="24">
        <f t="shared" si="110"/>
        <v>422304656.07999998</v>
      </c>
      <c r="Y594" s="24">
        <f t="shared" si="111"/>
        <v>0</v>
      </c>
      <c r="Z594" s="24">
        <f t="shared" si="112"/>
        <v>-422304656.07999998</v>
      </c>
      <c r="AA594" s="25" t="str">
        <f t="shared" si="113"/>
        <v>No se realizó gasto en este corte</v>
      </c>
      <c r="AB594" s="26" t="str">
        <f t="shared" si="114"/>
        <v>Costo eficiente: se está gastando menos de lo presupuestado</v>
      </c>
      <c r="AC594" s="26">
        <f t="shared" si="115"/>
        <v>0</v>
      </c>
      <c r="AD594" s="26" t="str">
        <f t="shared" si="116"/>
        <v>Sin Línea Base</v>
      </c>
      <c r="AE594" s="27">
        <f t="shared" si="117"/>
        <v>0</v>
      </c>
      <c r="AF594" s="27">
        <f t="shared" si="118"/>
        <v>-1456222952</v>
      </c>
      <c r="AG594" s="28" t="str">
        <f>VLOOKUP(Indicador!E357,[1]Diccionario!C$1:AC$150,27,0)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94" s="28">
        <v>1</v>
      </c>
      <c r="AI594" s="28">
        <v>1</v>
      </c>
      <c r="AJ594" s="28"/>
      <c r="AK594" s="28"/>
    </row>
    <row r="595" spans="1:37" ht="18.75" customHeight="1" x14ac:dyDescent="0.25">
      <c r="A595" s="11">
        <v>2026</v>
      </c>
      <c r="B595" s="12" t="s">
        <v>50</v>
      </c>
      <c r="C595" s="15" t="s">
        <v>351</v>
      </c>
      <c r="D595" s="39">
        <v>45933.093777812501</v>
      </c>
      <c r="E595" s="15" t="s">
        <v>352</v>
      </c>
      <c r="F595" s="15" t="s">
        <v>101</v>
      </c>
      <c r="G595" s="15" t="s">
        <v>353</v>
      </c>
      <c r="H595" s="15" t="s">
        <v>354</v>
      </c>
      <c r="I595" s="15" t="s">
        <v>78</v>
      </c>
      <c r="J595" s="15" t="s">
        <v>355</v>
      </c>
      <c r="K595" s="15" t="s">
        <v>45</v>
      </c>
      <c r="L595" s="17">
        <f>VLOOKUP(E595,[1]Diccionario!C$2:AC$150,22,0)</f>
        <v>1456222952</v>
      </c>
      <c r="M595" s="18">
        <f>VLOOKUP(E595,[1]Diccionario!C$2:AC$150,24,0)</f>
        <v>45880</v>
      </c>
      <c r="N595" s="19">
        <f>VLOOKUP(E595,[1]Diccionario!C$2:AC$150,25,0)</f>
        <v>46662</v>
      </c>
      <c r="O595" s="20">
        <f>VLOOKUP(E595,[1]Diccionario!C$2:AC$150,26,0)</f>
        <v>25.7</v>
      </c>
      <c r="P595" s="20">
        <f t="shared" si="108"/>
        <v>-15.7</v>
      </c>
      <c r="Q595" s="20">
        <v>10</v>
      </c>
      <c r="R595" s="15">
        <v>26</v>
      </c>
      <c r="S595" s="21">
        <v>0.32</v>
      </c>
      <c r="T595" s="21"/>
      <c r="U595" s="22"/>
      <c r="V595" s="24"/>
      <c r="W595" s="24">
        <f t="shared" si="109"/>
        <v>0</v>
      </c>
      <c r="X595" s="24">
        <f t="shared" si="110"/>
        <v>465991344.63999999</v>
      </c>
      <c r="Y595" s="24">
        <f t="shared" si="111"/>
        <v>0</v>
      </c>
      <c r="Z595" s="24">
        <f t="shared" si="112"/>
        <v>-465991344.63999999</v>
      </c>
      <c r="AA595" s="25" t="str">
        <f t="shared" si="113"/>
        <v>No se realizó gasto en este corte</v>
      </c>
      <c r="AB595" s="26" t="str">
        <f t="shared" si="114"/>
        <v>Costo eficiente: se está gastando menos de lo presupuestado</v>
      </c>
      <c r="AC595" s="26">
        <f t="shared" si="115"/>
        <v>0</v>
      </c>
      <c r="AD595" s="26" t="str">
        <f t="shared" si="116"/>
        <v>Sin Línea Base</v>
      </c>
      <c r="AE595" s="27">
        <f t="shared" si="117"/>
        <v>0</v>
      </c>
      <c r="AF595" s="27">
        <f t="shared" si="118"/>
        <v>-1456222952</v>
      </c>
      <c r="AG595" s="28" t="str">
        <f>VLOOKUP(Indicador!E358,[1]Diccionario!C$1:AC$150,27,0)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95" s="28">
        <v>1</v>
      </c>
      <c r="AI595" s="28">
        <v>1</v>
      </c>
      <c r="AJ595" s="28"/>
      <c r="AK595" s="28"/>
    </row>
    <row r="596" spans="1:37" ht="18.75" customHeight="1" x14ac:dyDescent="0.25">
      <c r="A596" s="11">
        <v>2026</v>
      </c>
      <c r="B596" s="12" t="s">
        <v>51</v>
      </c>
      <c r="C596" s="15" t="s">
        <v>351</v>
      </c>
      <c r="D596" s="39">
        <v>45933.093777812501</v>
      </c>
      <c r="E596" s="15" t="s">
        <v>352</v>
      </c>
      <c r="F596" s="15" t="s">
        <v>101</v>
      </c>
      <c r="G596" s="15" t="s">
        <v>353</v>
      </c>
      <c r="H596" s="15" t="s">
        <v>354</v>
      </c>
      <c r="I596" s="15" t="s">
        <v>78</v>
      </c>
      <c r="J596" s="15" t="s">
        <v>355</v>
      </c>
      <c r="K596" s="15" t="s">
        <v>45</v>
      </c>
      <c r="L596" s="17">
        <f>VLOOKUP(E596,[1]Diccionario!C$2:AC$150,22,0)</f>
        <v>1456222952</v>
      </c>
      <c r="M596" s="18">
        <f>VLOOKUP(E596,[1]Diccionario!C$2:AC$150,24,0)</f>
        <v>45880</v>
      </c>
      <c r="N596" s="19">
        <f>VLOOKUP(E596,[1]Diccionario!C$2:AC$150,25,0)</f>
        <v>46662</v>
      </c>
      <c r="O596" s="20">
        <f>VLOOKUP(E596,[1]Diccionario!C$2:AC$150,26,0)</f>
        <v>25.7</v>
      </c>
      <c r="P596" s="20">
        <f t="shared" si="108"/>
        <v>-14.7</v>
      </c>
      <c r="Q596" s="20">
        <v>11</v>
      </c>
      <c r="R596" s="15">
        <v>26</v>
      </c>
      <c r="S596" s="21">
        <v>0.35</v>
      </c>
      <c r="T596" s="21"/>
      <c r="U596" s="22"/>
      <c r="V596" s="24"/>
      <c r="W596" s="24">
        <f t="shared" si="109"/>
        <v>0</v>
      </c>
      <c r="X596" s="24">
        <f t="shared" si="110"/>
        <v>509678033.19999999</v>
      </c>
      <c r="Y596" s="24">
        <f t="shared" si="111"/>
        <v>0</v>
      </c>
      <c r="Z596" s="24">
        <f t="shared" si="112"/>
        <v>-509678033.19999999</v>
      </c>
      <c r="AA596" s="25" t="str">
        <f t="shared" si="113"/>
        <v>No se realizó gasto en este corte</v>
      </c>
      <c r="AB596" s="26" t="str">
        <f t="shared" si="114"/>
        <v>Costo eficiente: se está gastando menos de lo presupuestado</v>
      </c>
      <c r="AC596" s="26">
        <f t="shared" si="115"/>
        <v>0</v>
      </c>
      <c r="AD596" s="26" t="str">
        <f t="shared" si="116"/>
        <v>Sin Línea Base</v>
      </c>
      <c r="AE596" s="27">
        <f t="shared" si="117"/>
        <v>0</v>
      </c>
      <c r="AF596" s="27">
        <f t="shared" si="118"/>
        <v>-1456222952</v>
      </c>
      <c r="AG596" s="28" t="str">
        <f>VLOOKUP(Indicador!E359,[1]Diccionario!C$1:AC$150,27,0)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96" s="28">
        <v>1</v>
      </c>
      <c r="AI596" s="28">
        <v>1</v>
      </c>
      <c r="AJ596" s="28"/>
      <c r="AK596" s="28"/>
    </row>
    <row r="597" spans="1:37" ht="18.75" customHeight="1" x14ac:dyDescent="0.25">
      <c r="A597" s="11">
        <v>2026</v>
      </c>
      <c r="B597" s="12" t="s">
        <v>52</v>
      </c>
      <c r="C597" s="15" t="s">
        <v>351</v>
      </c>
      <c r="D597" s="39">
        <v>45933.093777812501</v>
      </c>
      <c r="E597" s="15" t="s">
        <v>352</v>
      </c>
      <c r="F597" s="15" t="s">
        <v>101</v>
      </c>
      <c r="G597" s="15" t="s">
        <v>353</v>
      </c>
      <c r="H597" s="15" t="s">
        <v>354</v>
      </c>
      <c r="I597" s="15" t="s">
        <v>78</v>
      </c>
      <c r="J597" s="15" t="s">
        <v>355</v>
      </c>
      <c r="K597" s="15" t="s">
        <v>45</v>
      </c>
      <c r="L597" s="17">
        <f>VLOOKUP(E597,[1]Diccionario!C$2:AC$150,22,0)</f>
        <v>1456222952</v>
      </c>
      <c r="M597" s="18">
        <f>VLOOKUP(E597,[1]Diccionario!C$2:AC$150,24,0)</f>
        <v>45880</v>
      </c>
      <c r="N597" s="19">
        <f>VLOOKUP(E597,[1]Diccionario!C$2:AC$150,25,0)</f>
        <v>46662</v>
      </c>
      <c r="O597" s="20">
        <f>VLOOKUP(E597,[1]Diccionario!C$2:AC$150,26,0)</f>
        <v>25.7</v>
      </c>
      <c r="P597" s="20">
        <f t="shared" si="108"/>
        <v>-13.7</v>
      </c>
      <c r="Q597" s="20">
        <v>12</v>
      </c>
      <c r="R597" s="15">
        <v>26</v>
      </c>
      <c r="S597" s="21">
        <v>0.44</v>
      </c>
      <c r="T597" s="21"/>
      <c r="U597" s="22"/>
      <c r="V597" s="24"/>
      <c r="W597" s="24">
        <f t="shared" si="109"/>
        <v>0</v>
      </c>
      <c r="X597" s="24">
        <f t="shared" si="110"/>
        <v>640738098.88</v>
      </c>
      <c r="Y597" s="24">
        <f t="shared" si="111"/>
        <v>0</v>
      </c>
      <c r="Z597" s="24">
        <f t="shared" si="112"/>
        <v>-640738098.88</v>
      </c>
      <c r="AA597" s="25" t="str">
        <f t="shared" si="113"/>
        <v>No se realizó gasto en este corte</v>
      </c>
      <c r="AB597" s="26" t="str">
        <f t="shared" si="114"/>
        <v>Costo eficiente: se está gastando menos de lo presupuestado</v>
      </c>
      <c r="AC597" s="26">
        <f t="shared" si="115"/>
        <v>0</v>
      </c>
      <c r="AD597" s="26" t="str">
        <f t="shared" si="116"/>
        <v>Sin Línea Base</v>
      </c>
      <c r="AE597" s="27">
        <f t="shared" si="117"/>
        <v>0</v>
      </c>
      <c r="AF597" s="27">
        <f t="shared" si="118"/>
        <v>-1456222952</v>
      </c>
      <c r="AG597" s="28" t="str">
        <f>VLOOKUP(Indicador!E360,[1]Diccionario!C$1:AC$150,27,0)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97" s="28">
        <v>1</v>
      </c>
      <c r="AI597" s="28">
        <v>1</v>
      </c>
      <c r="AJ597" s="28"/>
      <c r="AK597" s="28"/>
    </row>
    <row r="598" spans="1:37" ht="18.75" customHeight="1" x14ac:dyDescent="0.25">
      <c r="A598" s="11">
        <v>2026</v>
      </c>
      <c r="B598" s="12" t="s">
        <v>53</v>
      </c>
      <c r="C598" s="15" t="s">
        <v>351</v>
      </c>
      <c r="D598" s="39">
        <v>45933.093777812501</v>
      </c>
      <c r="E598" s="15" t="s">
        <v>352</v>
      </c>
      <c r="F598" s="15" t="s">
        <v>101</v>
      </c>
      <c r="G598" s="15" t="s">
        <v>353</v>
      </c>
      <c r="H598" s="15" t="s">
        <v>354</v>
      </c>
      <c r="I598" s="15" t="s">
        <v>78</v>
      </c>
      <c r="J598" s="15" t="s">
        <v>355</v>
      </c>
      <c r="K598" s="15" t="s">
        <v>45</v>
      </c>
      <c r="L598" s="17">
        <f>VLOOKUP(E598,[1]Diccionario!C$2:AC$150,22,0)</f>
        <v>1456222952</v>
      </c>
      <c r="M598" s="18">
        <f>VLOOKUP(E598,[1]Diccionario!C$2:AC$150,24,0)</f>
        <v>45880</v>
      </c>
      <c r="N598" s="19">
        <f>VLOOKUP(E598,[1]Diccionario!C$2:AC$150,25,0)</f>
        <v>46662</v>
      </c>
      <c r="O598" s="20">
        <f>VLOOKUP(E598,[1]Diccionario!C$2:AC$150,26,0)</f>
        <v>25.7</v>
      </c>
      <c r="P598" s="20">
        <f t="shared" si="108"/>
        <v>-12.7</v>
      </c>
      <c r="Q598" s="20">
        <v>13</v>
      </c>
      <c r="R598" s="15">
        <v>26</v>
      </c>
      <c r="S598" s="21">
        <v>0.5</v>
      </c>
      <c r="T598" s="21"/>
      <c r="U598" s="22"/>
      <c r="V598" s="24"/>
      <c r="W598" s="24">
        <f t="shared" si="109"/>
        <v>0</v>
      </c>
      <c r="X598" s="24">
        <f t="shared" si="110"/>
        <v>728111476</v>
      </c>
      <c r="Y598" s="24">
        <f t="shared" si="111"/>
        <v>0</v>
      </c>
      <c r="Z598" s="24">
        <f t="shared" si="112"/>
        <v>-728111476</v>
      </c>
      <c r="AA598" s="25" t="str">
        <f t="shared" si="113"/>
        <v>No se realizó gasto en este corte</v>
      </c>
      <c r="AB598" s="26" t="str">
        <f t="shared" si="114"/>
        <v>Costo eficiente: se está gastando menos de lo presupuestado</v>
      </c>
      <c r="AC598" s="26">
        <f t="shared" si="115"/>
        <v>0</v>
      </c>
      <c r="AD598" s="26" t="str">
        <f t="shared" si="116"/>
        <v>Sin Línea Base</v>
      </c>
      <c r="AE598" s="27">
        <f t="shared" si="117"/>
        <v>0</v>
      </c>
      <c r="AF598" s="27">
        <f t="shared" si="118"/>
        <v>-1456222952</v>
      </c>
      <c r="AG598" s="28" t="str">
        <f>VLOOKUP(Indicador!E361,[1]Diccionario!C$1:AC$150,27,0)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98" s="28">
        <v>1</v>
      </c>
      <c r="AI598" s="28">
        <v>1</v>
      </c>
      <c r="AJ598" s="28"/>
      <c r="AK598" s="28"/>
    </row>
    <row r="599" spans="1:37" ht="18.75" customHeight="1" x14ac:dyDescent="0.25">
      <c r="A599" s="11">
        <v>2026</v>
      </c>
      <c r="B599" s="12" t="s">
        <v>54</v>
      </c>
      <c r="C599" s="15" t="s">
        <v>351</v>
      </c>
      <c r="D599" s="39">
        <v>45933.093777812501</v>
      </c>
      <c r="E599" s="15" t="s">
        <v>352</v>
      </c>
      <c r="F599" s="15" t="s">
        <v>101</v>
      </c>
      <c r="G599" s="15" t="s">
        <v>353</v>
      </c>
      <c r="H599" s="15" t="s">
        <v>354</v>
      </c>
      <c r="I599" s="15" t="s">
        <v>78</v>
      </c>
      <c r="J599" s="15" t="s">
        <v>355</v>
      </c>
      <c r="K599" s="15" t="s">
        <v>45</v>
      </c>
      <c r="L599" s="17">
        <f>VLOOKUP(E599,[1]Diccionario!C$2:AC$150,22,0)</f>
        <v>1456222952</v>
      </c>
      <c r="M599" s="18">
        <f>VLOOKUP(E599,[1]Diccionario!C$2:AC$150,24,0)</f>
        <v>45880</v>
      </c>
      <c r="N599" s="19">
        <f>VLOOKUP(E599,[1]Diccionario!C$2:AC$150,25,0)</f>
        <v>46662</v>
      </c>
      <c r="O599" s="20">
        <f>VLOOKUP(E599,[1]Diccionario!C$2:AC$150,26,0)</f>
        <v>25.7</v>
      </c>
      <c r="P599" s="20">
        <f t="shared" si="108"/>
        <v>-11.7</v>
      </c>
      <c r="Q599" s="20">
        <v>14</v>
      </c>
      <c r="R599" s="15">
        <v>26</v>
      </c>
      <c r="S599" s="21">
        <v>0.54</v>
      </c>
      <c r="T599" s="21"/>
      <c r="U599" s="22"/>
      <c r="V599" s="24"/>
      <c r="W599" s="24">
        <f t="shared" si="109"/>
        <v>0</v>
      </c>
      <c r="X599" s="24">
        <f t="shared" si="110"/>
        <v>786360394.08000004</v>
      </c>
      <c r="Y599" s="24">
        <f t="shared" si="111"/>
        <v>0</v>
      </c>
      <c r="Z599" s="24">
        <f t="shared" si="112"/>
        <v>-786360394.08000004</v>
      </c>
      <c r="AA599" s="25" t="str">
        <f t="shared" si="113"/>
        <v>No se realizó gasto en este corte</v>
      </c>
      <c r="AB599" s="26" t="str">
        <f t="shared" si="114"/>
        <v>Costo eficiente: se está gastando menos de lo presupuestado</v>
      </c>
      <c r="AC599" s="26">
        <f t="shared" si="115"/>
        <v>0</v>
      </c>
      <c r="AD599" s="26" t="str">
        <f t="shared" si="116"/>
        <v>Sin Línea Base</v>
      </c>
      <c r="AE599" s="27">
        <f t="shared" si="117"/>
        <v>0</v>
      </c>
      <c r="AF599" s="27">
        <f t="shared" si="118"/>
        <v>-1456222952</v>
      </c>
      <c r="AG599" s="28" t="str">
        <f>VLOOKUP(Indicador!E362,[1]Diccionario!C$1:AC$150,27,0)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99" s="28">
        <v>1</v>
      </c>
      <c r="AI599" s="28">
        <v>1</v>
      </c>
      <c r="AJ599" s="28"/>
      <c r="AK599" s="28"/>
    </row>
    <row r="600" spans="1:37" ht="18.75" customHeight="1" x14ac:dyDescent="0.25">
      <c r="A600" s="11">
        <v>2026</v>
      </c>
      <c r="B600" s="12" t="s">
        <v>55</v>
      </c>
      <c r="C600" s="15" t="s">
        <v>351</v>
      </c>
      <c r="D600" s="39">
        <v>45933.093777812501</v>
      </c>
      <c r="E600" s="15" t="s">
        <v>352</v>
      </c>
      <c r="F600" s="15" t="s">
        <v>101</v>
      </c>
      <c r="G600" s="15" t="s">
        <v>353</v>
      </c>
      <c r="H600" s="15" t="s">
        <v>354</v>
      </c>
      <c r="I600" s="15" t="s">
        <v>78</v>
      </c>
      <c r="J600" s="15" t="s">
        <v>355</v>
      </c>
      <c r="K600" s="15" t="s">
        <v>45</v>
      </c>
      <c r="L600" s="17">
        <f>VLOOKUP(E600,[1]Diccionario!C$2:AC$150,22,0)</f>
        <v>1456222952</v>
      </c>
      <c r="M600" s="18">
        <f>VLOOKUP(E600,[1]Diccionario!C$2:AC$150,24,0)</f>
        <v>45880</v>
      </c>
      <c r="N600" s="19">
        <f>VLOOKUP(E600,[1]Diccionario!C$2:AC$150,25,0)</f>
        <v>46662</v>
      </c>
      <c r="O600" s="20">
        <f>VLOOKUP(E600,[1]Diccionario!C$2:AC$150,26,0)</f>
        <v>25.7</v>
      </c>
      <c r="P600" s="20">
        <f t="shared" si="108"/>
        <v>-10.7</v>
      </c>
      <c r="Q600" s="20">
        <v>15</v>
      </c>
      <c r="R600" s="15">
        <v>26</v>
      </c>
      <c r="S600" s="21">
        <v>0.56999999999999995</v>
      </c>
      <c r="T600" s="21"/>
      <c r="U600" s="22"/>
      <c r="V600" s="24"/>
      <c r="W600" s="24">
        <f t="shared" si="109"/>
        <v>0</v>
      </c>
      <c r="X600" s="24">
        <f t="shared" si="110"/>
        <v>830047082.63999999</v>
      </c>
      <c r="Y600" s="24">
        <f t="shared" si="111"/>
        <v>0</v>
      </c>
      <c r="Z600" s="24">
        <f t="shared" si="112"/>
        <v>-830047082.63999999</v>
      </c>
      <c r="AA600" s="25" t="str">
        <f t="shared" si="113"/>
        <v>No se realizó gasto en este corte</v>
      </c>
      <c r="AB600" s="26" t="str">
        <f t="shared" si="114"/>
        <v>Costo eficiente: se está gastando menos de lo presupuestado</v>
      </c>
      <c r="AC600" s="26">
        <f t="shared" si="115"/>
        <v>0</v>
      </c>
      <c r="AD600" s="26" t="str">
        <f t="shared" si="116"/>
        <v>Sin Línea Base</v>
      </c>
      <c r="AE600" s="27">
        <f t="shared" si="117"/>
        <v>0</v>
      </c>
      <c r="AF600" s="27">
        <f t="shared" si="118"/>
        <v>-1456222952</v>
      </c>
      <c r="AG600" s="28" t="str">
        <f>VLOOKUP(Indicador!E363,[1]Diccionario!C$1:AC$150,27,0)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00" s="28">
        <v>1</v>
      </c>
      <c r="AI600" s="28">
        <v>1</v>
      </c>
      <c r="AJ600" s="28"/>
      <c r="AK600" s="28"/>
    </row>
    <row r="601" spans="1:37" ht="18.75" customHeight="1" x14ac:dyDescent="0.25">
      <c r="A601" s="11">
        <v>2026</v>
      </c>
      <c r="B601" s="12" t="s">
        <v>56</v>
      </c>
      <c r="C601" s="15" t="s">
        <v>351</v>
      </c>
      <c r="D601" s="39">
        <v>45933.093777812501</v>
      </c>
      <c r="E601" s="15" t="s">
        <v>352</v>
      </c>
      <c r="F601" s="15" t="s">
        <v>101</v>
      </c>
      <c r="G601" s="15" t="s">
        <v>353</v>
      </c>
      <c r="H601" s="15" t="s">
        <v>354</v>
      </c>
      <c r="I601" s="15" t="s">
        <v>78</v>
      </c>
      <c r="J601" s="15" t="s">
        <v>355</v>
      </c>
      <c r="K601" s="15" t="s">
        <v>45</v>
      </c>
      <c r="L601" s="17">
        <f>VLOOKUP(E601,[1]Diccionario!C$2:AC$150,22,0)</f>
        <v>1456222952</v>
      </c>
      <c r="M601" s="18">
        <f>VLOOKUP(E601,[1]Diccionario!C$2:AC$150,24,0)</f>
        <v>45880</v>
      </c>
      <c r="N601" s="19">
        <f>VLOOKUP(E601,[1]Diccionario!C$2:AC$150,25,0)</f>
        <v>46662</v>
      </c>
      <c r="O601" s="20">
        <f>VLOOKUP(E601,[1]Diccionario!C$2:AC$150,26,0)</f>
        <v>25.7</v>
      </c>
      <c r="P601" s="20">
        <f t="shared" si="108"/>
        <v>-9.6999999999999993</v>
      </c>
      <c r="Q601" s="20">
        <v>16</v>
      </c>
      <c r="R601" s="15">
        <v>26</v>
      </c>
      <c r="S601" s="21">
        <v>0.60666666666666702</v>
      </c>
      <c r="T601" s="21"/>
      <c r="U601" s="22"/>
      <c r="V601" s="24"/>
      <c r="W601" s="24">
        <f t="shared" si="109"/>
        <v>0</v>
      </c>
      <c r="X601" s="24">
        <f t="shared" si="110"/>
        <v>883441924.21333385</v>
      </c>
      <c r="Y601" s="24">
        <f t="shared" si="111"/>
        <v>0</v>
      </c>
      <c r="Z601" s="24">
        <f t="shared" si="112"/>
        <v>-883441924.21333385</v>
      </c>
      <c r="AA601" s="25" t="str">
        <f t="shared" si="113"/>
        <v>No se realizó gasto en este corte</v>
      </c>
      <c r="AB601" s="26" t="str">
        <f t="shared" si="114"/>
        <v>Costo eficiente: se está gastando menos de lo presupuestado</v>
      </c>
      <c r="AC601" s="26">
        <f t="shared" si="115"/>
        <v>0</v>
      </c>
      <c r="AD601" s="26" t="str">
        <f t="shared" si="116"/>
        <v>Sin Línea Base</v>
      </c>
      <c r="AE601" s="27">
        <f t="shared" si="117"/>
        <v>0</v>
      </c>
      <c r="AF601" s="27">
        <f t="shared" si="118"/>
        <v>-1456222952</v>
      </c>
      <c r="AG601" s="28" t="str">
        <f>VLOOKUP(Indicador!E364,[1]Diccionario!C$1:AC$150,27,0)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01" s="28">
        <v>1</v>
      </c>
      <c r="AI601" s="28">
        <v>1</v>
      </c>
      <c r="AJ601" s="28"/>
      <c r="AK601" s="28"/>
    </row>
    <row r="602" spans="1:37" ht="18.75" customHeight="1" x14ac:dyDescent="0.25">
      <c r="A602" s="11">
        <v>2026</v>
      </c>
      <c r="B602" s="12" t="s">
        <v>57</v>
      </c>
      <c r="C602" s="15" t="s">
        <v>351</v>
      </c>
      <c r="D602" s="39">
        <v>45933.093777812501</v>
      </c>
      <c r="E602" s="15" t="s">
        <v>352</v>
      </c>
      <c r="F602" s="15" t="s">
        <v>101</v>
      </c>
      <c r="G602" s="15" t="s">
        <v>353</v>
      </c>
      <c r="H602" s="15" t="s">
        <v>354</v>
      </c>
      <c r="I602" s="15" t="s">
        <v>78</v>
      </c>
      <c r="J602" s="15" t="s">
        <v>355</v>
      </c>
      <c r="K602" s="15" t="s">
        <v>45</v>
      </c>
      <c r="L602" s="17">
        <f>VLOOKUP(E602,[1]Diccionario!C$2:AC$150,22,0)</f>
        <v>1456222952</v>
      </c>
      <c r="M602" s="18">
        <f>VLOOKUP(E602,[1]Diccionario!C$2:AC$150,24,0)</f>
        <v>45880</v>
      </c>
      <c r="N602" s="19">
        <f>VLOOKUP(E602,[1]Diccionario!C$2:AC$150,25,0)</f>
        <v>46662</v>
      </c>
      <c r="O602" s="20">
        <f>VLOOKUP(E602,[1]Diccionario!C$2:AC$150,26,0)</f>
        <v>25.7</v>
      </c>
      <c r="P602" s="20">
        <f t="shared" si="108"/>
        <v>-8.6999999999999993</v>
      </c>
      <c r="Q602" s="20">
        <v>17</v>
      </c>
      <c r="R602" s="15">
        <v>26</v>
      </c>
      <c r="S602" s="21">
        <v>0.64166666666666705</v>
      </c>
      <c r="T602" s="21"/>
      <c r="U602" s="22"/>
      <c r="V602" s="24"/>
      <c r="W602" s="24">
        <f t="shared" si="109"/>
        <v>0</v>
      </c>
      <c r="X602" s="24">
        <f t="shared" si="110"/>
        <v>934409727.5333339</v>
      </c>
      <c r="Y602" s="24">
        <f t="shared" si="111"/>
        <v>0</v>
      </c>
      <c r="Z602" s="24">
        <f t="shared" si="112"/>
        <v>-934409727.5333339</v>
      </c>
      <c r="AA602" s="25" t="str">
        <f t="shared" si="113"/>
        <v>No se realizó gasto en este corte</v>
      </c>
      <c r="AB602" s="26" t="str">
        <f t="shared" si="114"/>
        <v>Costo eficiente: se está gastando menos de lo presupuestado</v>
      </c>
      <c r="AC602" s="26">
        <f t="shared" si="115"/>
        <v>0</v>
      </c>
      <c r="AD602" s="26" t="str">
        <f t="shared" si="116"/>
        <v>Sin Línea Base</v>
      </c>
      <c r="AE602" s="27">
        <f t="shared" si="117"/>
        <v>0</v>
      </c>
      <c r="AF602" s="27">
        <f t="shared" si="118"/>
        <v>-1456222952</v>
      </c>
      <c r="AG602" s="28" t="str">
        <f>VLOOKUP(Indicador!E365,[1]Diccionario!C$1:AC$150,27,0)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02" s="28">
        <v>1</v>
      </c>
      <c r="AI602" s="28">
        <v>1</v>
      </c>
      <c r="AJ602" s="28"/>
      <c r="AK602" s="28"/>
    </row>
    <row r="603" spans="1:37" ht="18.75" customHeight="1" x14ac:dyDescent="0.25">
      <c r="A603" s="11">
        <v>2027</v>
      </c>
      <c r="B603" s="12" t="s">
        <v>37</v>
      </c>
      <c r="C603" s="15" t="s">
        <v>351</v>
      </c>
      <c r="D603" s="39">
        <v>45933.093777812501</v>
      </c>
      <c r="E603" s="15" t="s">
        <v>352</v>
      </c>
      <c r="F603" s="15" t="s">
        <v>101</v>
      </c>
      <c r="G603" s="15" t="s">
        <v>353</v>
      </c>
      <c r="H603" s="15" t="s">
        <v>354</v>
      </c>
      <c r="I603" s="15" t="s">
        <v>78</v>
      </c>
      <c r="J603" s="15" t="s">
        <v>355</v>
      </c>
      <c r="K603" s="15" t="s">
        <v>45</v>
      </c>
      <c r="L603" s="17">
        <f>VLOOKUP(E603,[1]Diccionario!C$2:AC$150,22,0)</f>
        <v>1456222952</v>
      </c>
      <c r="M603" s="18">
        <f>VLOOKUP(E603,[1]Diccionario!C$2:AC$150,24,0)</f>
        <v>45880</v>
      </c>
      <c r="N603" s="19">
        <f>VLOOKUP(E603,[1]Diccionario!C$2:AC$150,25,0)</f>
        <v>46662</v>
      </c>
      <c r="O603" s="20">
        <f>VLOOKUP(E603,[1]Diccionario!C$2:AC$150,26,0)</f>
        <v>25.7</v>
      </c>
      <c r="P603" s="20">
        <f t="shared" si="108"/>
        <v>-7.6999999999999993</v>
      </c>
      <c r="Q603" s="20">
        <v>18</v>
      </c>
      <c r="R603" s="15">
        <v>26</v>
      </c>
      <c r="S603" s="21">
        <v>0.67666666666666697</v>
      </c>
      <c r="T603" s="21"/>
      <c r="U603" s="22"/>
      <c r="V603" s="24"/>
      <c r="W603" s="24">
        <f t="shared" si="109"/>
        <v>0</v>
      </c>
      <c r="X603" s="24">
        <f t="shared" si="110"/>
        <v>985377530.85333383</v>
      </c>
      <c r="Y603" s="24">
        <f t="shared" si="111"/>
        <v>0</v>
      </c>
      <c r="Z603" s="24">
        <f t="shared" si="112"/>
        <v>-985377530.85333383</v>
      </c>
      <c r="AA603" s="25" t="str">
        <f t="shared" si="113"/>
        <v>No se realizó gasto en este corte</v>
      </c>
      <c r="AB603" s="26" t="str">
        <f t="shared" si="114"/>
        <v>Costo eficiente: se está gastando menos de lo presupuestado</v>
      </c>
      <c r="AC603" s="26">
        <f t="shared" si="115"/>
        <v>0</v>
      </c>
      <c r="AD603" s="26" t="str">
        <f t="shared" si="116"/>
        <v>Sin Línea Base</v>
      </c>
      <c r="AE603" s="27">
        <f t="shared" si="117"/>
        <v>0</v>
      </c>
      <c r="AF603" s="27">
        <f t="shared" si="118"/>
        <v>-1456222952</v>
      </c>
      <c r="AG603" s="28" t="str">
        <f>VLOOKUP(Indicador!E366,[1]Diccionario!C$1:AC$150,27,0)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03" s="28">
        <v>1</v>
      </c>
      <c r="AI603" s="28">
        <v>1</v>
      </c>
      <c r="AJ603" s="28"/>
      <c r="AK603" s="28"/>
    </row>
    <row r="604" spans="1:37" ht="18.75" customHeight="1" x14ac:dyDescent="0.25">
      <c r="A604" s="11">
        <v>2027</v>
      </c>
      <c r="B604" s="12" t="s">
        <v>47</v>
      </c>
      <c r="C604" s="15" t="s">
        <v>351</v>
      </c>
      <c r="D604" s="39">
        <v>45933.093777812501</v>
      </c>
      <c r="E604" s="15" t="s">
        <v>352</v>
      </c>
      <c r="F604" s="15" t="s">
        <v>101</v>
      </c>
      <c r="G604" s="15" t="s">
        <v>353</v>
      </c>
      <c r="H604" s="15" t="s">
        <v>354</v>
      </c>
      <c r="I604" s="15" t="s">
        <v>78</v>
      </c>
      <c r="J604" s="15" t="s">
        <v>355</v>
      </c>
      <c r="K604" s="15" t="s">
        <v>45</v>
      </c>
      <c r="L604" s="17">
        <f>VLOOKUP(E604,[1]Diccionario!C$2:AC$150,22,0)</f>
        <v>1456222952</v>
      </c>
      <c r="M604" s="18">
        <f>VLOOKUP(E604,[1]Diccionario!C$2:AC$150,24,0)</f>
        <v>45880</v>
      </c>
      <c r="N604" s="19">
        <f>VLOOKUP(E604,[1]Diccionario!C$2:AC$150,25,0)</f>
        <v>46662</v>
      </c>
      <c r="O604" s="20">
        <f>VLOOKUP(E604,[1]Diccionario!C$2:AC$150,26,0)</f>
        <v>25.7</v>
      </c>
      <c r="P604" s="20">
        <f t="shared" si="108"/>
        <v>-6.6999999999999993</v>
      </c>
      <c r="Q604" s="20">
        <v>19</v>
      </c>
      <c r="R604" s="15">
        <v>26</v>
      </c>
      <c r="S604" s="21">
        <v>0.711666666666667</v>
      </c>
      <c r="T604" s="21"/>
      <c r="U604" s="22"/>
      <c r="V604" s="24"/>
      <c r="W604" s="24">
        <f t="shared" si="109"/>
        <v>0</v>
      </c>
      <c r="X604" s="24">
        <f t="shared" si="110"/>
        <v>1036345334.1733338</v>
      </c>
      <c r="Y604" s="24">
        <f t="shared" si="111"/>
        <v>0</v>
      </c>
      <c r="Z604" s="24">
        <f t="shared" si="112"/>
        <v>-1036345334.1733338</v>
      </c>
      <c r="AA604" s="25" t="str">
        <f t="shared" si="113"/>
        <v>No se realizó gasto en este corte</v>
      </c>
      <c r="AB604" s="26" t="str">
        <f t="shared" si="114"/>
        <v>Costo eficiente: se está gastando menos de lo presupuestado</v>
      </c>
      <c r="AC604" s="26">
        <f t="shared" si="115"/>
        <v>0</v>
      </c>
      <c r="AD604" s="26" t="str">
        <f t="shared" si="116"/>
        <v>Sin Línea Base</v>
      </c>
      <c r="AE604" s="27">
        <f t="shared" si="117"/>
        <v>0</v>
      </c>
      <c r="AF604" s="27">
        <f t="shared" si="118"/>
        <v>-1456222952</v>
      </c>
      <c r="AG604" s="28" t="str">
        <f>VLOOKUP(Indicador!E367,[1]Diccionario!C$1:AC$150,27,0)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04" s="28">
        <v>1</v>
      </c>
      <c r="AI604" s="28">
        <v>1</v>
      </c>
      <c r="AJ604" s="28"/>
      <c r="AK604" s="28"/>
    </row>
    <row r="605" spans="1:37" ht="18.75" customHeight="1" x14ac:dyDescent="0.25">
      <c r="A605" s="11">
        <v>2027</v>
      </c>
      <c r="B605" s="12" t="s">
        <v>48</v>
      </c>
      <c r="C605" s="15" t="s">
        <v>351</v>
      </c>
      <c r="D605" s="39">
        <v>45933.093777812501</v>
      </c>
      <c r="E605" s="15" t="s">
        <v>352</v>
      </c>
      <c r="F605" s="15" t="s">
        <v>101</v>
      </c>
      <c r="G605" s="15" t="s">
        <v>353</v>
      </c>
      <c r="H605" s="15" t="s">
        <v>354</v>
      </c>
      <c r="I605" s="15" t="s">
        <v>78</v>
      </c>
      <c r="J605" s="15" t="s">
        <v>355</v>
      </c>
      <c r="K605" s="15" t="s">
        <v>45</v>
      </c>
      <c r="L605" s="17">
        <f>VLOOKUP(E605,[1]Diccionario!C$2:AC$150,22,0)</f>
        <v>1456222952</v>
      </c>
      <c r="M605" s="18">
        <f>VLOOKUP(E605,[1]Diccionario!C$2:AC$150,24,0)</f>
        <v>45880</v>
      </c>
      <c r="N605" s="19">
        <f>VLOOKUP(E605,[1]Diccionario!C$2:AC$150,25,0)</f>
        <v>46662</v>
      </c>
      <c r="O605" s="20">
        <f>VLOOKUP(E605,[1]Diccionario!C$2:AC$150,26,0)</f>
        <v>25.7</v>
      </c>
      <c r="P605" s="20">
        <f t="shared" si="108"/>
        <v>-5.6999999999999993</v>
      </c>
      <c r="Q605" s="20">
        <v>20</v>
      </c>
      <c r="R605" s="15">
        <v>26</v>
      </c>
      <c r="S605" s="21">
        <v>0.74666666666666703</v>
      </c>
      <c r="T605" s="21"/>
      <c r="U605" s="22"/>
      <c r="V605" s="24"/>
      <c r="W605" s="24">
        <f t="shared" si="109"/>
        <v>0</v>
      </c>
      <c r="X605" s="24">
        <f t="shared" si="110"/>
        <v>1087313137.4933338</v>
      </c>
      <c r="Y605" s="24">
        <f t="shared" si="111"/>
        <v>0</v>
      </c>
      <c r="Z605" s="24">
        <f t="shared" si="112"/>
        <v>-1087313137.4933338</v>
      </c>
      <c r="AA605" s="25" t="str">
        <f t="shared" si="113"/>
        <v>No se realizó gasto en este corte</v>
      </c>
      <c r="AB605" s="26" t="str">
        <f t="shared" si="114"/>
        <v>Costo eficiente: se está gastando menos de lo presupuestado</v>
      </c>
      <c r="AC605" s="26">
        <f t="shared" si="115"/>
        <v>0</v>
      </c>
      <c r="AD605" s="26" t="str">
        <f t="shared" si="116"/>
        <v>Sin Línea Base</v>
      </c>
      <c r="AE605" s="27">
        <f t="shared" si="117"/>
        <v>0</v>
      </c>
      <c r="AF605" s="27">
        <f t="shared" si="118"/>
        <v>-1456222952</v>
      </c>
      <c r="AG605" s="28" t="str">
        <f>VLOOKUP(Indicador!E368,[1]Diccionario!C$1:AC$150,27,0)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05" s="28">
        <v>1</v>
      </c>
      <c r="AI605" s="28">
        <v>1</v>
      </c>
      <c r="AJ605" s="28"/>
      <c r="AK605" s="28"/>
    </row>
    <row r="606" spans="1:37" ht="18.75" customHeight="1" x14ac:dyDescent="0.25">
      <c r="A606" s="11">
        <v>2027</v>
      </c>
      <c r="B606" s="12" t="s">
        <v>49</v>
      </c>
      <c r="C606" s="15" t="s">
        <v>351</v>
      </c>
      <c r="D606" s="39">
        <v>45933.093777812501</v>
      </c>
      <c r="E606" s="15" t="s">
        <v>352</v>
      </c>
      <c r="F606" s="15" t="s">
        <v>101</v>
      </c>
      <c r="G606" s="15" t="s">
        <v>353</v>
      </c>
      <c r="H606" s="15" t="s">
        <v>354</v>
      </c>
      <c r="I606" s="15" t="s">
        <v>78</v>
      </c>
      <c r="J606" s="15" t="s">
        <v>355</v>
      </c>
      <c r="K606" s="15" t="s">
        <v>45</v>
      </c>
      <c r="L606" s="17">
        <f>VLOOKUP(E606,[1]Diccionario!C$2:AC$150,22,0)</f>
        <v>1456222952</v>
      </c>
      <c r="M606" s="18">
        <f>VLOOKUP(E606,[1]Diccionario!C$2:AC$150,24,0)</f>
        <v>45880</v>
      </c>
      <c r="N606" s="19">
        <f>VLOOKUP(E606,[1]Diccionario!C$2:AC$150,25,0)</f>
        <v>46662</v>
      </c>
      <c r="O606" s="20">
        <f>VLOOKUP(E606,[1]Diccionario!C$2:AC$150,26,0)</f>
        <v>25.7</v>
      </c>
      <c r="P606" s="20">
        <f t="shared" si="108"/>
        <v>-4.6999999999999993</v>
      </c>
      <c r="Q606" s="20">
        <v>21</v>
      </c>
      <c r="R606" s="15">
        <v>26</v>
      </c>
      <c r="S606" s="21">
        <v>0.78166666666666695</v>
      </c>
      <c r="T606" s="21"/>
      <c r="U606" s="22"/>
      <c r="V606" s="24"/>
      <c r="W606" s="24">
        <f t="shared" si="109"/>
        <v>0</v>
      </c>
      <c r="X606" s="24">
        <f t="shared" si="110"/>
        <v>1138280940.8133337</v>
      </c>
      <c r="Y606" s="24">
        <f t="shared" si="111"/>
        <v>0</v>
      </c>
      <c r="Z606" s="24">
        <f t="shared" si="112"/>
        <v>-1138280940.8133337</v>
      </c>
      <c r="AA606" s="25" t="str">
        <f t="shared" si="113"/>
        <v>No se realizó gasto en este corte</v>
      </c>
      <c r="AB606" s="26" t="str">
        <f t="shared" si="114"/>
        <v>Costo eficiente: se está gastando menos de lo presupuestado</v>
      </c>
      <c r="AC606" s="26">
        <f t="shared" si="115"/>
        <v>0</v>
      </c>
      <c r="AD606" s="26" t="str">
        <f t="shared" si="116"/>
        <v>Sin Línea Base</v>
      </c>
      <c r="AE606" s="27">
        <f t="shared" si="117"/>
        <v>0</v>
      </c>
      <c r="AF606" s="27">
        <f t="shared" si="118"/>
        <v>-1456222952</v>
      </c>
      <c r="AG606" s="28" t="str">
        <f>VLOOKUP(Indicador!E369,[1]Diccionario!C$1:AC$150,27,0)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06" s="28">
        <v>1</v>
      </c>
      <c r="AI606" s="28">
        <v>1</v>
      </c>
      <c r="AJ606" s="28"/>
      <c r="AK606" s="28"/>
    </row>
    <row r="607" spans="1:37" ht="18.75" customHeight="1" x14ac:dyDescent="0.25">
      <c r="A607" s="11">
        <v>2027</v>
      </c>
      <c r="B607" s="12" t="s">
        <v>50</v>
      </c>
      <c r="C607" s="15" t="s">
        <v>351</v>
      </c>
      <c r="D607" s="39">
        <v>45933.093777812501</v>
      </c>
      <c r="E607" s="15" t="s">
        <v>352</v>
      </c>
      <c r="F607" s="15" t="s">
        <v>101</v>
      </c>
      <c r="G607" s="15" t="s">
        <v>353</v>
      </c>
      <c r="H607" s="15" t="s">
        <v>354</v>
      </c>
      <c r="I607" s="15" t="s">
        <v>78</v>
      </c>
      <c r="J607" s="15" t="s">
        <v>355</v>
      </c>
      <c r="K607" s="15" t="s">
        <v>45</v>
      </c>
      <c r="L607" s="17">
        <f>VLOOKUP(E607,[1]Diccionario!C$2:AC$150,22,0)</f>
        <v>1456222952</v>
      </c>
      <c r="M607" s="18">
        <f>VLOOKUP(E607,[1]Diccionario!C$2:AC$150,24,0)</f>
        <v>45880</v>
      </c>
      <c r="N607" s="19">
        <f>VLOOKUP(E607,[1]Diccionario!C$2:AC$150,25,0)</f>
        <v>46662</v>
      </c>
      <c r="O607" s="20">
        <f>VLOOKUP(E607,[1]Diccionario!C$2:AC$150,26,0)</f>
        <v>25.7</v>
      </c>
      <c r="P607" s="20">
        <f t="shared" si="108"/>
        <v>-3.6999999999999993</v>
      </c>
      <c r="Q607" s="20">
        <v>22</v>
      </c>
      <c r="R607" s="15">
        <v>26</v>
      </c>
      <c r="S607" s="21">
        <v>0.81666666666666698</v>
      </c>
      <c r="T607" s="21"/>
      <c r="U607" s="22"/>
      <c r="V607" s="24"/>
      <c r="W607" s="24">
        <f t="shared" si="109"/>
        <v>0</v>
      </c>
      <c r="X607" s="24">
        <f t="shared" si="110"/>
        <v>1189248744.1333337</v>
      </c>
      <c r="Y607" s="24">
        <f t="shared" si="111"/>
        <v>0</v>
      </c>
      <c r="Z607" s="24">
        <f t="shared" si="112"/>
        <v>-1189248744.1333337</v>
      </c>
      <c r="AA607" s="25" t="str">
        <f t="shared" si="113"/>
        <v>No se realizó gasto en este corte</v>
      </c>
      <c r="AB607" s="26" t="str">
        <f t="shared" si="114"/>
        <v>Costo eficiente: se está gastando menos de lo presupuestado</v>
      </c>
      <c r="AC607" s="26">
        <f t="shared" si="115"/>
        <v>0</v>
      </c>
      <c r="AD607" s="26" t="str">
        <f t="shared" si="116"/>
        <v>Sin Línea Base</v>
      </c>
      <c r="AE607" s="27">
        <f t="shared" si="117"/>
        <v>0</v>
      </c>
      <c r="AF607" s="27">
        <f t="shared" si="118"/>
        <v>-1456222952</v>
      </c>
      <c r="AG607" s="28" t="str">
        <f>VLOOKUP(Indicador!E370,[1]Diccionario!C$1:AC$150,27,0)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07" s="28">
        <v>1</v>
      </c>
      <c r="AI607" s="28">
        <v>1</v>
      </c>
      <c r="AJ607" s="28"/>
      <c r="AK607" s="28"/>
    </row>
    <row r="608" spans="1:37" ht="18.75" customHeight="1" x14ac:dyDescent="0.25">
      <c r="A608" s="11">
        <v>2027</v>
      </c>
      <c r="B608" s="12" t="s">
        <v>51</v>
      </c>
      <c r="C608" s="15" t="s">
        <v>351</v>
      </c>
      <c r="D608" s="39">
        <v>45933.093777812501</v>
      </c>
      <c r="E608" s="15" t="s">
        <v>352</v>
      </c>
      <c r="F608" s="15" t="s">
        <v>101</v>
      </c>
      <c r="G608" s="15" t="s">
        <v>353</v>
      </c>
      <c r="H608" s="15" t="s">
        <v>354</v>
      </c>
      <c r="I608" s="15" t="s">
        <v>78</v>
      </c>
      <c r="J608" s="15" t="s">
        <v>355</v>
      </c>
      <c r="K608" s="15" t="s">
        <v>45</v>
      </c>
      <c r="L608" s="17">
        <f>VLOOKUP(E608,[1]Diccionario!C$2:AC$150,22,0)</f>
        <v>1456222952</v>
      </c>
      <c r="M608" s="18">
        <f>VLOOKUP(E608,[1]Diccionario!C$2:AC$150,24,0)</f>
        <v>45880</v>
      </c>
      <c r="N608" s="19">
        <f>VLOOKUP(E608,[1]Diccionario!C$2:AC$150,25,0)</f>
        <v>46662</v>
      </c>
      <c r="O608" s="20">
        <f>VLOOKUP(E608,[1]Diccionario!C$2:AC$150,26,0)</f>
        <v>25.7</v>
      </c>
      <c r="P608" s="20">
        <f t="shared" si="108"/>
        <v>-2.6999999999999993</v>
      </c>
      <c r="Q608" s="20">
        <v>23</v>
      </c>
      <c r="R608" s="15">
        <v>26</v>
      </c>
      <c r="S608" s="21">
        <v>0.85166666666666702</v>
      </c>
      <c r="T608" s="21"/>
      <c r="U608" s="22"/>
      <c r="V608" s="24"/>
      <c r="W608" s="24">
        <f t="shared" si="109"/>
        <v>0</v>
      </c>
      <c r="X608" s="24">
        <f t="shared" si="110"/>
        <v>1240216547.4533339</v>
      </c>
      <c r="Y608" s="24">
        <f t="shared" si="111"/>
        <v>0</v>
      </c>
      <c r="Z608" s="24">
        <f t="shared" si="112"/>
        <v>-1240216547.4533339</v>
      </c>
      <c r="AA608" s="25" t="str">
        <f t="shared" si="113"/>
        <v>No se realizó gasto en este corte</v>
      </c>
      <c r="AB608" s="26" t="str">
        <f t="shared" si="114"/>
        <v>Costo eficiente: se está gastando menos de lo presupuestado</v>
      </c>
      <c r="AC608" s="26">
        <f t="shared" si="115"/>
        <v>0</v>
      </c>
      <c r="AD608" s="26" t="str">
        <f t="shared" si="116"/>
        <v>Sin Línea Base</v>
      </c>
      <c r="AE608" s="27">
        <f t="shared" si="117"/>
        <v>0</v>
      </c>
      <c r="AF608" s="27">
        <f t="shared" si="118"/>
        <v>-1456222952</v>
      </c>
      <c r="AG608" s="28" t="str">
        <f>VLOOKUP(Indicador!E371,[1]Diccionario!C$1:AC$150,27,0)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08" s="28">
        <v>1</v>
      </c>
      <c r="AI608" s="28">
        <v>1</v>
      </c>
      <c r="AJ608" s="28"/>
      <c r="AK608" s="28"/>
    </row>
    <row r="609" spans="1:37" ht="18.75" customHeight="1" x14ac:dyDescent="0.25">
      <c r="A609" s="11">
        <v>2027</v>
      </c>
      <c r="B609" s="12" t="s">
        <v>52</v>
      </c>
      <c r="C609" s="15" t="s">
        <v>351</v>
      </c>
      <c r="D609" s="39">
        <v>45933.093777812501</v>
      </c>
      <c r="E609" s="15" t="s">
        <v>352</v>
      </c>
      <c r="F609" s="15" t="s">
        <v>101</v>
      </c>
      <c r="G609" s="15" t="s">
        <v>353</v>
      </c>
      <c r="H609" s="15" t="s">
        <v>354</v>
      </c>
      <c r="I609" s="15" t="s">
        <v>78</v>
      </c>
      <c r="J609" s="15" t="s">
        <v>355</v>
      </c>
      <c r="K609" s="15" t="s">
        <v>45</v>
      </c>
      <c r="L609" s="17">
        <f>VLOOKUP(E609,[1]Diccionario!C$2:AC$150,22,0)</f>
        <v>1456222952</v>
      </c>
      <c r="M609" s="18">
        <f>VLOOKUP(E609,[1]Diccionario!C$2:AC$150,24,0)</f>
        <v>45880</v>
      </c>
      <c r="N609" s="19">
        <f>VLOOKUP(E609,[1]Diccionario!C$2:AC$150,25,0)</f>
        <v>46662</v>
      </c>
      <c r="O609" s="20">
        <f>VLOOKUP(E609,[1]Diccionario!C$2:AC$150,26,0)</f>
        <v>25.7</v>
      </c>
      <c r="P609" s="20">
        <f t="shared" si="108"/>
        <v>-1.6999999999999993</v>
      </c>
      <c r="Q609" s="20">
        <v>24</v>
      </c>
      <c r="R609" s="15">
        <v>26</v>
      </c>
      <c r="S609" s="21">
        <v>0.88666666666666705</v>
      </c>
      <c r="T609" s="21"/>
      <c r="U609" s="22"/>
      <c r="V609" s="24"/>
      <c r="W609" s="24">
        <f t="shared" si="109"/>
        <v>0</v>
      </c>
      <c r="X609" s="24">
        <f t="shared" si="110"/>
        <v>1291184350.7733338</v>
      </c>
      <c r="Y609" s="24">
        <f t="shared" si="111"/>
        <v>0</v>
      </c>
      <c r="Z609" s="24">
        <f t="shared" si="112"/>
        <v>-1291184350.7733338</v>
      </c>
      <c r="AA609" s="25" t="str">
        <f t="shared" si="113"/>
        <v>No se realizó gasto en este corte</v>
      </c>
      <c r="AB609" s="26" t="str">
        <f t="shared" si="114"/>
        <v>Costo eficiente: se está gastando menos de lo presupuestado</v>
      </c>
      <c r="AC609" s="26">
        <f t="shared" si="115"/>
        <v>0</v>
      </c>
      <c r="AD609" s="26" t="str">
        <f t="shared" si="116"/>
        <v>Sin Línea Base</v>
      </c>
      <c r="AE609" s="27">
        <f t="shared" si="117"/>
        <v>0</v>
      </c>
      <c r="AF609" s="27">
        <f t="shared" si="118"/>
        <v>-1456222952</v>
      </c>
      <c r="AG609" s="28" t="str">
        <f>VLOOKUP(Indicador!E372,[1]Diccionario!C$1:AC$150,27,0)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09" s="28">
        <v>1</v>
      </c>
      <c r="AI609" s="28">
        <v>1</v>
      </c>
      <c r="AJ609" s="28"/>
      <c r="AK609" s="28"/>
    </row>
    <row r="610" spans="1:37" ht="18.75" customHeight="1" x14ac:dyDescent="0.25">
      <c r="A610" s="11">
        <v>2027</v>
      </c>
      <c r="B610" s="12" t="s">
        <v>53</v>
      </c>
      <c r="C610" s="15" t="s">
        <v>351</v>
      </c>
      <c r="D610" s="39">
        <v>45933.093777812501</v>
      </c>
      <c r="E610" s="15" t="s">
        <v>352</v>
      </c>
      <c r="F610" s="15" t="s">
        <v>101</v>
      </c>
      <c r="G610" s="15" t="s">
        <v>353</v>
      </c>
      <c r="H610" s="15" t="s">
        <v>354</v>
      </c>
      <c r="I610" s="15" t="s">
        <v>78</v>
      </c>
      <c r="J610" s="15" t="s">
        <v>355</v>
      </c>
      <c r="K610" s="15" t="s">
        <v>45</v>
      </c>
      <c r="L610" s="17">
        <f>VLOOKUP(E610,[1]Diccionario!C$2:AC$150,22,0)</f>
        <v>1456222952</v>
      </c>
      <c r="M610" s="18">
        <f>VLOOKUP(E610,[1]Diccionario!C$2:AC$150,24,0)</f>
        <v>45880</v>
      </c>
      <c r="N610" s="19">
        <f>VLOOKUP(E610,[1]Diccionario!C$2:AC$150,25,0)</f>
        <v>46662</v>
      </c>
      <c r="O610" s="20">
        <f>VLOOKUP(E610,[1]Diccionario!C$2:AC$150,26,0)</f>
        <v>25.7</v>
      </c>
      <c r="P610" s="20">
        <f t="shared" si="108"/>
        <v>-0.69999999999999929</v>
      </c>
      <c r="Q610" s="20">
        <v>25</v>
      </c>
      <c r="R610" s="15">
        <v>26</v>
      </c>
      <c r="S610" s="21">
        <v>0.92166666666666697</v>
      </c>
      <c r="T610" s="21"/>
      <c r="U610" s="22"/>
      <c r="V610" s="24"/>
      <c r="W610" s="24">
        <f t="shared" si="109"/>
        <v>0</v>
      </c>
      <c r="X610" s="24">
        <f t="shared" si="110"/>
        <v>1342152154.0933337</v>
      </c>
      <c r="Y610" s="24">
        <f t="shared" si="111"/>
        <v>0</v>
      </c>
      <c r="Z610" s="24">
        <f t="shared" si="112"/>
        <v>-1342152154.0933337</v>
      </c>
      <c r="AA610" s="25" t="str">
        <f t="shared" si="113"/>
        <v>No se realizó gasto en este corte</v>
      </c>
      <c r="AB610" s="26" t="str">
        <f t="shared" si="114"/>
        <v>Costo eficiente: se está gastando menos de lo presupuestado</v>
      </c>
      <c r="AC610" s="26">
        <f t="shared" si="115"/>
        <v>0</v>
      </c>
      <c r="AD610" s="26" t="str">
        <f t="shared" si="116"/>
        <v>Sin Línea Base</v>
      </c>
      <c r="AE610" s="27">
        <f t="shared" si="117"/>
        <v>0</v>
      </c>
      <c r="AF610" s="27">
        <f t="shared" si="118"/>
        <v>-1456222952</v>
      </c>
      <c r="AG610" s="28" t="str">
        <f>VLOOKUP(Indicador!E373,[1]Diccionario!C$1:AC$150,27,0)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10" s="28">
        <v>1</v>
      </c>
      <c r="AI610" s="28">
        <v>1</v>
      </c>
      <c r="AJ610" s="28"/>
      <c r="AK610" s="28"/>
    </row>
    <row r="611" spans="1:37" ht="18.75" customHeight="1" x14ac:dyDescent="0.25">
      <c r="A611" s="11">
        <v>2027</v>
      </c>
      <c r="B611" s="12" t="s">
        <v>54</v>
      </c>
      <c r="C611" s="15" t="s">
        <v>351</v>
      </c>
      <c r="D611" s="39">
        <v>45933.093777812501</v>
      </c>
      <c r="E611" s="15" t="s">
        <v>352</v>
      </c>
      <c r="F611" s="15" t="s">
        <v>101</v>
      </c>
      <c r="G611" s="15" t="s">
        <v>353</v>
      </c>
      <c r="H611" s="15" t="s">
        <v>354</v>
      </c>
      <c r="I611" s="15" t="s">
        <v>78</v>
      </c>
      <c r="J611" s="15" t="s">
        <v>355</v>
      </c>
      <c r="K611" s="15" t="s">
        <v>45</v>
      </c>
      <c r="L611" s="17">
        <f>VLOOKUP(E611,[1]Diccionario!C$2:AC$150,22,0)</f>
        <v>1456222952</v>
      </c>
      <c r="M611" s="18">
        <f>VLOOKUP(E611,[1]Diccionario!C$2:AC$150,24,0)</f>
        <v>45880</v>
      </c>
      <c r="N611" s="19">
        <f>VLOOKUP(E611,[1]Diccionario!C$2:AC$150,25,0)</f>
        <v>46662</v>
      </c>
      <c r="O611" s="20">
        <f>VLOOKUP(E611,[1]Diccionario!C$2:AC$150,26,0)</f>
        <v>25.7</v>
      </c>
      <c r="P611" s="20">
        <f t="shared" si="108"/>
        <v>0.30000000000000071</v>
      </c>
      <c r="Q611" s="20">
        <v>26</v>
      </c>
      <c r="R611" s="15">
        <v>26</v>
      </c>
      <c r="S611" s="21">
        <v>0.956666666666667</v>
      </c>
      <c r="T611" s="21"/>
      <c r="U611" s="22"/>
      <c r="V611" s="24"/>
      <c r="W611" s="24">
        <f t="shared" si="109"/>
        <v>0</v>
      </c>
      <c r="X611" s="24">
        <f t="shared" si="110"/>
        <v>1393119957.4133339</v>
      </c>
      <c r="Y611" s="24">
        <f t="shared" si="111"/>
        <v>0</v>
      </c>
      <c r="Z611" s="24">
        <f t="shared" si="112"/>
        <v>-1393119957.4133339</v>
      </c>
      <c r="AA611" s="25" t="str">
        <f t="shared" si="113"/>
        <v>No se realizó gasto en este corte</v>
      </c>
      <c r="AB611" s="26" t="str">
        <f t="shared" si="114"/>
        <v>Costo eficiente: se está gastando menos de lo presupuestado</v>
      </c>
      <c r="AC611" s="26">
        <f t="shared" si="115"/>
        <v>0</v>
      </c>
      <c r="AD611" s="26" t="str">
        <f t="shared" si="116"/>
        <v>Sin Línea Base</v>
      </c>
      <c r="AE611" s="27">
        <f t="shared" si="117"/>
        <v>0</v>
      </c>
      <c r="AF611" s="27">
        <f t="shared" si="118"/>
        <v>-1456222952</v>
      </c>
      <c r="AG611" s="28" t="str">
        <f>VLOOKUP(Indicador!E374,[1]Diccionario!C$1:AC$150,27,0)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11" s="28">
        <v>1</v>
      </c>
      <c r="AI611" s="28">
        <v>1</v>
      </c>
      <c r="AJ611" s="28"/>
      <c r="AK611" s="28"/>
    </row>
    <row r="612" spans="1:37" ht="18.75" customHeight="1" x14ac:dyDescent="0.25">
      <c r="A612" s="11">
        <v>2027</v>
      </c>
      <c r="B612" s="12" t="s">
        <v>55</v>
      </c>
      <c r="C612" s="15" t="s">
        <v>351</v>
      </c>
      <c r="D612" s="39">
        <v>45933.093777812501</v>
      </c>
      <c r="E612" s="15" t="s">
        <v>352</v>
      </c>
      <c r="F612" s="15" t="s">
        <v>101</v>
      </c>
      <c r="G612" s="15" t="s">
        <v>353</v>
      </c>
      <c r="H612" s="15" t="s">
        <v>354</v>
      </c>
      <c r="I612" s="15" t="s">
        <v>78</v>
      </c>
      <c r="J612" s="15" t="s">
        <v>355</v>
      </c>
      <c r="K612" s="15" t="s">
        <v>45</v>
      </c>
      <c r="L612" s="17">
        <f>VLOOKUP(E612,[1]Diccionario!C$2:AC$150,22,0)</f>
        <v>1456222952</v>
      </c>
      <c r="M612" s="18">
        <f>VLOOKUP(E612,[1]Diccionario!C$2:AC$150,24,0)</f>
        <v>45880</v>
      </c>
      <c r="N612" s="19">
        <f>VLOOKUP(E612,[1]Diccionario!C$2:AC$150,25,0)</f>
        <v>46662</v>
      </c>
      <c r="O612" s="20">
        <f>VLOOKUP(E612,[1]Diccionario!C$2:AC$150,26,0)</f>
        <v>25.7</v>
      </c>
      <c r="P612" s="20">
        <f t="shared" si="108"/>
        <v>1.3000000000000007</v>
      </c>
      <c r="Q612" s="20">
        <v>27</v>
      </c>
      <c r="R612" s="15">
        <v>26</v>
      </c>
      <c r="S612" s="21">
        <v>1</v>
      </c>
      <c r="T612" s="21"/>
      <c r="U612" s="22"/>
      <c r="V612" s="24"/>
      <c r="W612" s="24">
        <f t="shared" si="109"/>
        <v>0</v>
      </c>
      <c r="X612" s="24">
        <f t="shared" si="110"/>
        <v>1456222952</v>
      </c>
      <c r="Y612" s="24">
        <f t="shared" si="111"/>
        <v>0</v>
      </c>
      <c r="Z612" s="24">
        <f t="shared" si="112"/>
        <v>-1456222952</v>
      </c>
      <c r="AA612" s="25" t="str">
        <f t="shared" si="113"/>
        <v>No se realizó gasto en este corte</v>
      </c>
      <c r="AB612" s="26" t="str">
        <f t="shared" si="114"/>
        <v>Costo eficiente: se está gastando menos de lo presupuestado</v>
      </c>
      <c r="AC612" s="26">
        <f t="shared" si="115"/>
        <v>0</v>
      </c>
      <c r="AD612" s="26" t="str">
        <f t="shared" si="116"/>
        <v>Sin Línea Base</v>
      </c>
      <c r="AE612" s="27">
        <f t="shared" si="117"/>
        <v>0</v>
      </c>
      <c r="AF612" s="27">
        <f t="shared" si="118"/>
        <v>-1456222952</v>
      </c>
      <c r="AG612" s="28" t="str">
        <f>VLOOKUP(Indicador!E375,[1]Diccionario!C$1:AC$150,27,0)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12" s="28">
        <v>1</v>
      </c>
      <c r="AI612" s="28">
        <v>1</v>
      </c>
      <c r="AJ612" s="28"/>
      <c r="AK612" s="28"/>
    </row>
    <row r="613" spans="1:37" ht="18.75" customHeight="1" x14ac:dyDescent="0.25">
      <c r="A613" s="64">
        <v>2025</v>
      </c>
      <c r="B613" s="65" t="s">
        <v>54</v>
      </c>
      <c r="C613" s="66" t="s">
        <v>356</v>
      </c>
      <c r="D613" s="67">
        <v>45936.739900381945</v>
      </c>
      <c r="E613" s="66" t="s">
        <v>357</v>
      </c>
      <c r="F613" s="66" t="s">
        <v>134</v>
      </c>
      <c r="G613" s="66" t="s">
        <v>358</v>
      </c>
      <c r="H613" s="66" t="s">
        <v>359</v>
      </c>
      <c r="I613" s="66" t="s">
        <v>78</v>
      </c>
      <c r="J613" s="66" t="s">
        <v>360</v>
      </c>
      <c r="K613" s="66" t="s">
        <v>361</v>
      </c>
      <c r="L613" s="68">
        <f>VLOOKUP(E613,[1]Diccionario!C$2:AC$150,22,0)</f>
        <v>1570080349</v>
      </c>
      <c r="M613" s="69">
        <f>VLOOKUP(E613,[1]Diccionario!C$2:AC$150,24,0)</f>
        <v>45915</v>
      </c>
      <c r="N613" s="70">
        <f>VLOOKUP(E613,[1]Diccionario!C$2:AC$150,25,0)</f>
        <v>46006</v>
      </c>
      <c r="O613" s="71">
        <f>VLOOKUP(E613,[1]Diccionario!C$2:AC$150,26,0)</f>
        <v>3</v>
      </c>
      <c r="P613" s="71">
        <f t="shared" si="108"/>
        <v>-2</v>
      </c>
      <c r="Q613" s="71">
        <v>1</v>
      </c>
      <c r="R613" s="66">
        <v>3</v>
      </c>
      <c r="S613" s="72">
        <v>0.25</v>
      </c>
      <c r="T613" s="72">
        <v>0.25</v>
      </c>
      <c r="U613" s="79">
        <v>0</v>
      </c>
      <c r="V613" s="73">
        <v>0</v>
      </c>
      <c r="W613" s="73">
        <f t="shared" si="109"/>
        <v>392520087.25</v>
      </c>
      <c r="X613" s="73">
        <f t="shared" si="110"/>
        <v>392520087.25</v>
      </c>
      <c r="Y613" s="73">
        <f t="shared" si="111"/>
        <v>392520087.25</v>
      </c>
      <c r="Z613" s="73">
        <f t="shared" si="112"/>
        <v>0</v>
      </c>
      <c r="AA613" s="75" t="str">
        <f t="shared" si="113"/>
        <v>No se realizó gasto en este corte</v>
      </c>
      <c r="AB613" s="76" t="str">
        <f t="shared" si="114"/>
        <v>Costo eficiente: se está gastando menos de lo presupuestado</v>
      </c>
      <c r="AC613" s="76">
        <f t="shared" si="115"/>
        <v>1</v>
      </c>
      <c r="AD613" s="76" t="str">
        <f t="shared" si="116"/>
        <v>Proyecto a tiempo según lo planificado</v>
      </c>
      <c r="AE613" s="77">
        <f t="shared" si="117"/>
        <v>0</v>
      </c>
      <c r="AF613" s="77">
        <f t="shared" si="118"/>
        <v>-1570080349</v>
      </c>
      <c r="AG613" s="78" t="str">
        <f>VLOOKUP(Indicador!E441,[1]Diccionario!C$1:AC$150,27,0)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613" s="78">
        <v>1</v>
      </c>
      <c r="AI613" s="78">
        <v>1</v>
      </c>
      <c r="AJ613" s="78"/>
      <c r="AK613" s="78" t="s">
        <v>319</v>
      </c>
    </row>
    <row r="614" spans="1:37" ht="18.75" customHeight="1" x14ac:dyDescent="0.25">
      <c r="A614" s="64">
        <v>2025</v>
      </c>
      <c r="B614" s="65" t="s">
        <v>55</v>
      </c>
      <c r="C614" s="66" t="s">
        <v>356</v>
      </c>
      <c r="D614" s="67">
        <v>45936.739900381945</v>
      </c>
      <c r="E614" s="66" t="s">
        <v>357</v>
      </c>
      <c r="F614" s="66" t="s">
        <v>134</v>
      </c>
      <c r="G614" s="66" t="s">
        <v>358</v>
      </c>
      <c r="H614" s="66" t="s">
        <v>359</v>
      </c>
      <c r="I614" s="66" t="s">
        <v>78</v>
      </c>
      <c r="J614" s="66" t="s">
        <v>360</v>
      </c>
      <c r="K614" s="66" t="s">
        <v>361</v>
      </c>
      <c r="L614" s="68">
        <f>VLOOKUP(E614,[1]Diccionario!C$2:AC$150,22,0)</f>
        <v>1570080349</v>
      </c>
      <c r="M614" s="69">
        <f>VLOOKUP(E614,[1]Diccionario!C$2:AC$150,24,0)</f>
        <v>45915</v>
      </c>
      <c r="N614" s="70">
        <f>VLOOKUP(E614,[1]Diccionario!C$2:AC$150,25,0)</f>
        <v>46006</v>
      </c>
      <c r="O614" s="71">
        <f>VLOOKUP(E614,[1]Diccionario!C$2:AC$150,26,0)</f>
        <v>3</v>
      </c>
      <c r="P614" s="71">
        <f t="shared" si="108"/>
        <v>-1</v>
      </c>
      <c r="Q614" s="71">
        <v>2</v>
      </c>
      <c r="R614" s="66">
        <v>3</v>
      </c>
      <c r="S614" s="72">
        <v>0.5</v>
      </c>
      <c r="T614" s="72">
        <v>0.5</v>
      </c>
      <c r="U614" s="79">
        <f>U613+TablaIndicador[[#This Row],[Costo Mensual]]</f>
        <v>2000000</v>
      </c>
      <c r="V614" s="74">
        <v>2000000</v>
      </c>
      <c r="W614" s="73">
        <f t="shared" si="109"/>
        <v>785040174.5</v>
      </c>
      <c r="X614" s="73">
        <f t="shared" si="110"/>
        <v>785040174.5</v>
      </c>
      <c r="Y614" s="73">
        <f t="shared" si="111"/>
        <v>783040174.5</v>
      </c>
      <c r="Z614" s="73">
        <f t="shared" si="112"/>
        <v>0</v>
      </c>
      <c r="AA614" s="75">
        <f t="shared" si="113"/>
        <v>392.52008725000002</v>
      </c>
      <c r="AB614" s="76" t="str">
        <f t="shared" si="114"/>
        <v>Costo eficiente: se está gastando menos de lo presupuestado</v>
      </c>
      <c r="AC614" s="76">
        <f t="shared" si="115"/>
        <v>1</v>
      </c>
      <c r="AD614" s="76" t="str">
        <f t="shared" si="116"/>
        <v>Proyecto a tiempo según lo planificado</v>
      </c>
      <c r="AE614" s="77">
        <f t="shared" si="117"/>
        <v>4000000</v>
      </c>
      <c r="AF614" s="77">
        <f t="shared" si="118"/>
        <v>-1566080349</v>
      </c>
      <c r="AG614" s="78" t="str">
        <f>VLOOKUP(Indicador!E442,[1]Diccionario!C$1:AC$150,27,0)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614" s="78">
        <v>1</v>
      </c>
      <c r="AI614" s="78">
        <v>1</v>
      </c>
      <c r="AJ614" s="78"/>
      <c r="AK614" s="78" t="s">
        <v>319</v>
      </c>
    </row>
    <row r="615" spans="1:37" ht="18.75" customHeight="1" x14ac:dyDescent="0.25">
      <c r="A615" s="64">
        <v>2025</v>
      </c>
      <c r="B615" s="65" t="s">
        <v>56</v>
      </c>
      <c r="C615" s="66" t="s">
        <v>356</v>
      </c>
      <c r="D615" s="67">
        <v>45936.739900381945</v>
      </c>
      <c r="E615" s="66" t="s">
        <v>357</v>
      </c>
      <c r="F615" s="66" t="s">
        <v>134</v>
      </c>
      <c r="G615" s="66" t="s">
        <v>358</v>
      </c>
      <c r="H615" s="66" t="s">
        <v>359</v>
      </c>
      <c r="I615" s="66" t="s">
        <v>78</v>
      </c>
      <c r="J615" s="66" t="s">
        <v>360</v>
      </c>
      <c r="K615" s="66" t="s">
        <v>361</v>
      </c>
      <c r="L615" s="68">
        <f>VLOOKUP(E615,[1]Diccionario!C$2:AC$150,22,0)</f>
        <v>1570080349</v>
      </c>
      <c r="M615" s="69">
        <f>VLOOKUP(E615,[1]Diccionario!C$2:AC$150,24,0)</f>
        <v>45915</v>
      </c>
      <c r="N615" s="70">
        <f>VLOOKUP(E615,[1]Diccionario!C$2:AC$150,25,0)</f>
        <v>46006</v>
      </c>
      <c r="O615" s="71">
        <f>VLOOKUP(E615,[1]Diccionario!C$2:AC$150,26,0)</f>
        <v>3</v>
      </c>
      <c r="P615" s="71">
        <f t="shared" si="108"/>
        <v>0</v>
      </c>
      <c r="Q615" s="71">
        <v>3</v>
      </c>
      <c r="R615" s="66">
        <v>3</v>
      </c>
      <c r="S615" s="72">
        <v>0.75</v>
      </c>
      <c r="T615" s="72">
        <v>0.65</v>
      </c>
      <c r="U615" s="79">
        <f>U614+TablaIndicador[[#This Row],[Costo Mensual]]</f>
        <v>60600107</v>
      </c>
      <c r="V615" s="74">
        <v>58600107</v>
      </c>
      <c r="W615" s="73">
        <f t="shared" si="109"/>
        <v>1020552226.85</v>
      </c>
      <c r="X615" s="73">
        <f t="shared" si="110"/>
        <v>1177560261.75</v>
      </c>
      <c r="Y615" s="73">
        <f t="shared" si="111"/>
        <v>959952119.85000002</v>
      </c>
      <c r="Z615" s="73">
        <f t="shared" si="112"/>
        <v>-157008034.89999998</v>
      </c>
      <c r="AA615" s="75">
        <f t="shared" si="113"/>
        <v>16.840766087261198</v>
      </c>
      <c r="AB615" s="76" t="str">
        <f t="shared" si="114"/>
        <v>Costo eficiente: se está gastando menos de lo presupuestado</v>
      </c>
      <c r="AC615" s="76">
        <f t="shared" si="115"/>
        <v>0.8666666666666667</v>
      </c>
      <c r="AD615" s="76" t="str">
        <f t="shared" si="116"/>
        <v>Proyecto atrasado con respecto al cronograma</v>
      </c>
      <c r="AE615" s="77">
        <f t="shared" si="117"/>
        <v>93230933.846153855</v>
      </c>
      <c r="AF615" s="77">
        <f t="shared" si="118"/>
        <v>-1476849415.1538463</v>
      </c>
      <c r="AG615" s="78" t="str">
        <f>VLOOKUP(Indicador!E443,[1]Diccionario!C$1:AC$150,27,0)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615" s="78">
        <v>1</v>
      </c>
      <c r="AI615" s="78">
        <v>1</v>
      </c>
      <c r="AJ615" s="78"/>
      <c r="AK615" s="78" t="s">
        <v>319</v>
      </c>
    </row>
    <row r="616" spans="1:37" ht="18.75" customHeight="1" x14ac:dyDescent="0.25">
      <c r="A616" s="64">
        <v>2025</v>
      </c>
      <c r="B616" s="65" t="s">
        <v>57</v>
      </c>
      <c r="C616" s="66" t="s">
        <v>356</v>
      </c>
      <c r="D616" s="67">
        <v>45936.739900381945</v>
      </c>
      <c r="E616" s="66" t="s">
        <v>357</v>
      </c>
      <c r="F616" s="66" t="s">
        <v>134</v>
      </c>
      <c r="G616" s="66" t="s">
        <v>358</v>
      </c>
      <c r="H616" s="66" t="s">
        <v>359</v>
      </c>
      <c r="I616" s="66" t="s">
        <v>78</v>
      </c>
      <c r="J616" s="66" t="s">
        <v>360</v>
      </c>
      <c r="K616" s="66" t="s">
        <v>361</v>
      </c>
      <c r="L616" s="68">
        <f>VLOOKUP(E616,[1]Diccionario!C$2:AC$150,22,0)</f>
        <v>1570080349</v>
      </c>
      <c r="M616" s="69">
        <f>VLOOKUP(E616,[1]Diccionario!C$2:AC$150,24,0)</f>
        <v>45915</v>
      </c>
      <c r="N616" s="70">
        <f>VLOOKUP(E616,[1]Diccionario!C$2:AC$150,25,0)</f>
        <v>46006</v>
      </c>
      <c r="O616" s="71">
        <f>VLOOKUP(E616,[1]Diccionario!C$2:AC$150,26,0)</f>
        <v>3</v>
      </c>
      <c r="P616" s="71">
        <f t="shared" si="108"/>
        <v>1</v>
      </c>
      <c r="Q616" s="71">
        <v>4</v>
      </c>
      <c r="R616" s="66">
        <v>3</v>
      </c>
      <c r="S616" s="72">
        <v>1</v>
      </c>
      <c r="T616" s="72">
        <v>0.7</v>
      </c>
      <c r="U616" s="79">
        <f>U615+TablaIndicador[[#This Row],[Costo Mensual]]</f>
        <v>248282456.15000001</v>
      </c>
      <c r="V616" s="74">
        <v>187682349.15000001</v>
      </c>
      <c r="W616" s="73">
        <f t="shared" si="109"/>
        <v>1099056244.3</v>
      </c>
      <c r="X616" s="73">
        <f t="shared" si="110"/>
        <v>1570080349</v>
      </c>
      <c r="Y616" s="73">
        <f t="shared" si="111"/>
        <v>850773788.14999998</v>
      </c>
      <c r="Z616" s="73">
        <f t="shared" si="112"/>
        <v>-471024104.70000005</v>
      </c>
      <c r="AA616" s="75">
        <f t="shared" si="113"/>
        <v>4.4266367480914735</v>
      </c>
      <c r="AB616" s="76" t="str">
        <f t="shared" si="114"/>
        <v>Costo eficiente: se está gastando menos de lo presupuestado</v>
      </c>
      <c r="AC616" s="76">
        <f t="shared" si="115"/>
        <v>0.7</v>
      </c>
      <c r="AD616" s="76" t="str">
        <f t="shared" si="116"/>
        <v>Proyecto atrasado con respecto al cronograma</v>
      </c>
      <c r="AE616" s="77">
        <f t="shared" si="117"/>
        <v>354689223.0714286</v>
      </c>
      <c r="AF616" s="77">
        <f t="shared" si="118"/>
        <v>-1215391125.9285715</v>
      </c>
      <c r="AG616" s="78" t="str">
        <f>VLOOKUP(Indicador!E444,[1]Diccionario!C$1:AC$150,27,0)</f>
        <v>https://growdatasas.sharepoint.com/:x:/r/sites/Gestiondocumental/Administrativa/GD/Financiera/_layouts/15/Doc.aspx?sourcedoc=%7B43DBCCF8-194C-47D3-A7AD-28487A0065F6%7D&amp;file=MODELO%20FINANCIERO%20SNR%20MIGRACIONES%202025%2022.08.25%20v3.xlsm&amp;action=default&amp;mobileredirect=true</v>
      </c>
      <c r="AH616" s="78">
        <v>1</v>
      </c>
      <c r="AI616" s="78">
        <v>1</v>
      </c>
      <c r="AJ616" s="78"/>
      <c r="AK616" s="78" t="s">
        <v>319</v>
      </c>
    </row>
    <row r="617" spans="1:37" ht="18.75" customHeight="1" x14ac:dyDescent="0.25">
      <c r="A617" s="64">
        <v>2026</v>
      </c>
      <c r="B617" s="65" t="s">
        <v>37</v>
      </c>
      <c r="C617" s="66" t="s">
        <v>356</v>
      </c>
      <c r="D617" s="67">
        <v>45936.739900381945</v>
      </c>
      <c r="E617" s="66" t="s">
        <v>357</v>
      </c>
      <c r="F617" s="66" t="s">
        <v>134</v>
      </c>
      <c r="G617" s="66" t="s">
        <v>358</v>
      </c>
      <c r="H617" s="66" t="s">
        <v>359</v>
      </c>
      <c r="I617" s="66" t="s">
        <v>78</v>
      </c>
      <c r="J617" s="66" t="s">
        <v>360</v>
      </c>
      <c r="K617" s="66" t="s">
        <v>361</v>
      </c>
      <c r="L617" s="68">
        <f>VLOOKUP(E617,[1]Diccionario!C$2:AC$150,22,0)</f>
        <v>1570080349</v>
      </c>
      <c r="M617" s="69">
        <f>VLOOKUP(E617,[1]Diccionario!C$2:AC$150,24,0)</f>
        <v>45915</v>
      </c>
      <c r="N617" s="70">
        <f>VLOOKUP(E617,[1]Diccionario!C$2:AC$150,25,0)</f>
        <v>46006</v>
      </c>
      <c r="O617" s="71">
        <f>VLOOKUP(E617,[1]Diccionario!C$2:AC$150,26,0)</f>
        <v>3</v>
      </c>
      <c r="P617" s="71">
        <f t="shared" si="108"/>
        <v>1</v>
      </c>
      <c r="Q617" s="71">
        <v>4</v>
      </c>
      <c r="R617" s="66">
        <v>3</v>
      </c>
      <c r="S617" s="72">
        <v>1</v>
      </c>
      <c r="T617" s="72">
        <v>0.75</v>
      </c>
      <c r="U617" s="79">
        <f>U616+TablaIndicador[[#This Row],[Costo Mensual]]</f>
        <v>268194246.15000001</v>
      </c>
      <c r="V617" s="74">
        <v>19911790</v>
      </c>
      <c r="W617" s="73">
        <f t="shared" si="109"/>
        <v>1177560261.75</v>
      </c>
      <c r="X617" s="73">
        <f t="shared" si="110"/>
        <v>1570080349</v>
      </c>
      <c r="Y617" s="73">
        <f t="shared" si="111"/>
        <v>909366015.60000002</v>
      </c>
      <c r="Z617" s="73">
        <f t="shared" si="112"/>
        <v>-392520087.25</v>
      </c>
      <c r="AA617" s="75">
        <f t="shared" si="113"/>
        <v>4.3906991990103883</v>
      </c>
      <c r="AB617" s="76" t="str">
        <f t="shared" si="114"/>
        <v>Costo eficiente: se está gastando menos de lo presupuestado</v>
      </c>
      <c r="AC617" s="76">
        <f t="shared" si="115"/>
        <v>0.75</v>
      </c>
      <c r="AD617" s="76" t="str">
        <f t="shared" si="116"/>
        <v>Proyecto atrasado con respecto al cronograma</v>
      </c>
      <c r="AE617" s="77">
        <f t="shared" si="117"/>
        <v>357592328.20000005</v>
      </c>
      <c r="AF617" s="77">
        <f t="shared" si="118"/>
        <v>-1212488020.8</v>
      </c>
      <c r="AG617" s="78" t="str">
        <f>VLOOKUP(Indicador!E445,[1]Diccionario!C$1:AC$150,27,0)</f>
        <v>https://growdatasas.sharepoint.com/:x:/r/sites/Gestiondocumental/Administrativa/GD/Financiera/_layouts/15/Doc.aspx?sourcedoc=%7B43DBCCF8-194C-47D3-A7AD-28487A0065F6%7D&amp;file=MODELO%20FINANCIERO%20SNR%20MIGRACIONES%202025%2022.08.25%20v3.xlsm&amp;action=default&amp;mobileredirect=true</v>
      </c>
      <c r="AH617" s="78">
        <v>1</v>
      </c>
      <c r="AI617" s="78">
        <v>1</v>
      </c>
      <c r="AJ617" s="78"/>
      <c r="AK617" s="78" t="s">
        <v>319</v>
      </c>
    </row>
    <row r="618" spans="1:37" ht="18.75" customHeight="1" thickBot="1" x14ac:dyDescent="0.3">
      <c r="A618" s="64">
        <v>2026</v>
      </c>
      <c r="B618" s="65" t="s">
        <v>47</v>
      </c>
      <c r="C618" s="66" t="s">
        <v>356</v>
      </c>
      <c r="D618" s="67">
        <v>45936.739900381945</v>
      </c>
      <c r="E618" s="66" t="s">
        <v>357</v>
      </c>
      <c r="F618" s="66" t="s">
        <v>134</v>
      </c>
      <c r="G618" s="66" t="s">
        <v>358</v>
      </c>
      <c r="H618" s="66" t="s">
        <v>359</v>
      </c>
      <c r="I618" s="66" t="s">
        <v>78</v>
      </c>
      <c r="J618" s="66" t="s">
        <v>360</v>
      </c>
      <c r="K618" s="66" t="s">
        <v>361</v>
      </c>
      <c r="L618" s="68">
        <f>VLOOKUP(E618,[1]Diccionario!C$2:AC$150,22,0)</f>
        <v>1570080349</v>
      </c>
      <c r="M618" s="69">
        <f>VLOOKUP(E618,[1]Diccionario!C$2:AC$150,24,0)</f>
        <v>45915</v>
      </c>
      <c r="N618" s="70">
        <f>VLOOKUP(E618,[1]Diccionario!C$2:AC$150,25,0)</f>
        <v>46006</v>
      </c>
      <c r="O618" s="71">
        <f>VLOOKUP(E618,[1]Diccionario!C$2:AC$150,26,0)</f>
        <v>3</v>
      </c>
      <c r="P618" s="71">
        <f t="shared" si="108"/>
        <v>1</v>
      </c>
      <c r="Q618" s="71">
        <v>4</v>
      </c>
      <c r="R618" s="66">
        <v>3</v>
      </c>
      <c r="S618" s="72">
        <v>1</v>
      </c>
      <c r="T618" s="72">
        <v>0.9</v>
      </c>
      <c r="U618" s="79">
        <f>U617+TablaIndicador[[#This Row],[Costo Mensual]]</f>
        <v>273520936.14999998</v>
      </c>
      <c r="V618" s="74">
        <v>5326690</v>
      </c>
      <c r="W618" s="73">
        <f t="shared" si="109"/>
        <v>1413072314.1000001</v>
      </c>
      <c r="X618" s="73">
        <f t="shared" si="110"/>
        <v>1570080349</v>
      </c>
      <c r="Y618" s="73">
        <f t="shared" si="111"/>
        <v>1139551377.9500003</v>
      </c>
      <c r="Z618" s="73">
        <f t="shared" si="112"/>
        <v>-157008034.89999986</v>
      </c>
      <c r="AA618" s="75">
        <f t="shared" si="113"/>
        <v>5.1662309071838859</v>
      </c>
      <c r="AB618" s="76" t="str">
        <f t="shared" si="114"/>
        <v>Costo eficiente: se está gastando menos de lo presupuestado</v>
      </c>
      <c r="AC618" s="76">
        <f t="shared" si="115"/>
        <v>0.90000000000000013</v>
      </c>
      <c r="AD618" s="76" t="str">
        <f t="shared" si="116"/>
        <v>Proyecto atrasado con respecto al cronograma</v>
      </c>
      <c r="AE618" s="77">
        <f t="shared" si="117"/>
        <v>303912151.27777773</v>
      </c>
      <c r="AF618" s="77">
        <f t="shared" si="118"/>
        <v>-1266168197.7222223</v>
      </c>
      <c r="AG618" s="78" t="str">
        <f>VLOOKUP(Indicador!E446,[1]Diccionario!C$1:AC$150,27,0)</f>
        <v>https://growdatasas.sharepoint.com/:x:/r/sites/Gestiondocumental/Administrativa/GD/Financiera/_layouts/15/Doc.aspx?sourcedoc=%7B43DBCCF8-194C-47D3-A7AD-28487A0065F6%7D&amp;file=MODELO%20FINANCIERO%20SNR%20MIGRACIONES%202025%2022.08.25%20v3.xlsm&amp;action=default&amp;mobileredirect=true</v>
      </c>
      <c r="AH618" s="78">
        <v>1</v>
      </c>
      <c r="AI618" s="78">
        <v>1</v>
      </c>
      <c r="AJ618" s="78"/>
      <c r="AK618" s="78" t="s">
        <v>319</v>
      </c>
    </row>
    <row r="619" spans="1:37" ht="18.75" customHeight="1" x14ac:dyDescent="0.25">
      <c r="A619" s="64">
        <v>2025</v>
      </c>
      <c r="B619" s="65" t="s">
        <v>55</v>
      </c>
      <c r="C619" s="66" t="s">
        <v>362</v>
      </c>
      <c r="D619" s="67">
        <v>45971.801761840281</v>
      </c>
      <c r="E619" s="66" t="s">
        <v>363</v>
      </c>
      <c r="F619" s="66" t="s">
        <v>364</v>
      </c>
      <c r="G619" s="80" t="s">
        <v>365</v>
      </c>
      <c r="H619" s="66" t="s">
        <v>366</v>
      </c>
      <c r="I619" s="66" t="s">
        <v>63</v>
      </c>
      <c r="J619" s="66" t="s">
        <v>367</v>
      </c>
      <c r="K619" s="66" t="s">
        <v>45</v>
      </c>
      <c r="L619" s="68">
        <f>VLOOKUP(E619,[1]Diccionario!C$2:AC$150,22,0)</f>
        <v>4420115772</v>
      </c>
      <c r="M619" s="69">
        <f>VLOOKUP(E619,[1]Diccionario!C$2:AC$150,24,0)</f>
        <v>45931</v>
      </c>
      <c r="N619" s="70">
        <f>VLOOKUP(E619,[1]Diccionario!C$2:AC$150,25,0)</f>
        <v>46172</v>
      </c>
      <c r="O619" s="71">
        <f>VLOOKUP(E619,[1]Diccionario!C$2:AC$150,26,0)</f>
        <v>7.97</v>
      </c>
      <c r="P619" s="71">
        <f t="shared" si="108"/>
        <v>-6.97</v>
      </c>
      <c r="Q619" s="71">
        <v>1</v>
      </c>
      <c r="R619" s="66">
        <v>8</v>
      </c>
      <c r="S619" s="72">
        <v>0.1</v>
      </c>
      <c r="T619" s="72">
        <v>0.1</v>
      </c>
      <c r="U619" s="86">
        <f>TablaIndicador[[#This Row],[Costo Mensual]]</f>
        <v>1233988199.99</v>
      </c>
      <c r="V619" s="87">
        <v>1233988199.99</v>
      </c>
      <c r="W619" s="88">
        <f t="shared" si="109"/>
        <v>442011577.20000005</v>
      </c>
      <c r="X619" s="73">
        <f t="shared" si="110"/>
        <v>442011577.20000005</v>
      </c>
      <c r="Y619" s="73">
        <f t="shared" si="111"/>
        <v>-791976622.78999996</v>
      </c>
      <c r="Z619" s="73">
        <f t="shared" si="112"/>
        <v>0</v>
      </c>
      <c r="AA619" s="75">
        <f t="shared" si="113"/>
        <v>0.35819757207044767</v>
      </c>
      <c r="AB619" s="76" t="str">
        <f t="shared" si="114"/>
        <v>Costo ineficiente: se está gastando más de lo presupuestado</v>
      </c>
      <c r="AC619" s="76">
        <f t="shared" si="115"/>
        <v>1</v>
      </c>
      <c r="AD619" s="76" t="str">
        <f t="shared" si="116"/>
        <v>Proyecto a tiempo según lo planificado</v>
      </c>
      <c r="AE619" s="77">
        <f t="shared" si="117"/>
        <v>12339881999.9</v>
      </c>
      <c r="AF619" s="77">
        <f t="shared" si="118"/>
        <v>7919766227.8999996</v>
      </c>
      <c r="AG619" s="78" t="str">
        <f>VLOOKUP(Indicador!E445,[1]Diccionario!C$1:AC$150,27,0)</f>
        <v>https://growdatasas.sharepoint.com/:x:/r/sites/Gestiondocumental/Administrativa/GD/Financiera/_layouts/15/Doc.aspx?sourcedoc=%7B43DBCCF8-194C-47D3-A7AD-28487A0065F6%7D&amp;file=MODELO%20FINANCIERO%20SNR%20MIGRACIONES%202025%2022.08.25%20v3.xlsm&amp;action=default&amp;mobileredirect=true</v>
      </c>
      <c r="AH619" s="78">
        <v>1</v>
      </c>
      <c r="AI619" s="78">
        <v>1</v>
      </c>
      <c r="AJ619" s="78"/>
      <c r="AK619" s="78" t="s">
        <v>319</v>
      </c>
    </row>
    <row r="620" spans="1:37" ht="18.75" customHeight="1" x14ac:dyDescent="0.25">
      <c r="A620" s="64">
        <v>2025</v>
      </c>
      <c r="B620" s="65" t="s">
        <v>56</v>
      </c>
      <c r="C620" s="66" t="s">
        <v>362</v>
      </c>
      <c r="D620" s="67">
        <v>45971.801761840281</v>
      </c>
      <c r="E620" s="66" t="s">
        <v>363</v>
      </c>
      <c r="F620" s="66" t="s">
        <v>364</v>
      </c>
      <c r="G620" s="80" t="s">
        <v>365</v>
      </c>
      <c r="H620" s="66" t="s">
        <v>366</v>
      </c>
      <c r="I620" s="66" t="s">
        <v>63</v>
      </c>
      <c r="J620" s="66" t="s">
        <v>367</v>
      </c>
      <c r="K620" s="66" t="s">
        <v>45</v>
      </c>
      <c r="L620" s="68">
        <f>VLOOKUP(E620,[1]Diccionario!C$2:AC$150,22,0)</f>
        <v>4420115772</v>
      </c>
      <c r="M620" s="69">
        <f>VLOOKUP(E620,[1]Diccionario!C$2:AC$150,24,0)</f>
        <v>45931</v>
      </c>
      <c r="N620" s="70">
        <f>VLOOKUP(E620,[1]Diccionario!C$2:AC$150,25,0)</f>
        <v>46172</v>
      </c>
      <c r="O620" s="71">
        <f>VLOOKUP(E620,[1]Diccionario!C$2:AC$150,26,0)</f>
        <v>7.97</v>
      </c>
      <c r="P620" s="71">
        <f t="shared" si="108"/>
        <v>-5.97</v>
      </c>
      <c r="Q620" s="71">
        <v>2</v>
      </c>
      <c r="R620" s="66">
        <v>8</v>
      </c>
      <c r="S620" s="72">
        <v>0.25</v>
      </c>
      <c r="T620" s="72">
        <v>0.25</v>
      </c>
      <c r="U620" s="86">
        <f>U619+TablaIndicador[[#This Row],[Costo Mensual]]</f>
        <v>1991195328.46</v>
      </c>
      <c r="V620" s="89">
        <v>757207128.47000003</v>
      </c>
      <c r="W620" s="88">
        <f t="shared" si="109"/>
        <v>1105028943</v>
      </c>
      <c r="X620" s="73">
        <f t="shared" si="110"/>
        <v>1105028943</v>
      </c>
      <c r="Y620" s="73">
        <f t="shared" si="111"/>
        <v>-886166385.46000004</v>
      </c>
      <c r="Z620" s="73">
        <f t="shared" si="112"/>
        <v>0</v>
      </c>
      <c r="AA620" s="75">
        <f t="shared" si="113"/>
        <v>0.55495758111015392</v>
      </c>
      <c r="AB620" s="76" t="str">
        <f t="shared" si="114"/>
        <v>Costo ineficiente: se está gastando más de lo presupuestado</v>
      </c>
      <c r="AC620" s="76">
        <f t="shared" si="115"/>
        <v>1</v>
      </c>
      <c r="AD620" s="76" t="str">
        <f t="shared" si="116"/>
        <v>Proyecto a tiempo según lo planificado</v>
      </c>
      <c r="AE620" s="77">
        <f t="shared" si="117"/>
        <v>7964781313.8400002</v>
      </c>
      <c r="AF620" s="77">
        <f t="shared" si="118"/>
        <v>3544665541.8400002</v>
      </c>
      <c r="AG620" s="78" t="str">
        <f>VLOOKUP(Indicador!E446,[1]Diccionario!C$1:AC$150,27,0)</f>
        <v>https://growdatasas.sharepoint.com/:x:/r/sites/Gestiondocumental/Administrativa/GD/Financiera/_layouts/15/Doc.aspx?sourcedoc=%7B43DBCCF8-194C-47D3-A7AD-28487A0065F6%7D&amp;file=MODELO%20FINANCIERO%20SNR%20MIGRACIONES%202025%2022.08.25%20v3.xlsm&amp;action=default&amp;mobileredirect=true</v>
      </c>
      <c r="AH620" s="78">
        <v>1</v>
      </c>
      <c r="AI620" s="78">
        <v>1</v>
      </c>
      <c r="AJ620" s="78"/>
      <c r="AK620" s="78" t="s">
        <v>319</v>
      </c>
    </row>
    <row r="621" spans="1:37" ht="18.75" customHeight="1" x14ac:dyDescent="0.25">
      <c r="A621" s="64">
        <v>2025</v>
      </c>
      <c r="B621" s="65" t="s">
        <v>57</v>
      </c>
      <c r="C621" s="66" t="s">
        <v>362</v>
      </c>
      <c r="D621" s="67">
        <v>45971.801761840281</v>
      </c>
      <c r="E621" s="66" t="s">
        <v>363</v>
      </c>
      <c r="F621" s="66" t="s">
        <v>364</v>
      </c>
      <c r="G621" s="80" t="s">
        <v>365</v>
      </c>
      <c r="H621" s="66" t="s">
        <v>366</v>
      </c>
      <c r="I621" s="66" t="s">
        <v>63</v>
      </c>
      <c r="J621" s="66" t="s">
        <v>367</v>
      </c>
      <c r="K621" s="66" t="s">
        <v>45</v>
      </c>
      <c r="L621" s="68">
        <f>VLOOKUP(E621,[1]Diccionario!C$2:AC$150,22,0)</f>
        <v>4420115772</v>
      </c>
      <c r="M621" s="69">
        <f>VLOOKUP(E621,[1]Diccionario!C$2:AC$150,24,0)</f>
        <v>45931</v>
      </c>
      <c r="N621" s="70">
        <f>VLOOKUP(E621,[1]Diccionario!C$2:AC$150,25,0)</f>
        <v>46172</v>
      </c>
      <c r="O621" s="71">
        <f>VLOOKUP(E621,[1]Diccionario!C$2:AC$150,26,0)</f>
        <v>7.97</v>
      </c>
      <c r="P621" s="71">
        <f t="shared" si="108"/>
        <v>-4.97</v>
      </c>
      <c r="Q621" s="71">
        <v>3</v>
      </c>
      <c r="R621" s="66">
        <v>8</v>
      </c>
      <c r="S621" s="72">
        <v>0.37</v>
      </c>
      <c r="T621" s="72">
        <v>0.37</v>
      </c>
      <c r="U621" s="86">
        <f>U620+TablaIndicador[[#This Row],[Costo Mensual]]</f>
        <v>3895691725.1000004</v>
      </c>
      <c r="V621" s="89">
        <v>1904496396.6400001</v>
      </c>
      <c r="W621" s="88">
        <f t="shared" si="109"/>
        <v>1635442835.6399999</v>
      </c>
      <c r="X621" s="73">
        <f t="shared" si="110"/>
        <v>1635442835.6399999</v>
      </c>
      <c r="Y621" s="73">
        <f t="shared" si="111"/>
        <v>-2260248889.4600005</v>
      </c>
      <c r="Z621" s="73">
        <f t="shared" si="112"/>
        <v>0</v>
      </c>
      <c r="AA621" s="75">
        <f t="shared" si="113"/>
        <v>0.41980807287774263</v>
      </c>
      <c r="AB621" s="76" t="str">
        <f t="shared" si="114"/>
        <v>Costo ineficiente: se está gastando más de lo presupuestado</v>
      </c>
      <c r="AC621" s="76">
        <f t="shared" si="115"/>
        <v>1</v>
      </c>
      <c r="AD621" s="76" t="str">
        <f t="shared" si="116"/>
        <v>Proyecto a tiempo según lo planificado</v>
      </c>
      <c r="AE621" s="77">
        <f t="shared" si="117"/>
        <v>10528896554.324326</v>
      </c>
      <c r="AF621" s="77">
        <f t="shared" si="118"/>
        <v>6108780782.3243256</v>
      </c>
      <c r="AG621" s="78" t="str">
        <f>VLOOKUP(Indicador!E447,[1]Diccionario!C$1:AC$150,27,0)</f>
        <v>https://growdatasas.sharepoint.com/:x:/r/sites/Gestiondocumental/Administrativa/GD/Financiera/_layouts/15/Doc.aspx?sourcedoc=%7B43DBCCF8-194C-47D3-A7AD-28487A0065F6%7D&amp;file=MODELO%20FINANCIERO%20SNR%20MIGRACIONES%202025%2022.08.25%20v3.xlsm&amp;action=default&amp;mobileredirect=true</v>
      </c>
      <c r="AH621" s="78">
        <v>1</v>
      </c>
      <c r="AI621" s="78">
        <v>1</v>
      </c>
      <c r="AJ621" s="78"/>
      <c r="AK621" s="78" t="s">
        <v>319</v>
      </c>
    </row>
    <row r="622" spans="1:37" ht="18.75" customHeight="1" x14ac:dyDescent="0.25">
      <c r="A622" s="64">
        <v>2026</v>
      </c>
      <c r="B622" s="65" t="s">
        <v>37</v>
      </c>
      <c r="C622" s="66" t="s">
        <v>362</v>
      </c>
      <c r="D622" s="67">
        <v>45971.801761840281</v>
      </c>
      <c r="E622" s="66" t="s">
        <v>363</v>
      </c>
      <c r="F622" s="66" t="s">
        <v>364</v>
      </c>
      <c r="G622" s="80" t="s">
        <v>365</v>
      </c>
      <c r="H622" s="66" t="s">
        <v>366</v>
      </c>
      <c r="I622" s="66" t="s">
        <v>63</v>
      </c>
      <c r="J622" s="66" t="s">
        <v>367</v>
      </c>
      <c r="K622" s="66" t="s">
        <v>45</v>
      </c>
      <c r="L622" s="68">
        <f>VLOOKUP(E622,[1]Diccionario!C$2:AC$150,22,0)</f>
        <v>4420115772</v>
      </c>
      <c r="M622" s="69">
        <f>VLOOKUP(E622,[1]Diccionario!C$2:AC$150,24,0)</f>
        <v>45931</v>
      </c>
      <c r="N622" s="70">
        <f>VLOOKUP(E622,[1]Diccionario!C$2:AC$150,25,0)</f>
        <v>46172</v>
      </c>
      <c r="O622" s="71">
        <f>VLOOKUP(E622,[1]Diccionario!C$2:AC$150,26,0)</f>
        <v>7.97</v>
      </c>
      <c r="P622" s="71">
        <f t="shared" si="108"/>
        <v>-3.9699999999999998</v>
      </c>
      <c r="Q622" s="71">
        <v>4</v>
      </c>
      <c r="R622" s="66">
        <v>8</v>
      </c>
      <c r="S622" s="72">
        <v>0.48</v>
      </c>
      <c r="T622" s="72">
        <v>0.45</v>
      </c>
      <c r="U622" s="86">
        <f>U621+TablaIndicador[[#This Row],[Costo Mensual]]</f>
        <v>3989126717.7200003</v>
      </c>
      <c r="V622" s="89">
        <v>93434992.620000005</v>
      </c>
      <c r="W622" s="88">
        <f t="shared" si="109"/>
        <v>1989052097.4000001</v>
      </c>
      <c r="X622" s="73">
        <f t="shared" si="110"/>
        <v>2121655570.5599999</v>
      </c>
      <c r="Y622" s="73">
        <f t="shared" si="111"/>
        <v>-2000074620.3200002</v>
      </c>
      <c r="Z622" s="73">
        <f t="shared" si="112"/>
        <v>-132603473.15999985</v>
      </c>
      <c r="AA622" s="75">
        <f t="shared" si="113"/>
        <v>0.49861842908235565</v>
      </c>
      <c r="AB622" s="76" t="str">
        <f t="shared" si="114"/>
        <v>Costo ineficiente: se está gastando más de lo presupuestado</v>
      </c>
      <c r="AC622" s="76">
        <f t="shared" si="115"/>
        <v>0.93750000000000011</v>
      </c>
      <c r="AD622" s="76" t="str">
        <f t="shared" si="116"/>
        <v>Proyecto atrasado con respecto al cronograma</v>
      </c>
      <c r="AE622" s="77">
        <f t="shared" si="117"/>
        <v>8864726039.3777771</v>
      </c>
      <c r="AF622" s="77">
        <f t="shared" si="118"/>
        <v>4444610267.3777771</v>
      </c>
      <c r="AG622" s="78" t="str">
        <f>VLOOKUP(Indicador!E448,[1]Diccionario!C$1:AC$150,27,0)</f>
        <v>https://growdatasas.sharepoint.com/:x:/r/sites/Gestiondocumental/Administrativa/GD/Financiera/_layouts/15/Doc.aspx?sourcedoc=%7B43DBCCF8-194C-47D3-A7AD-28487A0065F6%7D&amp;file=MODELO%20FINANCIERO%20SNR%20MIGRACIONES%202025%2022.08.25%20v3.xlsm&amp;action=default&amp;mobileredirect=true</v>
      </c>
      <c r="AH622" s="78">
        <v>1</v>
      </c>
      <c r="AI622" s="78">
        <v>1</v>
      </c>
      <c r="AJ622" s="78"/>
      <c r="AK622" s="78" t="s">
        <v>319</v>
      </c>
    </row>
    <row r="623" spans="1:37" ht="18.75" customHeight="1" x14ac:dyDescent="0.25">
      <c r="A623" s="64">
        <v>2026</v>
      </c>
      <c r="B623" s="65" t="s">
        <v>47</v>
      </c>
      <c r="C623" s="66" t="s">
        <v>362</v>
      </c>
      <c r="D623" s="67">
        <v>45971.801761840281</v>
      </c>
      <c r="E623" s="66" t="s">
        <v>363</v>
      </c>
      <c r="F623" s="66" t="s">
        <v>364</v>
      </c>
      <c r="G623" s="80" t="s">
        <v>365</v>
      </c>
      <c r="H623" s="66" t="s">
        <v>366</v>
      </c>
      <c r="I623" s="66" t="s">
        <v>63</v>
      </c>
      <c r="J623" s="66" t="s">
        <v>367</v>
      </c>
      <c r="K623" s="66" t="s">
        <v>45</v>
      </c>
      <c r="L623" s="68">
        <f>VLOOKUP(E623,[1]Diccionario!C$2:AC$150,22,0)</f>
        <v>4420115772</v>
      </c>
      <c r="M623" s="69">
        <f>VLOOKUP(E623,[1]Diccionario!C$2:AC$150,24,0)</f>
        <v>45931</v>
      </c>
      <c r="N623" s="70">
        <f>VLOOKUP(E623,[1]Diccionario!C$2:AC$150,25,0)</f>
        <v>46172</v>
      </c>
      <c r="O623" s="71">
        <f>VLOOKUP(E623,[1]Diccionario!C$2:AC$150,26,0)</f>
        <v>7.97</v>
      </c>
      <c r="P623" s="71">
        <f t="shared" si="108"/>
        <v>-2.9699999999999998</v>
      </c>
      <c r="Q623" s="71">
        <v>5</v>
      </c>
      <c r="R623" s="66">
        <v>8</v>
      </c>
      <c r="S623" s="72">
        <v>0.52</v>
      </c>
      <c r="T623" s="72">
        <v>0.49</v>
      </c>
      <c r="U623" s="86">
        <f>U622+TablaIndicador[[#This Row],[Costo Mensual]]</f>
        <v>3990425422.0400004</v>
      </c>
      <c r="V623" s="89">
        <v>1298704.32</v>
      </c>
      <c r="W623" s="88">
        <f t="shared" si="109"/>
        <v>2165856728.2799997</v>
      </c>
      <c r="X623" s="73">
        <f t="shared" si="110"/>
        <v>2298460201.4400001</v>
      </c>
      <c r="Y623" s="73">
        <f t="shared" si="111"/>
        <v>-1824568693.7600007</v>
      </c>
      <c r="Z623" s="73">
        <f t="shared" si="112"/>
        <v>-132603473.16000032</v>
      </c>
      <c r="AA623" s="75">
        <f t="shared" si="113"/>
        <v>0.54276336460706542</v>
      </c>
      <c r="AB623" s="76" t="str">
        <f t="shared" si="114"/>
        <v>Costo ineficiente: se está gastando más de lo presupuestado</v>
      </c>
      <c r="AC623" s="76">
        <f t="shared" si="115"/>
        <v>0.94230769230769218</v>
      </c>
      <c r="AD623" s="76" t="str">
        <f t="shared" si="116"/>
        <v>Proyecto atrasado con respecto al cronograma</v>
      </c>
      <c r="AE623" s="77">
        <f t="shared" si="117"/>
        <v>8143725351.1020432</v>
      </c>
      <c r="AF623" s="77">
        <f t="shared" si="118"/>
        <v>3723609579.1020432</v>
      </c>
      <c r="AG623" s="78" t="str">
        <f>VLOOKUP(Indicador!E450,[1]Diccionario!C$1:AC$150,27,0)</f>
        <v>https://growdatasas.sharepoint.com/:x:/r/sites/Gestiondocumental/Administrativa/GD/Financiera/_layouts/15/Doc.aspx?sourcedoc=%7B5693324A-E570-4B4F-9F46-B89F46926326%7D&amp;file=20251301%20MODELO%20FINANCIERO%20REFERENCIA%20V7.4_INM_2025%20-%20PMO.xlsm&amp;action=default&amp;mobileredirect=true</v>
      </c>
      <c r="AH623" s="78">
        <v>1</v>
      </c>
      <c r="AI623" s="78">
        <v>1</v>
      </c>
      <c r="AJ623" s="78"/>
      <c r="AK623" s="78" t="s">
        <v>319</v>
      </c>
    </row>
    <row r="624" spans="1:37" ht="18.75" customHeight="1" x14ac:dyDescent="0.25">
      <c r="A624" s="64">
        <v>2026</v>
      </c>
      <c r="B624" s="65" t="s">
        <v>48</v>
      </c>
      <c r="C624" s="66" t="s">
        <v>362</v>
      </c>
      <c r="D624" s="67">
        <v>45971.801761840281</v>
      </c>
      <c r="E624" s="66" t="s">
        <v>363</v>
      </c>
      <c r="F624" s="66" t="s">
        <v>364</v>
      </c>
      <c r="G624" s="80" t="s">
        <v>365</v>
      </c>
      <c r="H624" s="66" t="s">
        <v>366</v>
      </c>
      <c r="I624" s="66" t="s">
        <v>63</v>
      </c>
      <c r="J624" s="66" t="s">
        <v>367</v>
      </c>
      <c r="K624" s="66" t="s">
        <v>45</v>
      </c>
      <c r="L624" s="68">
        <f>VLOOKUP(E624,[1]Diccionario!C$2:AC$150,22,0)</f>
        <v>4420115772</v>
      </c>
      <c r="M624" s="69">
        <f>VLOOKUP(E624,[1]Diccionario!C$2:AC$150,24,0)</f>
        <v>45931</v>
      </c>
      <c r="N624" s="70">
        <f>VLOOKUP(E624,[1]Diccionario!C$2:AC$150,25,0)</f>
        <v>46172</v>
      </c>
      <c r="O624" s="71">
        <f>VLOOKUP(E624,[1]Diccionario!C$2:AC$150,26,0)</f>
        <v>7.97</v>
      </c>
      <c r="P624" s="71">
        <f t="shared" si="108"/>
        <v>-1.9699999999999998</v>
      </c>
      <c r="Q624" s="71">
        <v>6</v>
      </c>
      <c r="R624" s="66">
        <v>8</v>
      </c>
      <c r="S624" s="72">
        <v>0.75</v>
      </c>
      <c r="T624" s="72"/>
      <c r="U624" s="86">
        <f>U623+TablaIndicador[[#This Row],[Costo Mensual]]</f>
        <v>3990425422.0400004</v>
      </c>
      <c r="V624" s="89"/>
      <c r="W624" s="88">
        <f t="shared" si="109"/>
        <v>0</v>
      </c>
      <c r="X624" s="73">
        <f t="shared" si="110"/>
        <v>3315086829</v>
      </c>
      <c r="Y624" s="73">
        <f t="shared" si="111"/>
        <v>-3990425422.0400004</v>
      </c>
      <c r="Z624" s="73">
        <f t="shared" si="112"/>
        <v>-3315086829</v>
      </c>
      <c r="AA624" s="75">
        <f t="shared" si="113"/>
        <v>0</v>
      </c>
      <c r="AB624" s="76" t="str">
        <f t="shared" si="114"/>
        <v>No calculado</v>
      </c>
      <c r="AC624" s="76">
        <f t="shared" si="115"/>
        <v>0</v>
      </c>
      <c r="AD624" s="76" t="str">
        <f t="shared" si="116"/>
        <v>Sin Línea Base</v>
      </c>
      <c r="AE624" s="77">
        <f t="shared" si="117"/>
        <v>0</v>
      </c>
      <c r="AF624" s="77">
        <f t="shared" si="118"/>
        <v>-4420115772</v>
      </c>
      <c r="AG624" s="78" t="str">
        <f>VLOOKUP(Indicador!E451,[1]Diccionario!C$1:AC$150,27,0)</f>
        <v>https://growdatasas.sharepoint.com/:x:/r/sites/Gestiondocumental/Administrativa/GD/Financiera/_layouts/15/Doc.aspx?sourcedoc=%7B5693324A-E570-4B4F-9F46-B89F46926326%7D&amp;file=20251301%20MODELO%20FINANCIERO%20REFERENCIA%20V7.4_INM_2025%20-%20PMO.xlsm&amp;action=default&amp;mobileredirect=true</v>
      </c>
      <c r="AH624" s="78">
        <v>1</v>
      </c>
      <c r="AI624" s="78">
        <v>1</v>
      </c>
      <c r="AJ624" s="78"/>
      <c r="AK624" s="78" t="s">
        <v>319</v>
      </c>
    </row>
    <row r="625" spans="1:37" ht="18.75" customHeight="1" x14ac:dyDescent="0.25">
      <c r="A625" s="64">
        <v>2026</v>
      </c>
      <c r="B625" s="65" t="s">
        <v>49</v>
      </c>
      <c r="C625" s="66" t="s">
        <v>362</v>
      </c>
      <c r="D625" s="67">
        <v>45971.801761840281</v>
      </c>
      <c r="E625" s="66" t="s">
        <v>363</v>
      </c>
      <c r="F625" s="66" t="s">
        <v>364</v>
      </c>
      <c r="G625" s="80" t="s">
        <v>365</v>
      </c>
      <c r="H625" s="66" t="s">
        <v>366</v>
      </c>
      <c r="I625" s="66" t="s">
        <v>63</v>
      </c>
      <c r="J625" s="66" t="s">
        <v>367</v>
      </c>
      <c r="K625" s="66" t="s">
        <v>45</v>
      </c>
      <c r="L625" s="68">
        <f>VLOOKUP(E625,[1]Diccionario!C$2:AC$150,22,0)</f>
        <v>4420115772</v>
      </c>
      <c r="M625" s="69">
        <f>VLOOKUP(E625,[1]Diccionario!C$2:AC$150,24,0)</f>
        <v>45931</v>
      </c>
      <c r="N625" s="70">
        <f>VLOOKUP(E625,[1]Diccionario!C$2:AC$150,25,0)</f>
        <v>46172</v>
      </c>
      <c r="O625" s="71">
        <f>VLOOKUP(E625,[1]Diccionario!C$2:AC$150,26,0)</f>
        <v>7.97</v>
      </c>
      <c r="P625" s="71">
        <f t="shared" si="108"/>
        <v>-0.96999999999999975</v>
      </c>
      <c r="Q625" s="71">
        <v>7</v>
      </c>
      <c r="R625" s="66">
        <v>8</v>
      </c>
      <c r="S625" s="72">
        <v>0.85</v>
      </c>
      <c r="T625" s="72"/>
      <c r="U625" s="86">
        <f>U624+TablaIndicador[[#This Row],[Costo Mensual]]</f>
        <v>3990425422.0400004</v>
      </c>
      <c r="V625" s="89"/>
      <c r="W625" s="88">
        <f t="shared" si="109"/>
        <v>0</v>
      </c>
      <c r="X625" s="73">
        <f t="shared" si="110"/>
        <v>3757098406.1999998</v>
      </c>
      <c r="Y625" s="73">
        <f t="shared" si="111"/>
        <v>-3990425422.0400004</v>
      </c>
      <c r="Z625" s="73">
        <f t="shared" si="112"/>
        <v>-3757098406.1999998</v>
      </c>
      <c r="AA625" s="75">
        <f t="shared" si="113"/>
        <v>0</v>
      </c>
      <c r="AB625" s="76" t="str">
        <f t="shared" si="114"/>
        <v>No calculado</v>
      </c>
      <c r="AC625" s="76">
        <f t="shared" si="115"/>
        <v>0</v>
      </c>
      <c r="AD625" s="76" t="str">
        <f t="shared" si="116"/>
        <v>Sin Línea Base</v>
      </c>
      <c r="AE625" s="77">
        <f t="shared" si="117"/>
        <v>0</v>
      </c>
      <c r="AF625" s="77">
        <f t="shared" si="118"/>
        <v>-4420115772</v>
      </c>
      <c r="AG625" s="78" t="str">
        <f>VLOOKUP(Indicador!E452,[1]Diccionario!C$1:AC$150,27,0)</f>
        <v>https://growdatasas.sharepoint.com/:x:/r/sites/Gestiondocumental/Administrativa/GD/Financiera/_layouts/15/Doc.aspx?sourcedoc=%7B5693324A-E570-4B4F-9F46-B89F46926326%7D&amp;file=20251301%20MODELO%20FINANCIERO%20REFERENCIA%20V7.4_INM_2025%20-%20PMO.xlsm&amp;action=default&amp;mobileredirect=true</v>
      </c>
      <c r="AH625" s="78">
        <v>1</v>
      </c>
      <c r="AI625" s="78">
        <v>1</v>
      </c>
      <c r="AJ625" s="78"/>
      <c r="AK625" s="78" t="s">
        <v>319</v>
      </c>
    </row>
    <row r="626" spans="1:37" ht="18.75" customHeight="1" thickBot="1" x14ac:dyDescent="0.3">
      <c r="A626" s="64">
        <v>2026</v>
      </c>
      <c r="B626" s="65" t="s">
        <v>50</v>
      </c>
      <c r="C626" s="66" t="s">
        <v>362</v>
      </c>
      <c r="D626" s="67">
        <v>45971.801761840281</v>
      </c>
      <c r="E626" s="66" t="s">
        <v>363</v>
      </c>
      <c r="F626" s="66" t="s">
        <v>364</v>
      </c>
      <c r="G626" s="80" t="s">
        <v>365</v>
      </c>
      <c r="H626" s="66" t="s">
        <v>366</v>
      </c>
      <c r="I626" s="66" t="s">
        <v>63</v>
      </c>
      <c r="J626" s="66" t="s">
        <v>367</v>
      </c>
      <c r="K626" s="66" t="s">
        <v>45</v>
      </c>
      <c r="L626" s="68">
        <f>VLOOKUP(E626,[1]Diccionario!C$2:AC$150,22,0)</f>
        <v>4420115772</v>
      </c>
      <c r="M626" s="69">
        <f>VLOOKUP(E626,[1]Diccionario!C$2:AC$150,24,0)</f>
        <v>45931</v>
      </c>
      <c r="N626" s="70">
        <f>VLOOKUP(E626,[1]Diccionario!C$2:AC$150,25,0)</f>
        <v>46172</v>
      </c>
      <c r="O626" s="71">
        <f>VLOOKUP(E626,[1]Diccionario!C$2:AC$150,26,0)</f>
        <v>7.97</v>
      </c>
      <c r="P626" s="71">
        <f t="shared" si="108"/>
        <v>3.0000000000000249E-2</v>
      </c>
      <c r="Q626" s="71">
        <v>8</v>
      </c>
      <c r="R626" s="66">
        <v>8</v>
      </c>
      <c r="S626" s="72">
        <v>1</v>
      </c>
      <c r="T626" s="72"/>
      <c r="U626" s="86">
        <f>U625+TablaIndicador[[#This Row],[Costo Mensual]]</f>
        <v>3990425422.0400004</v>
      </c>
      <c r="V626" s="90"/>
      <c r="W626" s="88">
        <f t="shared" si="109"/>
        <v>0</v>
      </c>
      <c r="X626" s="73">
        <f t="shared" si="110"/>
        <v>4420115772</v>
      </c>
      <c r="Y626" s="73">
        <f t="shared" si="111"/>
        <v>-3990425422.0400004</v>
      </c>
      <c r="Z626" s="73">
        <f t="shared" si="112"/>
        <v>-4420115772</v>
      </c>
      <c r="AA626" s="75">
        <f t="shared" si="113"/>
        <v>0</v>
      </c>
      <c r="AB626" s="76" t="str">
        <f t="shared" si="114"/>
        <v>No calculado</v>
      </c>
      <c r="AC626" s="76">
        <f t="shared" si="115"/>
        <v>0</v>
      </c>
      <c r="AD626" s="76" t="str">
        <f t="shared" si="116"/>
        <v>Sin Línea Base</v>
      </c>
      <c r="AE626" s="77">
        <f t="shared" si="117"/>
        <v>0</v>
      </c>
      <c r="AF626" s="77">
        <f t="shared" si="118"/>
        <v>-4420115772</v>
      </c>
      <c r="AG626" s="78" t="str">
        <f>VLOOKUP(Indicador!E453,[1]Diccionario!C$1:AC$150,27,0)</f>
        <v>https://growdatasas.sharepoint.com/:x:/r/sites/Gestiondocumental/Administrativa/GD/Financiera/_layouts/15/Doc.aspx?sourcedoc=%7B5693324A-E570-4B4F-9F46-B89F46926326%7D&amp;file=20251301%20MODELO%20FINANCIERO%20REFERENCIA%20V7.4_INM_2025%20-%20PMO.xlsm&amp;action=default&amp;mobileredirect=true</v>
      </c>
      <c r="AH626" s="78">
        <v>1</v>
      </c>
      <c r="AI626" s="78">
        <v>1</v>
      </c>
      <c r="AJ626" s="78"/>
      <c r="AK626" s="78" t="s">
        <v>319</v>
      </c>
    </row>
    <row r="627" spans="1:37" ht="18.75" customHeight="1" x14ac:dyDescent="0.25">
      <c r="A627" s="64">
        <v>2025</v>
      </c>
      <c r="B627" s="65" t="s">
        <v>56</v>
      </c>
      <c r="C627" s="66" t="s">
        <v>368</v>
      </c>
      <c r="D627" s="67">
        <v>45971.808570567133</v>
      </c>
      <c r="E627" s="66" t="s">
        <v>369</v>
      </c>
      <c r="F627" s="66" t="s">
        <v>364</v>
      </c>
      <c r="G627" s="66" t="s">
        <v>370</v>
      </c>
      <c r="H627" s="66" t="s">
        <v>371</v>
      </c>
      <c r="I627" s="66" t="s">
        <v>63</v>
      </c>
      <c r="J627" s="66" t="s">
        <v>372</v>
      </c>
      <c r="K627" s="66" t="s">
        <v>45</v>
      </c>
      <c r="L627" s="68">
        <f>VLOOKUP(E627,[1]Diccionario!C$2:AC$150,22,0)</f>
        <v>3323342988</v>
      </c>
      <c r="M627" s="69">
        <f>VLOOKUP(E627,[1]Diccionario!C$2:AC$150,24,0)</f>
        <v>45962</v>
      </c>
      <c r="N627" s="70">
        <f>VLOOKUP(E627,[1]Diccionario!C$2:AC$150,25,0)</f>
        <v>46021</v>
      </c>
      <c r="O627" s="71">
        <f>VLOOKUP(E627,[1]Diccionario!C$2:AC$150,26,0)</f>
        <v>1.97</v>
      </c>
      <c r="P627" s="71">
        <f t="shared" si="108"/>
        <v>-0.97</v>
      </c>
      <c r="Q627" s="71">
        <v>1</v>
      </c>
      <c r="R627" s="66">
        <v>3</v>
      </c>
      <c r="S627" s="72">
        <v>0.5</v>
      </c>
      <c r="T627" s="72">
        <v>0.25</v>
      </c>
      <c r="U627" s="73">
        <f>TablaIndicador[[#This Row],[Costo Mensual]]</f>
        <v>0</v>
      </c>
      <c r="V627" s="91">
        <v>0</v>
      </c>
      <c r="W627" s="73">
        <f t="shared" si="109"/>
        <v>830835747</v>
      </c>
      <c r="X627" s="73">
        <f t="shared" si="110"/>
        <v>1661671494</v>
      </c>
      <c r="Y627" s="73">
        <f t="shared" si="111"/>
        <v>830835747</v>
      </c>
      <c r="Z627" s="73">
        <f t="shared" si="112"/>
        <v>-830835747</v>
      </c>
      <c r="AA627" s="75" t="str">
        <f t="shared" si="113"/>
        <v>No se realizó gasto en este corte</v>
      </c>
      <c r="AB627" s="76" t="str">
        <f t="shared" si="114"/>
        <v>Costo eficiente: se está gastando menos de lo presupuestado</v>
      </c>
      <c r="AC627" s="76">
        <f t="shared" si="115"/>
        <v>0.5</v>
      </c>
      <c r="AD627" s="76" t="str">
        <f t="shared" si="116"/>
        <v>Proyecto atrasado con respecto al cronograma</v>
      </c>
      <c r="AE627" s="77">
        <f t="shared" si="117"/>
        <v>0</v>
      </c>
      <c r="AF627" s="77">
        <f t="shared" si="118"/>
        <v>-3323342988</v>
      </c>
      <c r="AG627" s="78" t="str">
        <f>VLOOKUP(Indicador!E751,[1]Diccionario!C$1:AC$150,27,0)</f>
        <v>https://growdatasas.sharepoint.com/:x:/r/sites/Gestiondocumental/Administrativa/GD/Financiera/_layouts/15/Doc.aspx?sourcedoc=%7B0CDB7FA7-62D8-4102-9A59-9817018FB4BB%7D&amp;file=05112025%20MODELO%20FINANCIERO%20REFERENCIA_AEROCIVIL%20V7.4%20ajustada230.xlsm&amp;action=default&amp;mobileredirect=true</v>
      </c>
      <c r="AH627" s="78">
        <v>1</v>
      </c>
      <c r="AI627" s="78">
        <v>1</v>
      </c>
      <c r="AJ627" s="78"/>
      <c r="AK627" s="78" t="s">
        <v>319</v>
      </c>
    </row>
    <row r="628" spans="1:37" ht="18.75" customHeight="1" x14ac:dyDescent="0.25">
      <c r="A628" s="64">
        <v>2025</v>
      </c>
      <c r="B628" s="65" t="s">
        <v>57</v>
      </c>
      <c r="C628" s="66" t="s">
        <v>368</v>
      </c>
      <c r="D628" s="67">
        <v>45971.808570567133</v>
      </c>
      <c r="E628" s="66" t="s">
        <v>369</v>
      </c>
      <c r="F628" s="66" t="s">
        <v>364</v>
      </c>
      <c r="G628" s="66" t="s">
        <v>370</v>
      </c>
      <c r="H628" s="66" t="s">
        <v>371</v>
      </c>
      <c r="I628" s="66" t="s">
        <v>63</v>
      </c>
      <c r="J628" s="66" t="s">
        <v>372</v>
      </c>
      <c r="K628" s="66" t="s">
        <v>45</v>
      </c>
      <c r="L628" s="68">
        <f>VLOOKUP(E628,[1]Diccionario!C$2:AC$150,22,0)</f>
        <v>3323342988</v>
      </c>
      <c r="M628" s="69">
        <f>VLOOKUP(E628,[1]Diccionario!C$2:AC$150,24,0)</f>
        <v>45962</v>
      </c>
      <c r="N628" s="70">
        <f>VLOOKUP(E628,[1]Diccionario!C$2:AC$150,25,0)</f>
        <v>46021</v>
      </c>
      <c r="O628" s="71">
        <f>VLOOKUP(E628,[1]Diccionario!C$2:AC$150,26,0)</f>
        <v>1.97</v>
      </c>
      <c r="P628" s="71">
        <f t="shared" si="108"/>
        <v>3.0000000000000027E-2</v>
      </c>
      <c r="Q628" s="71">
        <v>2</v>
      </c>
      <c r="R628" s="66">
        <v>3</v>
      </c>
      <c r="S628" s="72">
        <v>1</v>
      </c>
      <c r="T628" s="72">
        <v>0.5</v>
      </c>
      <c r="U628" s="73">
        <f>U627+TablaIndicador[[#This Row],[Costo Mensual]]</f>
        <v>3119453114.3099999</v>
      </c>
      <c r="V628" s="81">
        <v>3119453114.3099999</v>
      </c>
      <c r="W628" s="73">
        <f t="shared" si="109"/>
        <v>1661671494</v>
      </c>
      <c r="X628" s="73">
        <f t="shared" si="110"/>
        <v>3323342988</v>
      </c>
      <c r="Y628" s="73">
        <f t="shared" si="111"/>
        <v>-1457781620.3099999</v>
      </c>
      <c r="Z628" s="73">
        <f t="shared" si="112"/>
        <v>-1661671494</v>
      </c>
      <c r="AA628" s="75">
        <f t="shared" si="113"/>
        <v>0.53268038759016567</v>
      </c>
      <c r="AB628" s="76" t="str">
        <f t="shared" si="114"/>
        <v>Costo ineficiente: se está gastando más de lo presupuestado</v>
      </c>
      <c r="AC628" s="76">
        <f t="shared" si="115"/>
        <v>0.5</v>
      </c>
      <c r="AD628" s="76" t="str">
        <f t="shared" si="116"/>
        <v>Proyecto atrasado con respecto al cronograma</v>
      </c>
      <c r="AE628" s="77">
        <f t="shared" si="117"/>
        <v>6238906228.6199989</v>
      </c>
      <c r="AF628" s="77">
        <f t="shared" si="118"/>
        <v>2915563240.6199989</v>
      </c>
      <c r="AG628" s="78">
        <f>VLOOKUP(Indicador!E752,[1]Diccionario!C$1:AC$150,27,0)</f>
        <v>0</v>
      </c>
      <c r="AH628" s="78">
        <v>1</v>
      </c>
      <c r="AI628" s="78">
        <v>1</v>
      </c>
      <c r="AJ628" s="78"/>
      <c r="AK628" s="78" t="s">
        <v>319</v>
      </c>
    </row>
    <row r="629" spans="1:37" ht="18.75" customHeight="1" x14ac:dyDescent="0.25">
      <c r="A629" s="64">
        <v>2025</v>
      </c>
      <c r="B629" s="65" t="s">
        <v>37</v>
      </c>
      <c r="C629" s="66" t="s">
        <v>368</v>
      </c>
      <c r="D629" s="67">
        <v>45971.808570567133</v>
      </c>
      <c r="E629" s="66" t="s">
        <v>369</v>
      </c>
      <c r="F629" s="66" t="s">
        <v>364</v>
      </c>
      <c r="G629" s="66" t="s">
        <v>370</v>
      </c>
      <c r="H629" s="66" t="s">
        <v>371</v>
      </c>
      <c r="I629" s="66" t="s">
        <v>63</v>
      </c>
      <c r="J629" s="66" t="s">
        <v>372</v>
      </c>
      <c r="K629" s="66" t="s">
        <v>45</v>
      </c>
      <c r="L629" s="68">
        <f>VLOOKUP(E629,[1]Diccionario!C$2:AC$150,22,0)</f>
        <v>3323342988</v>
      </c>
      <c r="M629" s="69">
        <f>VLOOKUP(E629,[1]Diccionario!C$2:AC$150,24,0)</f>
        <v>45962</v>
      </c>
      <c r="N629" s="70">
        <f>VLOOKUP(E629,[1]Diccionario!C$2:AC$150,25,0)</f>
        <v>46021</v>
      </c>
      <c r="O629" s="71">
        <f>VLOOKUP(E629,[1]Diccionario!C$2:AC$150,26,0)</f>
        <v>1.97</v>
      </c>
      <c r="P629" s="71">
        <f t="shared" si="108"/>
        <v>1.03</v>
      </c>
      <c r="Q629" s="71">
        <v>3</v>
      </c>
      <c r="R629" s="66">
        <v>3</v>
      </c>
      <c r="S629" s="72">
        <v>1</v>
      </c>
      <c r="T629" s="72">
        <v>0.8</v>
      </c>
      <c r="U629" s="73">
        <f>U628+TablaIndicador[[#This Row],[Costo Mensual]]</f>
        <v>3124453114.3099999</v>
      </c>
      <c r="V629" s="81">
        <v>5000000</v>
      </c>
      <c r="W629" s="73">
        <f t="shared" si="109"/>
        <v>2658674390.4000001</v>
      </c>
      <c r="X629" s="73">
        <f t="shared" si="110"/>
        <v>3323342988</v>
      </c>
      <c r="Y629" s="73">
        <f t="shared" si="111"/>
        <v>-465778723.90999985</v>
      </c>
      <c r="Z629" s="73">
        <f t="shared" si="112"/>
        <v>-664668597.5999999</v>
      </c>
      <c r="AA629" s="75">
        <f t="shared" si="113"/>
        <v>0.85092471966478467</v>
      </c>
      <c r="AB629" s="76" t="str">
        <f t="shared" si="114"/>
        <v>Costo ineficiente: se está gastando más de lo presupuestado</v>
      </c>
      <c r="AC629" s="76">
        <f t="shared" si="115"/>
        <v>0.8</v>
      </c>
      <c r="AD629" s="76" t="str">
        <f t="shared" si="116"/>
        <v>Proyecto atrasado con respecto al cronograma</v>
      </c>
      <c r="AE629" s="77">
        <f t="shared" si="117"/>
        <v>3905566392.8874998</v>
      </c>
      <c r="AF629" s="77">
        <f t="shared" si="118"/>
        <v>582223404.88749981</v>
      </c>
      <c r="AG629" s="78">
        <f>VLOOKUP(Indicador!E753,[1]Diccionario!C$1:AC$150,27,0)</f>
        <v>0</v>
      </c>
      <c r="AH629" s="78">
        <v>1</v>
      </c>
      <c r="AI629" s="78">
        <v>1</v>
      </c>
      <c r="AJ629" s="78"/>
      <c r="AK629" s="78" t="s">
        <v>319</v>
      </c>
    </row>
    <row r="630" spans="1:37" ht="18.75" customHeight="1" x14ac:dyDescent="0.25">
      <c r="A630" s="64">
        <v>2025</v>
      </c>
      <c r="B630" s="65" t="s">
        <v>47</v>
      </c>
      <c r="C630" s="66" t="s">
        <v>368</v>
      </c>
      <c r="D630" s="67">
        <v>45971.808570567133</v>
      </c>
      <c r="E630" s="66" t="s">
        <v>369</v>
      </c>
      <c r="F630" s="66" t="s">
        <v>364</v>
      </c>
      <c r="G630" s="66" t="s">
        <v>370</v>
      </c>
      <c r="H630" s="66" t="s">
        <v>371</v>
      </c>
      <c r="I630" s="66" t="s">
        <v>63</v>
      </c>
      <c r="J630" s="66" t="s">
        <v>372</v>
      </c>
      <c r="K630" s="66" t="s">
        <v>45</v>
      </c>
      <c r="L630" s="68">
        <f>VLOOKUP(E630,[1]Diccionario!C$2:AC$150,22,0)</f>
        <v>3323342988</v>
      </c>
      <c r="M630" s="69">
        <f>VLOOKUP(E630,[1]Diccionario!C$2:AC$150,24,0)</f>
        <v>45962</v>
      </c>
      <c r="N630" s="70">
        <f>VLOOKUP(E630,[1]Diccionario!C$2:AC$150,25,0)</f>
        <v>46021</v>
      </c>
      <c r="O630" s="71">
        <f>VLOOKUP(E630,[1]Diccionario!C$2:AC$150,26,0)</f>
        <v>1.97</v>
      </c>
      <c r="P630" s="71">
        <f t="shared" si="108"/>
        <v>1.03</v>
      </c>
      <c r="Q630" s="71">
        <v>3</v>
      </c>
      <c r="R630" s="66">
        <v>3</v>
      </c>
      <c r="S630" s="72">
        <v>1</v>
      </c>
      <c r="T630" s="72">
        <v>0.8</v>
      </c>
      <c r="U630" s="73">
        <f>U629+TablaIndicador[[#This Row],[Costo Mensual]]</f>
        <v>3124453114.3099999</v>
      </c>
      <c r="V630" s="81">
        <v>0</v>
      </c>
      <c r="W630" s="73">
        <f t="shared" si="109"/>
        <v>2658674390.4000001</v>
      </c>
      <c r="X630" s="73">
        <f t="shared" si="110"/>
        <v>3323342988</v>
      </c>
      <c r="Y630" s="73">
        <f t="shared" si="111"/>
        <v>-465778723.90999985</v>
      </c>
      <c r="Z630" s="73">
        <f t="shared" si="112"/>
        <v>-664668597.5999999</v>
      </c>
      <c r="AA630" s="75">
        <f t="shared" si="113"/>
        <v>0.85092471966478467</v>
      </c>
      <c r="AB630" s="76" t="str">
        <f t="shared" si="114"/>
        <v>Costo ineficiente: se está gastando más de lo presupuestado</v>
      </c>
      <c r="AC630" s="76">
        <f t="shared" si="115"/>
        <v>0.8</v>
      </c>
      <c r="AD630" s="76" t="str">
        <f t="shared" si="116"/>
        <v>Proyecto atrasado con respecto al cronograma</v>
      </c>
      <c r="AE630" s="77">
        <f t="shared" si="117"/>
        <v>3905566392.8874998</v>
      </c>
      <c r="AF630" s="77">
        <f t="shared" si="118"/>
        <v>582223404.88749981</v>
      </c>
      <c r="AG630" s="78">
        <f>VLOOKUP(Indicador!E754,[1]Diccionario!C$1:AC$150,27,0)</f>
        <v>0</v>
      </c>
      <c r="AH630" s="78">
        <v>1</v>
      </c>
      <c r="AI630" s="78">
        <v>1</v>
      </c>
      <c r="AJ630" s="78"/>
      <c r="AK630" s="78" t="s">
        <v>319</v>
      </c>
    </row>
    <row r="631" spans="1:37" ht="18.75" customHeight="1" x14ac:dyDescent="0.25">
      <c r="A631" s="64">
        <v>2025</v>
      </c>
      <c r="B631" s="65" t="s">
        <v>56</v>
      </c>
      <c r="C631" s="66" t="s">
        <v>373</v>
      </c>
      <c r="D631" s="67">
        <v>45971.819201238424</v>
      </c>
      <c r="E631" s="66" t="s">
        <v>374</v>
      </c>
      <c r="F631" s="66" t="s">
        <v>364</v>
      </c>
      <c r="G631" s="66" t="s">
        <v>375</v>
      </c>
      <c r="H631" s="66" t="s">
        <v>376</v>
      </c>
      <c r="I631" s="66" t="s">
        <v>63</v>
      </c>
      <c r="J631" s="66" t="s">
        <v>377</v>
      </c>
      <c r="K631" s="66" t="s">
        <v>45</v>
      </c>
      <c r="L631" s="68">
        <f>VLOOKUP(E631,[1]Diccionario!C$2:AC$150,22,0)</f>
        <v>28089671329</v>
      </c>
      <c r="M631" s="69">
        <f>VLOOKUP(E631,[1]Diccionario!C$2:AC$150,24,0)</f>
        <v>45962</v>
      </c>
      <c r="N631" s="70">
        <f>VLOOKUP(E631,[1]Diccionario!C$2:AC$150,25,0)</f>
        <v>47787</v>
      </c>
      <c r="O631" s="71">
        <f>VLOOKUP(E631,[1]Diccionario!C$2:AC$150,26,0)</f>
        <v>60</v>
      </c>
      <c r="P631" s="71">
        <f t="shared" si="108"/>
        <v>-59</v>
      </c>
      <c r="Q631" s="71">
        <v>1</v>
      </c>
      <c r="R631" s="66">
        <v>60</v>
      </c>
      <c r="S631" s="72">
        <v>0.25</v>
      </c>
      <c r="T631" s="72">
        <v>0.25</v>
      </c>
      <c r="U631" s="79">
        <f>TablaIndicador[[#This Row],[Costo Mensual]]</f>
        <v>8000000</v>
      </c>
      <c r="V631" s="74">
        <v>8000000</v>
      </c>
      <c r="W631" s="73">
        <f t="shared" si="109"/>
        <v>7022417832.25</v>
      </c>
      <c r="X631" s="73">
        <f t="shared" si="110"/>
        <v>7022417832.25</v>
      </c>
      <c r="Y631" s="73">
        <f t="shared" si="111"/>
        <v>7014417832.25</v>
      </c>
      <c r="Z631" s="73">
        <f t="shared" si="112"/>
        <v>0</v>
      </c>
      <c r="AA631" s="75">
        <f t="shared" si="113"/>
        <v>877.80222903125002</v>
      </c>
      <c r="AB631" s="76" t="str">
        <f t="shared" si="114"/>
        <v>Costo eficiente: se está gastando menos de lo presupuestado</v>
      </c>
      <c r="AC631" s="76">
        <f t="shared" si="115"/>
        <v>1</v>
      </c>
      <c r="AD631" s="76" t="str">
        <f t="shared" si="116"/>
        <v>Proyecto a tiempo según lo planificado</v>
      </c>
      <c r="AE631" s="77">
        <f t="shared" si="117"/>
        <v>32000000</v>
      </c>
      <c r="AF631" s="77">
        <f t="shared" si="118"/>
        <v>-28057671329</v>
      </c>
      <c r="AG631" s="78" t="str">
        <f>VLOOKUP(Indicador!E691,[1]Diccionario!C$1:AC$150,27,0)</f>
        <v>https://growdatasas.sharepoint.com/:x:/r/sites/Gestiondocumental/Administrativa/GD/Financiera/_layouts/15/Doc.aspx?sourcedoc=%7BA2729A87-3B6F-45F5-B35B-1B6F95CA8221%7D&amp;file=MODELO%20FINANCIERO%20FGN%20GrowData.xlsm&amp;action=default&amp;mobileredirect=true</v>
      </c>
      <c r="AH631" s="78">
        <v>1</v>
      </c>
      <c r="AI631" s="78">
        <v>1</v>
      </c>
      <c r="AJ631" s="78"/>
      <c r="AK631" s="78" t="s">
        <v>319</v>
      </c>
    </row>
    <row r="632" spans="1:37" ht="18.75" customHeight="1" x14ac:dyDescent="0.25">
      <c r="A632" s="64">
        <v>2025</v>
      </c>
      <c r="B632" s="65" t="s">
        <v>57</v>
      </c>
      <c r="C632" s="66" t="s">
        <v>373</v>
      </c>
      <c r="D632" s="67">
        <v>45971.819201238424</v>
      </c>
      <c r="E632" s="66" t="s">
        <v>374</v>
      </c>
      <c r="F632" s="66" t="s">
        <v>364</v>
      </c>
      <c r="G632" s="66" t="s">
        <v>375</v>
      </c>
      <c r="H632" s="66" t="s">
        <v>376</v>
      </c>
      <c r="I632" s="66" t="s">
        <v>63</v>
      </c>
      <c r="J632" s="66" t="s">
        <v>377</v>
      </c>
      <c r="K632" s="66" t="s">
        <v>45</v>
      </c>
      <c r="L632" s="68">
        <f>VLOOKUP(E632,[1]Diccionario!C$2:AC$150,22,0)</f>
        <v>28089671329</v>
      </c>
      <c r="M632" s="69">
        <f>VLOOKUP(E632,[1]Diccionario!C$2:AC$150,24,0)</f>
        <v>45962</v>
      </c>
      <c r="N632" s="70">
        <f>VLOOKUP(E632,[1]Diccionario!C$2:AC$150,25,0)</f>
        <v>47787</v>
      </c>
      <c r="O632" s="71">
        <f>VLOOKUP(E632,[1]Diccionario!C$2:AC$150,26,0)</f>
        <v>60</v>
      </c>
      <c r="P632" s="71">
        <f t="shared" ca="1" si="108"/>
        <v>-55</v>
      </c>
      <c r="Q632" s="71">
        <f t="shared" ref="Q632:Q690" ca="1" si="119">DATEDIF(M632,TODAY(),"m")</f>
        <v>5</v>
      </c>
      <c r="R632" s="66">
        <v>60</v>
      </c>
      <c r="S632" s="72">
        <v>0.27</v>
      </c>
      <c r="T632" s="72">
        <v>0.27</v>
      </c>
      <c r="U632" s="73">
        <f>U631+TablaIndicador[[#This Row],[Costo Mensual]]</f>
        <v>20000000</v>
      </c>
      <c r="V632" s="74">
        <v>12000000</v>
      </c>
      <c r="W632" s="73">
        <f t="shared" si="109"/>
        <v>7584211258.8300009</v>
      </c>
      <c r="X632" s="73">
        <f t="shared" si="110"/>
        <v>7584211258.8300009</v>
      </c>
      <c r="Y632" s="73">
        <f t="shared" si="111"/>
        <v>7564211258.8300009</v>
      </c>
      <c r="Z632" s="73">
        <f t="shared" si="112"/>
        <v>0</v>
      </c>
      <c r="AA632" s="75">
        <f t="shared" si="113"/>
        <v>379.21056294150003</v>
      </c>
      <c r="AB632" s="76" t="str">
        <f t="shared" si="114"/>
        <v>Costo eficiente: se está gastando menos de lo presupuestado</v>
      </c>
      <c r="AC632" s="76">
        <f t="shared" si="115"/>
        <v>1</v>
      </c>
      <c r="AD632" s="76" t="str">
        <f t="shared" si="116"/>
        <v>Proyecto a tiempo según lo planificado</v>
      </c>
      <c r="AE632" s="77">
        <f t="shared" si="117"/>
        <v>74074074.074074075</v>
      </c>
      <c r="AF632" s="77">
        <f t="shared" si="118"/>
        <v>-28015597254.925926</v>
      </c>
      <c r="AG632" s="78" t="str">
        <f>VLOOKUP(Indicador!E692,[1]Diccionario!C$1:AC$150,27,0)</f>
        <v>https://growdatasas.sharepoint.com/:x:/r/sites/Gestiondocumental/Administrativa/GD/Financiera/_layouts/15/Doc.aspx?sourcedoc=%7BA2729A87-3B6F-45F5-B35B-1B6F95CA8221%7D&amp;file=MODELO%20FINANCIERO%20FGN%20GrowData.xlsm&amp;action=default&amp;mobileredirect=true</v>
      </c>
      <c r="AH632" s="78">
        <v>1</v>
      </c>
      <c r="AI632" s="78">
        <v>1</v>
      </c>
      <c r="AJ632" s="78"/>
      <c r="AK632" s="78" t="s">
        <v>319</v>
      </c>
    </row>
    <row r="633" spans="1:37" ht="18.75" customHeight="1" x14ac:dyDescent="0.25">
      <c r="A633" s="64">
        <v>2026</v>
      </c>
      <c r="B633" s="65" t="s">
        <v>37</v>
      </c>
      <c r="C633" s="66" t="s">
        <v>373</v>
      </c>
      <c r="D633" s="67">
        <v>45971.819201238424</v>
      </c>
      <c r="E633" s="66" t="s">
        <v>374</v>
      </c>
      <c r="F633" s="66" t="s">
        <v>364</v>
      </c>
      <c r="G633" s="66" t="s">
        <v>375</v>
      </c>
      <c r="H633" s="66" t="s">
        <v>376</v>
      </c>
      <c r="I633" s="66" t="s">
        <v>63</v>
      </c>
      <c r="J633" s="66" t="s">
        <v>377</v>
      </c>
      <c r="K633" s="66" t="s">
        <v>45</v>
      </c>
      <c r="L633" s="68">
        <f>VLOOKUP(E633,[1]Diccionario!C$2:AC$150,22,0)</f>
        <v>28089671329</v>
      </c>
      <c r="M633" s="69">
        <f>VLOOKUP(E633,[1]Diccionario!C$2:AC$150,24,0)</f>
        <v>45962</v>
      </c>
      <c r="N633" s="70">
        <f>VLOOKUP(E633,[1]Diccionario!C$2:AC$150,25,0)</f>
        <v>47787</v>
      </c>
      <c r="O633" s="71">
        <f>VLOOKUP(E633,[1]Diccionario!C$2:AC$150,26,0)</f>
        <v>60</v>
      </c>
      <c r="P633" s="71">
        <f t="shared" ca="1" si="108"/>
        <v>-55</v>
      </c>
      <c r="Q633" s="71">
        <f t="shared" ca="1" si="119"/>
        <v>5</v>
      </c>
      <c r="R633" s="66">
        <v>60</v>
      </c>
      <c r="S633" s="72">
        <v>0.28000000000000003</v>
      </c>
      <c r="T633" s="72">
        <v>0.28000000000000003</v>
      </c>
      <c r="U633" s="73">
        <f>U632+TablaIndicador[[#This Row],[Costo Mensual]]</f>
        <v>32000000</v>
      </c>
      <c r="V633" s="74">
        <v>12000000</v>
      </c>
      <c r="W633" s="73">
        <f t="shared" si="109"/>
        <v>7865107972.1200008</v>
      </c>
      <c r="X633" s="73">
        <f t="shared" si="110"/>
        <v>7865107972.1200008</v>
      </c>
      <c r="Y633" s="73">
        <f t="shared" si="111"/>
        <v>7833107972.1200008</v>
      </c>
      <c r="Z633" s="73">
        <f t="shared" si="112"/>
        <v>0</v>
      </c>
      <c r="AA633" s="75">
        <f t="shared" si="113"/>
        <v>245.78462412875004</v>
      </c>
      <c r="AB633" s="76" t="str">
        <f t="shared" si="114"/>
        <v>Costo eficiente: se está gastando menos de lo presupuestado</v>
      </c>
      <c r="AC633" s="76">
        <f t="shared" si="115"/>
        <v>1</v>
      </c>
      <c r="AD633" s="76" t="str">
        <f t="shared" si="116"/>
        <v>Proyecto a tiempo según lo planificado</v>
      </c>
      <c r="AE633" s="77">
        <f t="shared" si="117"/>
        <v>114285714.28571427</v>
      </c>
      <c r="AF633" s="77">
        <f t="shared" si="118"/>
        <v>-27975385614.714287</v>
      </c>
      <c r="AG633" s="78" t="str">
        <f>VLOOKUP(Indicador!E693,[1]Diccionario!C$1:AC$150,27,0)</f>
        <v>https://growdatasas.sharepoint.com/:x:/r/sites/Gestiondocumental/Administrativa/GD/Financiera/_layouts/15/Doc.aspx?sourcedoc=%7BA2729A87-3B6F-45F5-B35B-1B6F95CA8221%7D&amp;file=MODELO%20FINANCIERO%20FGN%20GrowData.xlsm&amp;action=default&amp;mobileredirect=true</v>
      </c>
      <c r="AH633" s="78">
        <v>1</v>
      </c>
      <c r="AI633" s="78">
        <v>1</v>
      </c>
      <c r="AJ633" s="78"/>
      <c r="AK633" s="78" t="s">
        <v>319</v>
      </c>
    </row>
    <row r="634" spans="1:37" ht="18.75" customHeight="1" x14ac:dyDescent="0.25">
      <c r="A634" s="64">
        <v>2026</v>
      </c>
      <c r="B634" s="65" t="s">
        <v>47</v>
      </c>
      <c r="C634" s="66" t="s">
        <v>373</v>
      </c>
      <c r="D634" s="67">
        <v>45971.819201238424</v>
      </c>
      <c r="E634" s="66" t="s">
        <v>374</v>
      </c>
      <c r="F634" s="66" t="s">
        <v>364</v>
      </c>
      <c r="G634" s="66" t="s">
        <v>375</v>
      </c>
      <c r="H634" s="66" t="s">
        <v>376</v>
      </c>
      <c r="I634" s="66" t="s">
        <v>63</v>
      </c>
      <c r="J634" s="66" t="s">
        <v>377</v>
      </c>
      <c r="K634" s="66" t="s">
        <v>45</v>
      </c>
      <c r="L634" s="68">
        <f>VLOOKUP(E634,[1]Diccionario!C$2:AC$150,22,0)</f>
        <v>28089671329</v>
      </c>
      <c r="M634" s="69">
        <f>VLOOKUP(E634,[1]Diccionario!C$2:AC$150,24,0)</f>
        <v>45962</v>
      </c>
      <c r="N634" s="70">
        <f>VLOOKUP(E634,[1]Diccionario!C$2:AC$150,25,0)</f>
        <v>47787</v>
      </c>
      <c r="O634" s="71">
        <f>VLOOKUP(E634,[1]Diccionario!C$2:AC$150,26,0)</f>
        <v>60</v>
      </c>
      <c r="P634" s="71">
        <f t="shared" ca="1" si="108"/>
        <v>-55</v>
      </c>
      <c r="Q634" s="71">
        <f t="shared" ca="1" si="119"/>
        <v>5</v>
      </c>
      <c r="R634" s="66">
        <v>60</v>
      </c>
      <c r="S634" s="72">
        <v>0.28999999999999998</v>
      </c>
      <c r="T634" s="72">
        <v>0.28999999999999998</v>
      </c>
      <c r="U634" s="73">
        <f>U633+TablaIndicador[[#This Row],[Costo Mensual]]</f>
        <v>44000000</v>
      </c>
      <c r="V634" s="74">
        <v>12000000</v>
      </c>
      <c r="W634" s="73">
        <f t="shared" si="109"/>
        <v>8146004685.4099998</v>
      </c>
      <c r="X634" s="73">
        <f t="shared" si="110"/>
        <v>8146004685.4099998</v>
      </c>
      <c r="Y634" s="73">
        <f t="shared" si="111"/>
        <v>8102004685.4099998</v>
      </c>
      <c r="Z634" s="73">
        <f t="shared" si="112"/>
        <v>0</v>
      </c>
      <c r="AA634" s="75">
        <f t="shared" si="113"/>
        <v>185.13647012295453</v>
      </c>
      <c r="AB634" s="76" t="str">
        <f t="shared" si="114"/>
        <v>Costo eficiente: se está gastando menos de lo presupuestado</v>
      </c>
      <c r="AC634" s="76">
        <f t="shared" si="115"/>
        <v>1</v>
      </c>
      <c r="AD634" s="76" t="str">
        <f t="shared" si="116"/>
        <v>Proyecto a tiempo según lo planificado</v>
      </c>
      <c r="AE634" s="77">
        <f t="shared" si="117"/>
        <v>151724137.93103451</v>
      </c>
      <c r="AF634" s="77">
        <f t="shared" si="118"/>
        <v>-27937947191.068966</v>
      </c>
      <c r="AG634" s="78" t="str">
        <f>VLOOKUP(Indicador!E694,[1]Diccionario!C$1:AC$150,27,0)</f>
        <v>https://growdatasas.sharepoint.com/:x:/r/sites/Gestiondocumental/Administrativa/GD/Financiera/_layouts/15/Doc.aspx?sourcedoc=%7BA2729A87-3B6F-45F5-B35B-1B6F95CA8221%7D&amp;file=MODELO%20FINANCIERO%20FGN%20GrowData.xlsm&amp;action=default&amp;mobileredirect=true</v>
      </c>
      <c r="AH634" s="78">
        <v>1</v>
      </c>
      <c r="AI634" s="78">
        <v>1</v>
      </c>
      <c r="AJ634" s="78"/>
      <c r="AK634" s="78" t="s">
        <v>319</v>
      </c>
    </row>
    <row r="635" spans="1:37" ht="18.75" customHeight="1" x14ac:dyDescent="0.25">
      <c r="A635" s="64">
        <v>2026</v>
      </c>
      <c r="B635" s="65" t="s">
        <v>48</v>
      </c>
      <c r="C635" s="66" t="s">
        <v>373</v>
      </c>
      <c r="D635" s="67">
        <v>45971.819201238424</v>
      </c>
      <c r="E635" s="66" t="s">
        <v>374</v>
      </c>
      <c r="F635" s="66" t="s">
        <v>364</v>
      </c>
      <c r="G635" s="66" t="s">
        <v>375</v>
      </c>
      <c r="H635" s="66" t="s">
        <v>376</v>
      </c>
      <c r="I635" s="66" t="s">
        <v>63</v>
      </c>
      <c r="J635" s="66" t="s">
        <v>377</v>
      </c>
      <c r="K635" s="66" t="s">
        <v>45</v>
      </c>
      <c r="L635" s="68">
        <f>VLOOKUP(E635,[1]Diccionario!C$2:AC$150,22,0)</f>
        <v>28089671329</v>
      </c>
      <c r="M635" s="69">
        <f>VLOOKUP(E635,[1]Diccionario!C$2:AC$150,24,0)</f>
        <v>45962</v>
      </c>
      <c r="N635" s="70">
        <f>VLOOKUP(E635,[1]Diccionario!C$2:AC$150,25,0)</f>
        <v>47787</v>
      </c>
      <c r="O635" s="71">
        <f>VLOOKUP(E635,[1]Diccionario!C$2:AC$150,26,0)</f>
        <v>60</v>
      </c>
      <c r="P635" s="71">
        <f t="shared" ca="1" si="108"/>
        <v>-55</v>
      </c>
      <c r="Q635" s="71">
        <f t="shared" ca="1" si="119"/>
        <v>5</v>
      </c>
      <c r="R635" s="66">
        <v>60</v>
      </c>
      <c r="S635" s="72">
        <v>0.3</v>
      </c>
      <c r="T635" s="72">
        <v>0.32</v>
      </c>
      <c r="U635" s="73">
        <f>U634+TablaIndicador[[#This Row],[Costo Mensual]]</f>
        <v>12661042000</v>
      </c>
      <c r="V635" s="74">
        <v>12617042000</v>
      </c>
      <c r="W635" s="73">
        <f t="shared" si="109"/>
        <v>8988694825.2800007</v>
      </c>
      <c r="X635" s="73">
        <f t="shared" si="110"/>
        <v>8426901398.6999998</v>
      </c>
      <c r="Y635" s="73">
        <f t="shared" si="111"/>
        <v>-3672347174.7199993</v>
      </c>
      <c r="Z635" s="73">
        <f t="shared" si="112"/>
        <v>561793426.58000088</v>
      </c>
      <c r="AA635" s="75">
        <f t="shared" si="113"/>
        <v>0.70994905674272313</v>
      </c>
      <c r="AB635" s="76" t="str">
        <f t="shared" si="114"/>
        <v>Costo ineficiente: se está gastando más de lo presupuestado</v>
      </c>
      <c r="AC635" s="76">
        <f t="shared" si="115"/>
        <v>1.0666666666666669</v>
      </c>
      <c r="AD635" s="76" t="str">
        <f t="shared" si="116"/>
        <v>Proyecto adelantado respecto al cronograma</v>
      </c>
      <c r="AE635" s="77">
        <f t="shared" si="117"/>
        <v>39565756250</v>
      </c>
      <c r="AF635" s="77">
        <f t="shared" si="118"/>
        <v>11476084921</v>
      </c>
      <c r="AG635" s="78" t="str">
        <f>VLOOKUP(Indicador!E695,[1]Diccionario!C$1:AC$150,27,0)</f>
        <v>https://growdatasas.sharepoint.com/:x:/r/sites/Gestiondocumental/Administrativa/GD/Financiera/_layouts/15/Doc.aspx?sourcedoc=%7BA2729A87-3B6F-45F5-B35B-1B6F95CA8221%7D&amp;file=MODELO%20FINANCIERO%20FGN%20GrowData.xlsm&amp;action=default&amp;mobileredirect=true</v>
      </c>
      <c r="AH635" s="78">
        <v>1</v>
      </c>
      <c r="AI635" s="78">
        <v>1</v>
      </c>
      <c r="AJ635" s="78"/>
      <c r="AK635" s="78" t="s">
        <v>319</v>
      </c>
    </row>
    <row r="636" spans="1:37" ht="18.75" customHeight="1" x14ac:dyDescent="0.25">
      <c r="A636" s="64">
        <v>2026</v>
      </c>
      <c r="B636" s="65" t="s">
        <v>49</v>
      </c>
      <c r="C636" s="66" t="s">
        <v>373</v>
      </c>
      <c r="D636" s="67">
        <v>45971.819201238424</v>
      </c>
      <c r="E636" s="66" t="s">
        <v>374</v>
      </c>
      <c r="F636" s="66" t="s">
        <v>364</v>
      </c>
      <c r="G636" s="66" t="s">
        <v>375</v>
      </c>
      <c r="H636" s="66" t="s">
        <v>376</v>
      </c>
      <c r="I636" s="66" t="s">
        <v>63</v>
      </c>
      <c r="J636" s="66" t="s">
        <v>377</v>
      </c>
      <c r="K636" s="66" t="s">
        <v>45</v>
      </c>
      <c r="L636" s="68">
        <f>VLOOKUP(E636,[1]Diccionario!C$2:AC$150,22,0)</f>
        <v>28089671329</v>
      </c>
      <c r="M636" s="69">
        <f>VLOOKUP(E636,[1]Diccionario!C$2:AC$150,24,0)</f>
        <v>45962</v>
      </c>
      <c r="N636" s="70">
        <f>VLOOKUP(E636,[1]Diccionario!C$2:AC$150,25,0)</f>
        <v>47787</v>
      </c>
      <c r="O636" s="71">
        <f>VLOOKUP(E636,[1]Diccionario!C$2:AC$150,26,0)</f>
        <v>60</v>
      </c>
      <c r="P636" s="71">
        <f t="shared" ca="1" si="108"/>
        <v>-55</v>
      </c>
      <c r="Q636" s="71">
        <f t="shared" ca="1" si="119"/>
        <v>5</v>
      </c>
      <c r="R636" s="66">
        <v>60</v>
      </c>
      <c r="S636" s="72">
        <v>0.31</v>
      </c>
      <c r="T636" s="72"/>
      <c r="U636" s="73">
        <f>U635+TablaIndicador[[#This Row],[Costo Mensual]]</f>
        <v>12661042000</v>
      </c>
      <c r="V636" s="73"/>
      <c r="W636" s="73">
        <f t="shared" si="109"/>
        <v>0</v>
      </c>
      <c r="X636" s="73">
        <f t="shared" si="110"/>
        <v>8707798111.9899998</v>
      </c>
      <c r="Y636" s="73">
        <f t="shared" si="111"/>
        <v>-12661042000</v>
      </c>
      <c r="Z636" s="73">
        <f t="shared" si="112"/>
        <v>-8707798111.9899998</v>
      </c>
      <c r="AA636" s="75">
        <f t="shared" si="113"/>
        <v>0</v>
      </c>
      <c r="AB636" s="76" t="str">
        <f t="shared" si="114"/>
        <v>No calculado</v>
      </c>
      <c r="AC636" s="76">
        <f t="shared" si="115"/>
        <v>0</v>
      </c>
      <c r="AD636" s="76" t="str">
        <f t="shared" si="116"/>
        <v>Sin Línea Base</v>
      </c>
      <c r="AE636" s="77">
        <f t="shared" si="117"/>
        <v>0</v>
      </c>
      <c r="AF636" s="77">
        <f t="shared" si="118"/>
        <v>-28089671329</v>
      </c>
      <c r="AG636" s="78" t="str">
        <f>VLOOKUP(Indicador!E696,[1]Diccionario!C$1:AC$150,27,0)</f>
        <v>https://growdatasas.sharepoint.com/:x:/r/sites/Gestiondocumental/Administrativa/GD/Financiera/_layouts/15/Doc.aspx?sourcedoc=%7BA2729A87-3B6F-45F5-B35B-1B6F95CA8221%7D&amp;file=MODELO%20FINANCIERO%20FGN%20GrowData.xlsm&amp;action=default&amp;mobileredirect=true</v>
      </c>
      <c r="AH636" s="78">
        <v>1</v>
      </c>
      <c r="AI636" s="78">
        <v>1</v>
      </c>
      <c r="AJ636" s="78"/>
      <c r="AK636" s="78" t="s">
        <v>319</v>
      </c>
    </row>
    <row r="637" spans="1:37" ht="18.75" customHeight="1" x14ac:dyDescent="0.25">
      <c r="A637" s="64">
        <v>2026</v>
      </c>
      <c r="B637" s="65" t="s">
        <v>50</v>
      </c>
      <c r="C637" s="66" t="s">
        <v>373</v>
      </c>
      <c r="D637" s="67">
        <v>45971.819201238424</v>
      </c>
      <c r="E637" s="66" t="s">
        <v>374</v>
      </c>
      <c r="F637" s="66" t="s">
        <v>364</v>
      </c>
      <c r="G637" s="66" t="s">
        <v>375</v>
      </c>
      <c r="H637" s="66" t="s">
        <v>376</v>
      </c>
      <c r="I637" s="66" t="s">
        <v>63</v>
      </c>
      <c r="J637" s="66" t="s">
        <v>377</v>
      </c>
      <c r="K637" s="66" t="s">
        <v>45</v>
      </c>
      <c r="L637" s="68">
        <f>VLOOKUP(E637,[1]Diccionario!C$2:AC$150,22,0)</f>
        <v>28089671329</v>
      </c>
      <c r="M637" s="69">
        <f>VLOOKUP(E637,[1]Diccionario!C$2:AC$150,24,0)</f>
        <v>45962</v>
      </c>
      <c r="N637" s="70">
        <f>VLOOKUP(E637,[1]Diccionario!C$2:AC$150,25,0)</f>
        <v>47787</v>
      </c>
      <c r="O637" s="71">
        <f>VLOOKUP(E637,[1]Diccionario!C$2:AC$150,26,0)</f>
        <v>60</v>
      </c>
      <c r="P637" s="71">
        <f t="shared" ca="1" si="108"/>
        <v>-55</v>
      </c>
      <c r="Q637" s="71">
        <f t="shared" ca="1" si="119"/>
        <v>5</v>
      </c>
      <c r="R637" s="66">
        <v>60</v>
      </c>
      <c r="S637" s="72">
        <v>0.32</v>
      </c>
      <c r="T637" s="72"/>
      <c r="U637" s="73">
        <f>U636+TablaIndicador[[#This Row],[Costo Mensual]]</f>
        <v>12661042000</v>
      </c>
      <c r="V637" s="73"/>
      <c r="W637" s="73">
        <f t="shared" si="109"/>
        <v>0</v>
      </c>
      <c r="X637" s="73">
        <f t="shared" si="110"/>
        <v>8988694825.2800007</v>
      </c>
      <c r="Y637" s="73">
        <f t="shared" si="111"/>
        <v>-12661042000</v>
      </c>
      <c r="Z637" s="73">
        <f t="shared" si="112"/>
        <v>-8988694825.2800007</v>
      </c>
      <c r="AA637" s="75">
        <f t="shared" si="113"/>
        <v>0</v>
      </c>
      <c r="AB637" s="76" t="str">
        <f t="shared" si="114"/>
        <v>No calculado</v>
      </c>
      <c r="AC637" s="76">
        <f t="shared" si="115"/>
        <v>0</v>
      </c>
      <c r="AD637" s="76" t="str">
        <f t="shared" si="116"/>
        <v>Sin Línea Base</v>
      </c>
      <c r="AE637" s="77">
        <f t="shared" si="117"/>
        <v>0</v>
      </c>
      <c r="AF637" s="77">
        <f t="shared" si="118"/>
        <v>-28089671329</v>
      </c>
      <c r="AG637" s="78" t="str">
        <f>VLOOKUP(Indicador!E697,[1]Diccionario!C$1:AC$150,27,0)</f>
        <v>https://growdatasas.sharepoint.com/:x:/r/sites/Gestiondocumental/Administrativa/GD/Financiera/_layouts/15/Doc.aspx?sourcedoc=%7B0EF085EC-8E84-47C2-BAD9-3C84DC86B615%7D&amp;file=20251301%20MODELO%20FINANCIERO%20REFERENCIA%20V7.4%20CCE_DIAN_20251031.xlsm&amp;action=default&amp;mobileredirect=true</v>
      </c>
      <c r="AH637" s="78">
        <v>1</v>
      </c>
      <c r="AI637" s="78">
        <v>1</v>
      </c>
      <c r="AJ637" s="78"/>
      <c r="AK637" s="78" t="s">
        <v>319</v>
      </c>
    </row>
    <row r="638" spans="1:37" ht="18.75" customHeight="1" x14ac:dyDescent="0.25">
      <c r="A638" s="64">
        <v>2026</v>
      </c>
      <c r="B638" s="65" t="s">
        <v>51</v>
      </c>
      <c r="C638" s="66" t="s">
        <v>373</v>
      </c>
      <c r="D638" s="67">
        <v>45971.819201238424</v>
      </c>
      <c r="E638" s="66" t="s">
        <v>374</v>
      </c>
      <c r="F638" s="66" t="s">
        <v>364</v>
      </c>
      <c r="G638" s="66" t="s">
        <v>375</v>
      </c>
      <c r="H638" s="66" t="s">
        <v>376</v>
      </c>
      <c r="I638" s="66" t="s">
        <v>63</v>
      </c>
      <c r="J638" s="66" t="s">
        <v>377</v>
      </c>
      <c r="K638" s="66" t="s">
        <v>45</v>
      </c>
      <c r="L638" s="68">
        <f>VLOOKUP(E638,[1]Diccionario!C$2:AC$150,22,0)</f>
        <v>28089671329</v>
      </c>
      <c r="M638" s="69">
        <f>VLOOKUP(E638,[1]Diccionario!C$2:AC$150,24,0)</f>
        <v>45962</v>
      </c>
      <c r="N638" s="70">
        <f>VLOOKUP(E638,[1]Diccionario!C$2:AC$150,25,0)</f>
        <v>47787</v>
      </c>
      <c r="O638" s="71">
        <f>VLOOKUP(E638,[1]Diccionario!C$2:AC$150,26,0)</f>
        <v>60</v>
      </c>
      <c r="P638" s="71">
        <f t="shared" ca="1" si="108"/>
        <v>-55</v>
      </c>
      <c r="Q638" s="71">
        <f t="shared" ca="1" si="119"/>
        <v>5</v>
      </c>
      <c r="R638" s="66">
        <v>60</v>
      </c>
      <c r="S638" s="72">
        <v>0.33</v>
      </c>
      <c r="T638" s="72"/>
      <c r="U638" s="73">
        <f>U637+TablaIndicador[[#This Row],[Costo Mensual]]</f>
        <v>12661042000</v>
      </c>
      <c r="V638" s="73"/>
      <c r="W638" s="73">
        <f t="shared" si="109"/>
        <v>0</v>
      </c>
      <c r="X638" s="73">
        <f t="shared" si="110"/>
        <v>9269591538.5699997</v>
      </c>
      <c r="Y638" s="73">
        <f t="shared" si="111"/>
        <v>-12661042000</v>
      </c>
      <c r="Z638" s="73">
        <f t="shared" si="112"/>
        <v>-9269591538.5699997</v>
      </c>
      <c r="AA638" s="75">
        <f t="shared" si="113"/>
        <v>0</v>
      </c>
      <c r="AB638" s="76" t="str">
        <f t="shared" si="114"/>
        <v>No calculado</v>
      </c>
      <c r="AC638" s="76">
        <f t="shared" si="115"/>
        <v>0</v>
      </c>
      <c r="AD638" s="76" t="str">
        <f t="shared" si="116"/>
        <v>Sin Línea Base</v>
      </c>
      <c r="AE638" s="77">
        <f t="shared" si="117"/>
        <v>0</v>
      </c>
      <c r="AF638" s="77">
        <f t="shared" si="118"/>
        <v>-28089671329</v>
      </c>
      <c r="AG638" s="78" t="str">
        <f>VLOOKUP(Indicador!E698,[1]Diccionario!C$1:AC$150,27,0)</f>
        <v>https://growdatasas.sharepoint.com/:x:/r/sites/Gestiondocumental/Administrativa/GD/Financiera/_layouts/15/Doc.aspx?sourcedoc=%7B0EF085EC-8E84-47C2-BAD9-3C84DC86B615%7D&amp;file=20251301%20MODELO%20FINANCIERO%20REFERENCIA%20V7.4%20CCE_DIAN_20251031.xlsm&amp;action=default&amp;mobileredirect=true</v>
      </c>
      <c r="AH638" s="78">
        <v>1</v>
      </c>
      <c r="AI638" s="78">
        <v>1</v>
      </c>
      <c r="AJ638" s="78"/>
      <c r="AK638" s="78" t="s">
        <v>319</v>
      </c>
    </row>
    <row r="639" spans="1:37" ht="18.75" customHeight="1" x14ac:dyDescent="0.25">
      <c r="A639" s="64">
        <v>2026</v>
      </c>
      <c r="B639" s="65" t="s">
        <v>52</v>
      </c>
      <c r="C639" s="66" t="s">
        <v>373</v>
      </c>
      <c r="D639" s="67">
        <v>45971.819201238424</v>
      </c>
      <c r="E639" s="66" t="s">
        <v>374</v>
      </c>
      <c r="F639" s="66" t="s">
        <v>364</v>
      </c>
      <c r="G639" s="66" t="s">
        <v>375</v>
      </c>
      <c r="H639" s="66" t="s">
        <v>376</v>
      </c>
      <c r="I639" s="66" t="s">
        <v>63</v>
      </c>
      <c r="J639" s="66" t="s">
        <v>377</v>
      </c>
      <c r="K639" s="66" t="s">
        <v>45</v>
      </c>
      <c r="L639" s="68">
        <f>VLOOKUP(E639,[1]Diccionario!C$2:AC$150,22,0)</f>
        <v>28089671329</v>
      </c>
      <c r="M639" s="69">
        <f>VLOOKUP(E639,[1]Diccionario!C$2:AC$150,24,0)</f>
        <v>45962</v>
      </c>
      <c r="N639" s="70">
        <f>VLOOKUP(E639,[1]Diccionario!C$2:AC$150,25,0)</f>
        <v>47787</v>
      </c>
      <c r="O639" s="71">
        <f>VLOOKUP(E639,[1]Diccionario!C$2:AC$150,26,0)</f>
        <v>60</v>
      </c>
      <c r="P639" s="71">
        <f t="shared" ref="P639:P702" ca="1" si="120">Q639-O639</f>
        <v>-55</v>
      </c>
      <c r="Q639" s="71">
        <f t="shared" ca="1" si="119"/>
        <v>5</v>
      </c>
      <c r="R639" s="66">
        <v>60</v>
      </c>
      <c r="S639" s="72">
        <v>0.34</v>
      </c>
      <c r="T639" s="72"/>
      <c r="U639" s="73">
        <f>U638+TablaIndicador[[#This Row],[Costo Mensual]]</f>
        <v>12661042000</v>
      </c>
      <c r="V639" s="73"/>
      <c r="W639" s="73">
        <f t="shared" si="109"/>
        <v>0</v>
      </c>
      <c r="X639" s="73">
        <f t="shared" si="110"/>
        <v>9550488251.8600006</v>
      </c>
      <c r="Y639" s="73">
        <f t="shared" si="111"/>
        <v>-12661042000</v>
      </c>
      <c r="Z639" s="73">
        <f t="shared" si="112"/>
        <v>-9550488251.8600006</v>
      </c>
      <c r="AA639" s="75">
        <f t="shared" si="113"/>
        <v>0</v>
      </c>
      <c r="AB639" s="76" t="str">
        <f t="shared" si="114"/>
        <v>No calculado</v>
      </c>
      <c r="AC639" s="76">
        <f t="shared" si="115"/>
        <v>0</v>
      </c>
      <c r="AD639" s="76" t="str">
        <f t="shared" si="116"/>
        <v>Sin Línea Base</v>
      </c>
      <c r="AE639" s="77">
        <f t="shared" si="117"/>
        <v>0</v>
      </c>
      <c r="AF639" s="77">
        <f t="shared" si="118"/>
        <v>-28089671329</v>
      </c>
      <c r="AG639" s="78" t="str">
        <f>VLOOKUP(Indicador!E699,[1]Diccionario!C$1:AC$150,27,0)</f>
        <v>http://growdatasas.sharepoint.com/:x:/r/sites/Gestiondocumental/Administrativa/GD/Financiera/_layouts/15/Doc.aspx?sourcedoc=%7B01BE6969-C81D-4E83-B0DC-5E1ADEBADCFC%7D&amp;file=20251301%20MODELO%20FINANCIERO%20FISCALIA%20GOBIERNO%20DE%20DATOS%2017.12.25%20V5.xlsm&amp;action=default&amp;mobileredirect=true</v>
      </c>
      <c r="AH639" s="78">
        <v>1</v>
      </c>
      <c r="AI639" s="78">
        <v>1</v>
      </c>
      <c r="AJ639" s="78"/>
      <c r="AK639" s="78" t="s">
        <v>319</v>
      </c>
    </row>
    <row r="640" spans="1:37" ht="18.75" customHeight="1" x14ac:dyDescent="0.25">
      <c r="A640" s="64">
        <v>2026</v>
      </c>
      <c r="B640" s="65" t="s">
        <v>53</v>
      </c>
      <c r="C640" s="66" t="s">
        <v>373</v>
      </c>
      <c r="D640" s="67">
        <v>45971.819201238424</v>
      </c>
      <c r="E640" s="66" t="s">
        <v>374</v>
      </c>
      <c r="F640" s="66" t="s">
        <v>364</v>
      </c>
      <c r="G640" s="66" t="s">
        <v>375</v>
      </c>
      <c r="H640" s="66" t="s">
        <v>376</v>
      </c>
      <c r="I640" s="66" t="s">
        <v>63</v>
      </c>
      <c r="J640" s="66" t="s">
        <v>377</v>
      </c>
      <c r="K640" s="66" t="s">
        <v>45</v>
      </c>
      <c r="L640" s="68">
        <f>VLOOKUP(E640,[1]Diccionario!C$2:AC$150,22,0)</f>
        <v>28089671329</v>
      </c>
      <c r="M640" s="69">
        <f>VLOOKUP(E640,[1]Diccionario!C$2:AC$150,24,0)</f>
        <v>45962</v>
      </c>
      <c r="N640" s="70">
        <f>VLOOKUP(E640,[1]Diccionario!C$2:AC$150,25,0)</f>
        <v>47787</v>
      </c>
      <c r="O640" s="71">
        <f>VLOOKUP(E640,[1]Diccionario!C$2:AC$150,26,0)</f>
        <v>60</v>
      </c>
      <c r="P640" s="71">
        <f t="shared" ca="1" si="120"/>
        <v>-55</v>
      </c>
      <c r="Q640" s="71">
        <f t="shared" ca="1" si="119"/>
        <v>5</v>
      </c>
      <c r="R640" s="66">
        <v>60</v>
      </c>
      <c r="S640" s="72">
        <v>0.35</v>
      </c>
      <c r="T640" s="72"/>
      <c r="U640" s="73">
        <f>U639+TablaIndicador[[#This Row],[Costo Mensual]]</f>
        <v>12661042000</v>
      </c>
      <c r="V640" s="73"/>
      <c r="W640" s="73">
        <f t="shared" si="109"/>
        <v>0</v>
      </c>
      <c r="X640" s="73">
        <f t="shared" si="110"/>
        <v>9831384965.1499996</v>
      </c>
      <c r="Y640" s="73">
        <f t="shared" si="111"/>
        <v>-12661042000</v>
      </c>
      <c r="Z640" s="73">
        <f t="shared" si="112"/>
        <v>-9831384965.1499996</v>
      </c>
      <c r="AA640" s="75">
        <f t="shared" si="113"/>
        <v>0</v>
      </c>
      <c r="AB640" s="76" t="str">
        <f t="shared" si="114"/>
        <v>No calculado</v>
      </c>
      <c r="AC640" s="76">
        <f t="shared" si="115"/>
        <v>0</v>
      </c>
      <c r="AD640" s="76" t="str">
        <f t="shared" si="116"/>
        <v>Sin Línea Base</v>
      </c>
      <c r="AE640" s="77">
        <f t="shared" si="117"/>
        <v>0</v>
      </c>
      <c r="AF640" s="77">
        <f t="shared" si="118"/>
        <v>-28089671329</v>
      </c>
      <c r="AG640" s="78" t="str">
        <f>VLOOKUP(Indicador!E700,[1]Diccionario!C$1:AC$150,27,0)</f>
        <v>http://growdatasas.sharepoint.com/:x:/r/sites/Gestiondocumental/Administrativa/GD/Financiera/_layouts/15/Doc.aspx?sourcedoc=%7B01BE6969-C81D-4E83-B0DC-5E1ADEBADCFC%7D&amp;file=20251301%20MODELO%20FINANCIERO%20FISCALIA%20GOBIERNO%20DE%20DATOS%2017.12.25%20V5.xlsm&amp;action=default&amp;mobileredirect=true</v>
      </c>
      <c r="AH640" s="78">
        <v>1</v>
      </c>
      <c r="AI640" s="78">
        <v>1</v>
      </c>
      <c r="AJ640" s="78"/>
      <c r="AK640" s="78" t="s">
        <v>319</v>
      </c>
    </row>
    <row r="641" spans="1:37" ht="18.75" customHeight="1" x14ac:dyDescent="0.25">
      <c r="A641" s="64">
        <v>2026</v>
      </c>
      <c r="B641" s="65" t="s">
        <v>54</v>
      </c>
      <c r="C641" s="66" t="s">
        <v>373</v>
      </c>
      <c r="D641" s="67">
        <v>45971.819201238424</v>
      </c>
      <c r="E641" s="66" t="s">
        <v>374</v>
      </c>
      <c r="F641" s="66" t="s">
        <v>364</v>
      </c>
      <c r="G641" s="66" t="s">
        <v>375</v>
      </c>
      <c r="H641" s="66" t="s">
        <v>376</v>
      </c>
      <c r="I641" s="66" t="s">
        <v>63</v>
      </c>
      <c r="J641" s="66" t="s">
        <v>377</v>
      </c>
      <c r="K641" s="66" t="s">
        <v>45</v>
      </c>
      <c r="L641" s="68">
        <f>VLOOKUP(E641,[1]Diccionario!C$2:AC$150,22,0)</f>
        <v>28089671329</v>
      </c>
      <c r="M641" s="69">
        <f>VLOOKUP(E641,[1]Diccionario!C$2:AC$150,24,0)</f>
        <v>45962</v>
      </c>
      <c r="N641" s="70">
        <f>VLOOKUP(E641,[1]Diccionario!C$2:AC$150,25,0)</f>
        <v>47787</v>
      </c>
      <c r="O641" s="71">
        <f>VLOOKUP(E641,[1]Diccionario!C$2:AC$150,26,0)</f>
        <v>60</v>
      </c>
      <c r="P641" s="71">
        <f t="shared" ca="1" si="120"/>
        <v>-55</v>
      </c>
      <c r="Q641" s="71">
        <f t="shared" ca="1" si="119"/>
        <v>5</v>
      </c>
      <c r="R641" s="66">
        <v>60</v>
      </c>
      <c r="S641" s="72">
        <v>0.36</v>
      </c>
      <c r="T641" s="72"/>
      <c r="U641" s="73">
        <f>U640+TablaIndicador[[#This Row],[Costo Mensual]]</f>
        <v>12661042000</v>
      </c>
      <c r="V641" s="73"/>
      <c r="W641" s="73">
        <f t="shared" si="109"/>
        <v>0</v>
      </c>
      <c r="X641" s="73">
        <f t="shared" si="110"/>
        <v>10112281678.440001</v>
      </c>
      <c r="Y641" s="73">
        <f t="shared" si="111"/>
        <v>-12661042000</v>
      </c>
      <c r="Z641" s="73">
        <f t="shared" si="112"/>
        <v>-10112281678.440001</v>
      </c>
      <c r="AA641" s="75">
        <f t="shared" si="113"/>
        <v>0</v>
      </c>
      <c r="AB641" s="76" t="str">
        <f t="shared" si="114"/>
        <v>No calculado</v>
      </c>
      <c r="AC641" s="76">
        <f t="shared" si="115"/>
        <v>0</v>
      </c>
      <c r="AD641" s="76" t="str">
        <f t="shared" si="116"/>
        <v>Sin Línea Base</v>
      </c>
      <c r="AE641" s="77">
        <f t="shared" si="117"/>
        <v>0</v>
      </c>
      <c r="AF641" s="77">
        <f t="shared" si="118"/>
        <v>-28089671329</v>
      </c>
      <c r="AG641" s="78" t="str">
        <f>VLOOKUP(Indicador!E701,[1]Diccionario!C$1:AC$150,27,0)</f>
        <v>http://growdatasas.sharepoint.com/:x:/r/sites/Gestiondocumental/Administrativa/GD/Financiera/_layouts/15/Doc.aspx?sourcedoc=%7B01BE6969-C81D-4E83-B0DC-5E1ADEBADCFC%7D&amp;file=20251301%20MODELO%20FINANCIERO%20FISCALIA%20GOBIERNO%20DE%20DATOS%2017.12.25%20V5.xlsm&amp;action=default&amp;mobileredirect=true</v>
      </c>
      <c r="AH641" s="78">
        <v>1</v>
      </c>
      <c r="AI641" s="78">
        <v>1</v>
      </c>
      <c r="AJ641" s="78"/>
      <c r="AK641" s="78" t="s">
        <v>319</v>
      </c>
    </row>
    <row r="642" spans="1:37" ht="18.75" customHeight="1" x14ac:dyDescent="0.25">
      <c r="A642" s="64">
        <v>2026</v>
      </c>
      <c r="B642" s="65" t="s">
        <v>55</v>
      </c>
      <c r="C642" s="66" t="s">
        <v>373</v>
      </c>
      <c r="D642" s="67">
        <v>45971.819201238424</v>
      </c>
      <c r="E642" s="66" t="s">
        <v>374</v>
      </c>
      <c r="F642" s="66" t="s">
        <v>364</v>
      </c>
      <c r="G642" s="66" t="s">
        <v>375</v>
      </c>
      <c r="H642" s="66" t="s">
        <v>376</v>
      </c>
      <c r="I642" s="66" t="s">
        <v>63</v>
      </c>
      <c r="J642" s="66" t="s">
        <v>377</v>
      </c>
      <c r="K642" s="66" t="s">
        <v>45</v>
      </c>
      <c r="L642" s="68">
        <f>VLOOKUP(E642,[1]Diccionario!C$2:AC$150,22,0)</f>
        <v>28089671329</v>
      </c>
      <c r="M642" s="69">
        <f>VLOOKUP(E642,[1]Diccionario!C$2:AC$150,24,0)</f>
        <v>45962</v>
      </c>
      <c r="N642" s="70">
        <f>VLOOKUP(E642,[1]Diccionario!C$2:AC$150,25,0)</f>
        <v>47787</v>
      </c>
      <c r="O642" s="71">
        <f>VLOOKUP(E642,[1]Diccionario!C$2:AC$150,26,0)</f>
        <v>60</v>
      </c>
      <c r="P642" s="71">
        <f t="shared" ca="1" si="120"/>
        <v>-55</v>
      </c>
      <c r="Q642" s="71">
        <f t="shared" ca="1" si="119"/>
        <v>5</v>
      </c>
      <c r="R642" s="66">
        <v>60</v>
      </c>
      <c r="S642" s="72">
        <v>0.37</v>
      </c>
      <c r="T642" s="72"/>
      <c r="U642" s="73">
        <f>U641+TablaIndicador[[#This Row],[Costo Mensual]]</f>
        <v>12661042000</v>
      </c>
      <c r="V642" s="73"/>
      <c r="W642" s="73">
        <f t="shared" ref="W642:W705" si="121">IFERROR(T642*L642,0)</f>
        <v>0</v>
      </c>
      <c r="X642" s="73">
        <f t="shared" ref="X642:X705" si="122">S642*L642</f>
        <v>10393178391.73</v>
      </c>
      <c r="Y642" s="73">
        <f t="shared" ref="Y642:Y705" si="123">IFERROR(W642-U642,0)</f>
        <v>-12661042000</v>
      </c>
      <c r="Z642" s="73">
        <f t="shared" ref="Z642:Z705" si="124">W642-X642</f>
        <v>-10393178391.73</v>
      </c>
      <c r="AA642" s="75">
        <f t="shared" ref="AA642:AA705" si="125">IFERROR(W642/U642,"No se realizó gasto en este corte")</f>
        <v>0</v>
      </c>
      <c r="AB642" s="76" t="str">
        <f t="shared" ref="AB642:AB705" si="126">IFERROR(
  IF(OR(AA642="",AA642=0),
    "No calculado",
    IF(AA642&gt;1,"Costo eficiente: se está gastando menos de lo presupuestado",
      IF(AA642=1,"Costo según lo presupuestado",
        "Costo ineficiente: se está gastando más de lo presupuestado"))),
"No calculado")</f>
        <v>No calculado</v>
      </c>
      <c r="AC642" s="76">
        <f t="shared" ref="AC642:AC705" si="127">IFERROR(W642/X642,0)</f>
        <v>0</v>
      </c>
      <c r="AD642" s="76" t="str">
        <f t="shared" ref="AD642:AD705" si="128">IF(OR(AC642="",AC642=0),"Sin Línea Base",
IF(AC642&gt;1,"Proyecto adelantado respecto al cronograma",
IF(AC642=1,"Proyecto a tiempo según lo planificado",
IF(AC642&lt;1,"Proyecto atrasado con respecto al cronograma",
"No calculado"))))</f>
        <v>Sin Línea Base</v>
      </c>
      <c r="AE642" s="77">
        <f t="shared" ref="AE642:AE705" si="129">IFERROR(L642/AA642,0)</f>
        <v>0</v>
      </c>
      <c r="AF642" s="77">
        <f t="shared" ref="AF642:AF705" si="130">IFERROR(AE642-L642,0)</f>
        <v>-28089671329</v>
      </c>
      <c r="AG642" s="78" t="str">
        <f>VLOOKUP(Indicador!E702,[1]Diccionario!C$1:AC$150,27,0)</f>
        <v>http://growdatasas.sharepoint.com/:x:/r/sites/Gestiondocumental/Administrativa/GD/Financiera/_layouts/15/Doc.aspx?sourcedoc=%7B01BE6969-C81D-4E83-B0DC-5E1ADEBADCFC%7D&amp;file=20251301%20MODELO%20FINANCIERO%20FISCALIA%20GOBIERNO%20DE%20DATOS%2017.12.25%20V5.xlsm&amp;action=default&amp;mobileredirect=true</v>
      </c>
      <c r="AH642" s="78">
        <v>1</v>
      </c>
      <c r="AI642" s="78">
        <v>1</v>
      </c>
      <c r="AJ642" s="78"/>
      <c r="AK642" s="78" t="s">
        <v>319</v>
      </c>
    </row>
    <row r="643" spans="1:37" ht="18.75" customHeight="1" x14ac:dyDescent="0.25">
      <c r="A643" s="64">
        <v>2026</v>
      </c>
      <c r="B643" s="65" t="s">
        <v>56</v>
      </c>
      <c r="C643" s="66" t="s">
        <v>373</v>
      </c>
      <c r="D643" s="67">
        <v>45971.819201238424</v>
      </c>
      <c r="E643" s="66" t="s">
        <v>374</v>
      </c>
      <c r="F643" s="66" t="s">
        <v>364</v>
      </c>
      <c r="G643" s="66" t="s">
        <v>375</v>
      </c>
      <c r="H643" s="66" t="s">
        <v>376</v>
      </c>
      <c r="I643" s="66" t="s">
        <v>63</v>
      </c>
      <c r="J643" s="66" t="s">
        <v>377</v>
      </c>
      <c r="K643" s="66" t="s">
        <v>45</v>
      </c>
      <c r="L643" s="68">
        <f>VLOOKUP(E643,[1]Diccionario!C$2:AC$150,22,0)</f>
        <v>28089671329</v>
      </c>
      <c r="M643" s="69">
        <f>VLOOKUP(E643,[1]Diccionario!C$2:AC$150,24,0)</f>
        <v>45962</v>
      </c>
      <c r="N643" s="70">
        <f>VLOOKUP(E643,[1]Diccionario!C$2:AC$150,25,0)</f>
        <v>47787</v>
      </c>
      <c r="O643" s="71">
        <f>VLOOKUP(E643,[1]Diccionario!C$2:AC$150,26,0)</f>
        <v>60</v>
      </c>
      <c r="P643" s="71">
        <f t="shared" ca="1" si="120"/>
        <v>-55</v>
      </c>
      <c r="Q643" s="71">
        <f t="shared" ca="1" si="119"/>
        <v>5</v>
      </c>
      <c r="R643" s="66">
        <v>60</v>
      </c>
      <c r="S643" s="72">
        <v>0.38</v>
      </c>
      <c r="T643" s="72"/>
      <c r="U643" s="73">
        <f>U642+TablaIndicador[[#This Row],[Costo Mensual]]</f>
        <v>12661042000</v>
      </c>
      <c r="V643" s="73"/>
      <c r="W643" s="73">
        <f t="shared" si="121"/>
        <v>0</v>
      </c>
      <c r="X643" s="73">
        <f t="shared" si="122"/>
        <v>10674075105.02</v>
      </c>
      <c r="Y643" s="73">
        <f t="shared" si="123"/>
        <v>-12661042000</v>
      </c>
      <c r="Z643" s="73">
        <f t="shared" si="124"/>
        <v>-10674075105.02</v>
      </c>
      <c r="AA643" s="75">
        <f t="shared" si="125"/>
        <v>0</v>
      </c>
      <c r="AB643" s="76" t="str">
        <f t="shared" si="126"/>
        <v>No calculado</v>
      </c>
      <c r="AC643" s="76">
        <f t="shared" si="127"/>
        <v>0</v>
      </c>
      <c r="AD643" s="76" t="str">
        <f t="shared" si="128"/>
        <v>Sin Línea Base</v>
      </c>
      <c r="AE643" s="77">
        <f t="shared" si="129"/>
        <v>0</v>
      </c>
      <c r="AF643" s="77">
        <f t="shared" si="130"/>
        <v>-28089671329</v>
      </c>
      <c r="AG643" s="78" t="str">
        <f>VLOOKUP(Indicador!E703,[1]Diccionario!C$1:AC$150,27,0)</f>
        <v>http://growdatasas.sharepoint.com/:x:/r/sites/Gestiondocumental/Administrativa/GD/Financiera/_layouts/15/Doc.aspx?sourcedoc=%7B01BE6969-C81D-4E83-B0DC-5E1ADEBADCFC%7D&amp;file=20251301%20MODELO%20FINANCIERO%20FISCALIA%20GOBIERNO%20DE%20DATOS%2017.12.25%20V5.xlsm&amp;action=default&amp;mobileredirect=true</v>
      </c>
      <c r="AH643" s="78">
        <v>1</v>
      </c>
      <c r="AI643" s="78">
        <v>1</v>
      </c>
      <c r="AJ643" s="78"/>
      <c r="AK643" s="78" t="s">
        <v>319</v>
      </c>
    </row>
    <row r="644" spans="1:37" ht="18.75" customHeight="1" x14ac:dyDescent="0.25">
      <c r="A644" s="64">
        <v>2026</v>
      </c>
      <c r="B644" s="65" t="s">
        <v>57</v>
      </c>
      <c r="C644" s="66" t="s">
        <v>373</v>
      </c>
      <c r="D644" s="67">
        <v>45971.819201238424</v>
      </c>
      <c r="E644" s="66" t="s">
        <v>374</v>
      </c>
      <c r="F644" s="66" t="s">
        <v>364</v>
      </c>
      <c r="G644" s="66" t="s">
        <v>375</v>
      </c>
      <c r="H644" s="66" t="s">
        <v>376</v>
      </c>
      <c r="I644" s="66" t="s">
        <v>63</v>
      </c>
      <c r="J644" s="66" t="s">
        <v>377</v>
      </c>
      <c r="K644" s="66" t="s">
        <v>45</v>
      </c>
      <c r="L644" s="68">
        <f>VLOOKUP(E644,[1]Diccionario!C$2:AC$150,22,0)</f>
        <v>28089671329</v>
      </c>
      <c r="M644" s="69">
        <f>VLOOKUP(E644,[1]Diccionario!C$2:AC$150,24,0)</f>
        <v>45962</v>
      </c>
      <c r="N644" s="70">
        <f>VLOOKUP(E644,[1]Diccionario!C$2:AC$150,25,0)</f>
        <v>47787</v>
      </c>
      <c r="O644" s="71">
        <f>VLOOKUP(E644,[1]Diccionario!C$2:AC$150,26,0)</f>
        <v>60</v>
      </c>
      <c r="P644" s="71">
        <f t="shared" ca="1" si="120"/>
        <v>-55</v>
      </c>
      <c r="Q644" s="71">
        <f t="shared" ca="1" si="119"/>
        <v>5</v>
      </c>
      <c r="R644" s="66">
        <v>60</v>
      </c>
      <c r="S644" s="72">
        <v>0.38999999999999901</v>
      </c>
      <c r="T644" s="72"/>
      <c r="U644" s="73">
        <f>U643+TablaIndicador[[#This Row],[Costo Mensual]]</f>
        <v>12661042000</v>
      </c>
      <c r="V644" s="73"/>
      <c r="W644" s="73">
        <f t="shared" si="121"/>
        <v>0</v>
      </c>
      <c r="X644" s="73">
        <f t="shared" si="122"/>
        <v>10954971818.309973</v>
      </c>
      <c r="Y644" s="73">
        <f t="shared" si="123"/>
        <v>-12661042000</v>
      </c>
      <c r="Z644" s="73">
        <f t="shared" si="124"/>
        <v>-10954971818.309973</v>
      </c>
      <c r="AA644" s="75">
        <f t="shared" si="125"/>
        <v>0</v>
      </c>
      <c r="AB644" s="76" t="str">
        <f t="shared" si="126"/>
        <v>No calculado</v>
      </c>
      <c r="AC644" s="76">
        <f t="shared" si="127"/>
        <v>0</v>
      </c>
      <c r="AD644" s="76" t="str">
        <f t="shared" si="128"/>
        <v>Sin Línea Base</v>
      </c>
      <c r="AE644" s="77">
        <f t="shared" si="129"/>
        <v>0</v>
      </c>
      <c r="AF644" s="77">
        <f t="shared" si="130"/>
        <v>-28089671329</v>
      </c>
      <c r="AG644" s="78" t="str">
        <f>VLOOKUP(Indicador!E704,[1]Diccionario!C$1:AC$150,27,0)</f>
        <v>https://growdatasas.sharepoint.com/:x:/r/sites/Gestiondocumental/Administrativa/GD/Financiera/_layouts/15/Doc.aspx?sourcedoc=%7BDC14EEB5-8BB0-4127-9C10-E6FA8B23CAA0%7D&amp;file=OK-%2020251301%20MODELO%20FINANCIERO%20FISCALIA%20FABRICA%20DE%20SW%2011.09.25%20V1.xlsm&amp;action=default&amp;mobileredirect=true</v>
      </c>
      <c r="AH644" s="78">
        <v>1</v>
      </c>
      <c r="AI644" s="78">
        <v>1</v>
      </c>
      <c r="AJ644" s="78"/>
      <c r="AK644" s="78" t="s">
        <v>319</v>
      </c>
    </row>
    <row r="645" spans="1:37" ht="18.75" customHeight="1" x14ac:dyDescent="0.25">
      <c r="A645" s="64">
        <v>2027</v>
      </c>
      <c r="B645" s="65" t="s">
        <v>37</v>
      </c>
      <c r="C645" s="66" t="s">
        <v>373</v>
      </c>
      <c r="D645" s="67">
        <v>45971.819201238424</v>
      </c>
      <c r="E645" s="66" t="s">
        <v>374</v>
      </c>
      <c r="F645" s="66" t="s">
        <v>364</v>
      </c>
      <c r="G645" s="66" t="s">
        <v>375</v>
      </c>
      <c r="H645" s="66" t="s">
        <v>376</v>
      </c>
      <c r="I645" s="66" t="s">
        <v>63</v>
      </c>
      <c r="J645" s="66" t="s">
        <v>377</v>
      </c>
      <c r="K645" s="66" t="s">
        <v>45</v>
      </c>
      <c r="L645" s="68">
        <f>VLOOKUP(E645,[1]Diccionario!C$2:AC$150,22,0)</f>
        <v>28089671329</v>
      </c>
      <c r="M645" s="69">
        <f>VLOOKUP(E645,[1]Diccionario!C$2:AC$150,24,0)</f>
        <v>45962</v>
      </c>
      <c r="N645" s="70">
        <f>VLOOKUP(E645,[1]Diccionario!C$2:AC$150,25,0)</f>
        <v>47787</v>
      </c>
      <c r="O645" s="71">
        <f>VLOOKUP(E645,[1]Diccionario!C$2:AC$150,26,0)</f>
        <v>60</v>
      </c>
      <c r="P645" s="71">
        <f t="shared" ca="1" si="120"/>
        <v>-55</v>
      </c>
      <c r="Q645" s="71">
        <f t="shared" ca="1" si="119"/>
        <v>5</v>
      </c>
      <c r="R645" s="66">
        <v>60</v>
      </c>
      <c r="S645" s="72">
        <v>0.39999999999999902</v>
      </c>
      <c r="T645" s="72"/>
      <c r="U645" s="73">
        <f>U644+TablaIndicador[[#This Row],[Costo Mensual]]</f>
        <v>12661042000</v>
      </c>
      <c r="V645" s="73"/>
      <c r="W645" s="73">
        <f t="shared" si="121"/>
        <v>0</v>
      </c>
      <c r="X645" s="73">
        <f t="shared" si="122"/>
        <v>11235868531.599972</v>
      </c>
      <c r="Y645" s="73">
        <f t="shared" si="123"/>
        <v>-12661042000</v>
      </c>
      <c r="Z645" s="73">
        <f t="shared" si="124"/>
        <v>-11235868531.599972</v>
      </c>
      <c r="AA645" s="75">
        <f t="shared" si="125"/>
        <v>0</v>
      </c>
      <c r="AB645" s="76" t="str">
        <f t="shared" si="126"/>
        <v>No calculado</v>
      </c>
      <c r="AC645" s="76">
        <f t="shared" si="127"/>
        <v>0</v>
      </c>
      <c r="AD645" s="76" t="str">
        <f t="shared" si="128"/>
        <v>Sin Línea Base</v>
      </c>
      <c r="AE645" s="77">
        <f t="shared" si="129"/>
        <v>0</v>
      </c>
      <c r="AF645" s="77">
        <f t="shared" si="130"/>
        <v>-28089671329</v>
      </c>
      <c r="AG645" s="78" t="str">
        <f>VLOOKUP(Indicador!E705,[1]Diccionario!C$1:AC$150,27,0)</f>
        <v>https://growdatasas.sharepoint.com/:x:/r/sites/Gestiondocumental/Administrativa/GD/Financiera/_layouts/15/Doc.aspx?sourcedoc=%7BDC14EEB5-8BB0-4127-9C10-E6FA8B23CAA0%7D&amp;file=OK-%2020251301%20MODELO%20FINANCIERO%20FISCALIA%20FABRICA%20DE%20SW%2011.09.25%20V1.xlsm&amp;action=default&amp;mobileredirect=true</v>
      </c>
      <c r="AH645" s="78">
        <v>1</v>
      </c>
      <c r="AI645" s="78">
        <v>1</v>
      </c>
      <c r="AJ645" s="78"/>
      <c r="AK645" s="78" t="s">
        <v>319</v>
      </c>
    </row>
    <row r="646" spans="1:37" s="28" customFormat="1" ht="18.75" customHeight="1" x14ac:dyDescent="0.25">
      <c r="A646" s="64">
        <v>2027</v>
      </c>
      <c r="B646" s="65" t="s">
        <v>47</v>
      </c>
      <c r="C646" s="66" t="s">
        <v>373</v>
      </c>
      <c r="D646" s="67">
        <v>45971.819201238424</v>
      </c>
      <c r="E646" s="66" t="s">
        <v>374</v>
      </c>
      <c r="F646" s="66" t="s">
        <v>364</v>
      </c>
      <c r="G646" s="66" t="s">
        <v>375</v>
      </c>
      <c r="H646" s="66" t="s">
        <v>376</v>
      </c>
      <c r="I646" s="66" t="s">
        <v>63</v>
      </c>
      <c r="J646" s="66" t="s">
        <v>377</v>
      </c>
      <c r="K646" s="66" t="s">
        <v>45</v>
      </c>
      <c r="L646" s="68">
        <f>VLOOKUP(E646,[1]Diccionario!C$2:AC$150,22,0)</f>
        <v>28089671329</v>
      </c>
      <c r="M646" s="69">
        <f>VLOOKUP(E646,[1]Diccionario!C$2:AC$150,24,0)</f>
        <v>45962</v>
      </c>
      <c r="N646" s="70">
        <f>VLOOKUP(E646,[1]Diccionario!C$2:AC$150,25,0)</f>
        <v>47787</v>
      </c>
      <c r="O646" s="71">
        <f>VLOOKUP(E646,[1]Diccionario!C$2:AC$150,26,0)</f>
        <v>60</v>
      </c>
      <c r="P646" s="71">
        <f t="shared" ca="1" si="120"/>
        <v>-55</v>
      </c>
      <c r="Q646" s="71">
        <f t="shared" ca="1" si="119"/>
        <v>5</v>
      </c>
      <c r="R646" s="66">
        <v>60</v>
      </c>
      <c r="S646" s="72">
        <v>0.40999999999999898</v>
      </c>
      <c r="T646" s="72"/>
      <c r="U646" s="73">
        <f>U645+TablaIndicador[[#This Row],[Costo Mensual]]</f>
        <v>12661042000</v>
      </c>
      <c r="V646" s="73"/>
      <c r="W646" s="73">
        <f t="shared" si="121"/>
        <v>0</v>
      </c>
      <c r="X646" s="73">
        <f t="shared" si="122"/>
        <v>11516765244.889971</v>
      </c>
      <c r="Y646" s="73">
        <f t="shared" si="123"/>
        <v>-12661042000</v>
      </c>
      <c r="Z646" s="73">
        <f t="shared" si="124"/>
        <v>-11516765244.889971</v>
      </c>
      <c r="AA646" s="75">
        <f t="shared" si="125"/>
        <v>0</v>
      </c>
      <c r="AB646" s="76" t="str">
        <f t="shared" si="126"/>
        <v>No calculado</v>
      </c>
      <c r="AC646" s="76">
        <f t="shared" si="127"/>
        <v>0</v>
      </c>
      <c r="AD646" s="76" t="str">
        <f t="shared" si="128"/>
        <v>Sin Línea Base</v>
      </c>
      <c r="AE646" s="77">
        <f t="shared" si="129"/>
        <v>0</v>
      </c>
      <c r="AF646" s="77">
        <f t="shared" si="130"/>
        <v>-28089671329</v>
      </c>
      <c r="AG646" s="78" t="str">
        <f>VLOOKUP(Indicador!E706,[1]Diccionario!C$1:AC$150,27,0)</f>
        <v>https://growdatasas.sharepoint.com/:x:/r/sites/Gestiondocumental/Administrativa/GD/Financiera/_layouts/15/Doc.aspx?sourcedoc=%7BDC14EEB5-8BB0-4127-9C10-E6FA8B23CAA0%7D&amp;file=OK-%2020251301%20MODELO%20FINANCIERO%20FISCALIA%20FABRICA%20DE%20SW%2011.09.25%20V1.xlsm&amp;action=default&amp;mobileredirect=true</v>
      </c>
      <c r="AH646" s="78">
        <v>1</v>
      </c>
      <c r="AI646" s="78">
        <v>1</v>
      </c>
      <c r="AJ646" s="78"/>
      <c r="AK646" s="78" t="s">
        <v>319</v>
      </c>
    </row>
    <row r="647" spans="1:37" ht="18.75" customHeight="1" x14ac:dyDescent="0.25">
      <c r="A647" s="64">
        <v>2027</v>
      </c>
      <c r="B647" s="65" t="s">
        <v>48</v>
      </c>
      <c r="C647" s="66" t="s">
        <v>373</v>
      </c>
      <c r="D647" s="67">
        <v>45971.819201238424</v>
      </c>
      <c r="E647" s="66" t="s">
        <v>374</v>
      </c>
      <c r="F647" s="66" t="s">
        <v>364</v>
      </c>
      <c r="G647" s="66" t="s">
        <v>375</v>
      </c>
      <c r="H647" s="66" t="s">
        <v>376</v>
      </c>
      <c r="I647" s="66" t="s">
        <v>63</v>
      </c>
      <c r="J647" s="66" t="s">
        <v>377</v>
      </c>
      <c r="K647" s="66" t="s">
        <v>45</v>
      </c>
      <c r="L647" s="68">
        <f>VLOOKUP(E647,[1]Diccionario!C$2:AC$150,22,0)</f>
        <v>28089671329</v>
      </c>
      <c r="M647" s="69">
        <f>VLOOKUP(E647,[1]Diccionario!C$2:AC$150,24,0)</f>
        <v>45962</v>
      </c>
      <c r="N647" s="70">
        <f>VLOOKUP(E647,[1]Diccionario!C$2:AC$150,25,0)</f>
        <v>47787</v>
      </c>
      <c r="O647" s="71">
        <f>VLOOKUP(E647,[1]Diccionario!C$2:AC$150,26,0)</f>
        <v>60</v>
      </c>
      <c r="P647" s="71">
        <f t="shared" ca="1" si="120"/>
        <v>-55</v>
      </c>
      <c r="Q647" s="71">
        <f t="shared" ca="1" si="119"/>
        <v>5</v>
      </c>
      <c r="R647" s="66">
        <v>60</v>
      </c>
      <c r="S647" s="72">
        <v>0.41999999999999899</v>
      </c>
      <c r="T647" s="72"/>
      <c r="U647" s="73">
        <f>U646+TablaIndicador[[#This Row],[Costo Mensual]]</f>
        <v>12661042000</v>
      </c>
      <c r="V647" s="73"/>
      <c r="W647" s="73">
        <f t="shared" si="121"/>
        <v>0</v>
      </c>
      <c r="X647" s="73">
        <f t="shared" si="122"/>
        <v>11797661958.179972</v>
      </c>
      <c r="Y647" s="73">
        <f t="shared" si="123"/>
        <v>-12661042000</v>
      </c>
      <c r="Z647" s="73">
        <f t="shared" si="124"/>
        <v>-11797661958.179972</v>
      </c>
      <c r="AA647" s="75">
        <f t="shared" si="125"/>
        <v>0</v>
      </c>
      <c r="AB647" s="76" t="str">
        <f t="shared" si="126"/>
        <v>No calculado</v>
      </c>
      <c r="AC647" s="76">
        <f t="shared" si="127"/>
        <v>0</v>
      </c>
      <c r="AD647" s="76" t="str">
        <f t="shared" si="128"/>
        <v>Sin Línea Base</v>
      </c>
      <c r="AE647" s="77">
        <f t="shared" si="129"/>
        <v>0</v>
      </c>
      <c r="AF647" s="77">
        <f t="shared" si="130"/>
        <v>-28089671329</v>
      </c>
      <c r="AG647" s="78" t="str">
        <f>VLOOKUP(Indicador!E707,[1]Diccionario!C$1:AC$150,27,0)</f>
        <v>https://growdatasas.sharepoint.com/:x:/r/sites/Gestiondocumental/Administrativa/GD/Financiera/_layouts/15/Doc.aspx?sourcedoc=%7BDC14EEB5-8BB0-4127-9C10-E6FA8B23CAA0%7D&amp;file=OK-%2020251301%20MODELO%20FINANCIERO%20FISCALIA%20FABRICA%20DE%20SW%2011.09.25%20V1.xlsm&amp;action=default&amp;mobileredirect=true</v>
      </c>
      <c r="AH647" s="78">
        <v>1</v>
      </c>
      <c r="AI647" s="78">
        <v>1</v>
      </c>
      <c r="AJ647" s="78"/>
      <c r="AK647" s="78" t="s">
        <v>319</v>
      </c>
    </row>
    <row r="648" spans="1:37" ht="18.75" customHeight="1" x14ac:dyDescent="0.25">
      <c r="A648" s="64">
        <v>2027</v>
      </c>
      <c r="B648" s="65" t="s">
        <v>49</v>
      </c>
      <c r="C648" s="66" t="s">
        <v>373</v>
      </c>
      <c r="D648" s="67">
        <v>45971.819201238424</v>
      </c>
      <c r="E648" s="66" t="s">
        <v>374</v>
      </c>
      <c r="F648" s="66" t="s">
        <v>364</v>
      </c>
      <c r="G648" s="66" t="s">
        <v>375</v>
      </c>
      <c r="H648" s="66" t="s">
        <v>376</v>
      </c>
      <c r="I648" s="66" t="s">
        <v>63</v>
      </c>
      <c r="J648" s="66" t="s">
        <v>377</v>
      </c>
      <c r="K648" s="66" t="s">
        <v>45</v>
      </c>
      <c r="L648" s="68">
        <f>VLOOKUP(E648,[1]Diccionario!C$2:AC$150,22,0)</f>
        <v>28089671329</v>
      </c>
      <c r="M648" s="69">
        <f>VLOOKUP(E648,[1]Diccionario!C$2:AC$150,24,0)</f>
        <v>45962</v>
      </c>
      <c r="N648" s="70">
        <f>VLOOKUP(E648,[1]Diccionario!C$2:AC$150,25,0)</f>
        <v>47787</v>
      </c>
      <c r="O648" s="71">
        <f>VLOOKUP(E648,[1]Diccionario!C$2:AC$150,26,0)</f>
        <v>60</v>
      </c>
      <c r="P648" s="71">
        <f t="shared" ca="1" si="120"/>
        <v>-55</v>
      </c>
      <c r="Q648" s="71">
        <f t="shared" ca="1" si="119"/>
        <v>5</v>
      </c>
      <c r="R648" s="66">
        <v>60</v>
      </c>
      <c r="S648" s="72">
        <v>0.42999999999999899</v>
      </c>
      <c r="T648" s="72"/>
      <c r="U648" s="73">
        <f>U647+TablaIndicador[[#This Row],[Costo Mensual]]</f>
        <v>12661042000</v>
      </c>
      <c r="V648" s="73"/>
      <c r="W648" s="73">
        <f t="shared" si="121"/>
        <v>0</v>
      </c>
      <c r="X648" s="73">
        <f t="shared" si="122"/>
        <v>12078558671.469973</v>
      </c>
      <c r="Y648" s="73">
        <f t="shared" si="123"/>
        <v>-12661042000</v>
      </c>
      <c r="Z648" s="73">
        <f t="shared" si="124"/>
        <v>-12078558671.469973</v>
      </c>
      <c r="AA648" s="75">
        <f t="shared" si="125"/>
        <v>0</v>
      </c>
      <c r="AB648" s="76" t="str">
        <f t="shared" si="126"/>
        <v>No calculado</v>
      </c>
      <c r="AC648" s="76">
        <f t="shared" si="127"/>
        <v>0</v>
      </c>
      <c r="AD648" s="76" t="str">
        <f t="shared" si="128"/>
        <v>Sin Línea Base</v>
      </c>
      <c r="AE648" s="77">
        <f t="shared" si="129"/>
        <v>0</v>
      </c>
      <c r="AF648" s="77">
        <f t="shared" si="130"/>
        <v>-28089671329</v>
      </c>
      <c r="AG648" s="78" t="str">
        <f>VLOOKUP(Indicador!E708,[1]Diccionario!C$1:AC$150,27,0)</f>
        <v>https://growdatasas.sharepoint.com/:x:/r/sites/Gestiondocumental/Administrativa/GD/Financiera/_layouts/15/Doc.aspx?sourcedoc=%7BDC14EEB5-8BB0-4127-9C10-E6FA8B23CAA0%7D&amp;file=OK-%2020251301%20MODELO%20FINANCIERO%20FISCALIA%20FABRICA%20DE%20SW%2011.09.25%20V1.xlsm&amp;action=default&amp;mobileredirect=true</v>
      </c>
      <c r="AH648" s="78">
        <v>1</v>
      </c>
      <c r="AI648" s="78">
        <v>1</v>
      </c>
      <c r="AJ648" s="78"/>
      <c r="AK648" s="78" t="s">
        <v>319</v>
      </c>
    </row>
    <row r="649" spans="1:37" ht="18.75" customHeight="1" x14ac:dyDescent="0.25">
      <c r="A649" s="64">
        <v>2027</v>
      </c>
      <c r="B649" s="65" t="s">
        <v>50</v>
      </c>
      <c r="C649" s="66" t="s">
        <v>373</v>
      </c>
      <c r="D649" s="67">
        <v>45971.819201238424</v>
      </c>
      <c r="E649" s="66" t="s">
        <v>374</v>
      </c>
      <c r="F649" s="66" t="s">
        <v>364</v>
      </c>
      <c r="G649" s="66" t="s">
        <v>375</v>
      </c>
      <c r="H649" s="66" t="s">
        <v>376</v>
      </c>
      <c r="I649" s="66" t="s">
        <v>63</v>
      </c>
      <c r="J649" s="66" t="s">
        <v>377</v>
      </c>
      <c r="K649" s="66" t="s">
        <v>45</v>
      </c>
      <c r="L649" s="68">
        <f>VLOOKUP(E649,[1]Diccionario!C$2:AC$150,22,0)</f>
        <v>28089671329</v>
      </c>
      <c r="M649" s="69">
        <f>VLOOKUP(E649,[1]Diccionario!C$2:AC$150,24,0)</f>
        <v>45962</v>
      </c>
      <c r="N649" s="70">
        <f>VLOOKUP(E649,[1]Diccionario!C$2:AC$150,25,0)</f>
        <v>47787</v>
      </c>
      <c r="O649" s="71">
        <f>VLOOKUP(E649,[1]Diccionario!C$2:AC$150,26,0)</f>
        <v>60</v>
      </c>
      <c r="P649" s="71">
        <f t="shared" ca="1" si="120"/>
        <v>-55</v>
      </c>
      <c r="Q649" s="71">
        <f t="shared" ca="1" si="119"/>
        <v>5</v>
      </c>
      <c r="R649" s="66">
        <v>60</v>
      </c>
      <c r="S649" s="72">
        <v>0.439999999999999</v>
      </c>
      <c r="T649" s="72"/>
      <c r="U649" s="73">
        <f>U648+TablaIndicador[[#This Row],[Costo Mensual]]</f>
        <v>12661042000</v>
      </c>
      <c r="V649" s="73"/>
      <c r="W649" s="73">
        <f t="shared" si="121"/>
        <v>0</v>
      </c>
      <c r="X649" s="73">
        <f t="shared" si="122"/>
        <v>12359455384.759972</v>
      </c>
      <c r="Y649" s="73">
        <f t="shared" si="123"/>
        <v>-12661042000</v>
      </c>
      <c r="Z649" s="73">
        <f t="shared" si="124"/>
        <v>-12359455384.759972</v>
      </c>
      <c r="AA649" s="75">
        <f t="shared" si="125"/>
        <v>0</v>
      </c>
      <c r="AB649" s="76" t="str">
        <f t="shared" si="126"/>
        <v>No calculado</v>
      </c>
      <c r="AC649" s="76">
        <f t="shared" si="127"/>
        <v>0</v>
      </c>
      <c r="AD649" s="76" t="str">
        <f t="shared" si="128"/>
        <v>Sin Línea Base</v>
      </c>
      <c r="AE649" s="77">
        <f t="shared" si="129"/>
        <v>0</v>
      </c>
      <c r="AF649" s="77">
        <f t="shared" si="130"/>
        <v>-28089671329</v>
      </c>
      <c r="AG649" s="78" t="str">
        <f>VLOOKUP(Indicador!E709,[1]Diccionario!C$1:AC$150,27,0)</f>
        <v>https://growdatasas.sharepoint.com/:x:/r/sites/Gestiondocumental/Administrativa/GD/Financiera/_layouts/15/Doc.aspx?sourcedoc=%7BDC14EEB5-8BB0-4127-9C10-E6FA8B23CAA0%7D&amp;file=OK-%2020251301%20MODELO%20FINANCIERO%20FISCALIA%20FABRICA%20DE%20SW%2011.09.25%20V1.xlsm&amp;action=default&amp;mobileredirect=true</v>
      </c>
      <c r="AH649" s="78">
        <v>1</v>
      </c>
      <c r="AI649" s="78">
        <v>1</v>
      </c>
      <c r="AJ649" s="78"/>
      <c r="AK649" s="78" t="s">
        <v>319</v>
      </c>
    </row>
    <row r="650" spans="1:37" ht="18.75" customHeight="1" x14ac:dyDescent="0.25">
      <c r="A650" s="64">
        <v>2027</v>
      </c>
      <c r="B650" s="65" t="s">
        <v>51</v>
      </c>
      <c r="C650" s="66" t="s">
        <v>373</v>
      </c>
      <c r="D650" s="67">
        <v>45971.819201238424</v>
      </c>
      <c r="E650" s="66" t="s">
        <v>374</v>
      </c>
      <c r="F650" s="66" t="s">
        <v>364</v>
      </c>
      <c r="G650" s="66" t="s">
        <v>375</v>
      </c>
      <c r="H650" s="66" t="s">
        <v>376</v>
      </c>
      <c r="I650" s="66" t="s">
        <v>63</v>
      </c>
      <c r="J650" s="66" t="s">
        <v>377</v>
      </c>
      <c r="K650" s="66" t="s">
        <v>45</v>
      </c>
      <c r="L650" s="68">
        <f>VLOOKUP(E650,[1]Diccionario!C$2:AC$150,22,0)</f>
        <v>28089671329</v>
      </c>
      <c r="M650" s="69">
        <f>VLOOKUP(E650,[1]Diccionario!C$2:AC$150,24,0)</f>
        <v>45962</v>
      </c>
      <c r="N650" s="70">
        <f>VLOOKUP(E650,[1]Diccionario!C$2:AC$150,25,0)</f>
        <v>47787</v>
      </c>
      <c r="O650" s="71">
        <f>VLOOKUP(E650,[1]Diccionario!C$2:AC$150,26,0)</f>
        <v>60</v>
      </c>
      <c r="P650" s="71">
        <f t="shared" ca="1" si="120"/>
        <v>-55</v>
      </c>
      <c r="Q650" s="71">
        <f t="shared" ca="1" si="119"/>
        <v>5</v>
      </c>
      <c r="R650" s="66">
        <v>60</v>
      </c>
      <c r="S650" s="72">
        <v>0.44999999999999901</v>
      </c>
      <c r="T650" s="72"/>
      <c r="U650" s="73">
        <f>U649+TablaIndicador[[#This Row],[Costo Mensual]]</f>
        <v>12661042000</v>
      </c>
      <c r="V650" s="73"/>
      <c r="W650" s="73">
        <f t="shared" si="121"/>
        <v>0</v>
      </c>
      <c r="X650" s="73">
        <f t="shared" si="122"/>
        <v>12640352098.049973</v>
      </c>
      <c r="Y650" s="73">
        <f t="shared" si="123"/>
        <v>-12661042000</v>
      </c>
      <c r="Z650" s="73">
        <f t="shared" si="124"/>
        <v>-12640352098.049973</v>
      </c>
      <c r="AA650" s="75">
        <f t="shared" si="125"/>
        <v>0</v>
      </c>
      <c r="AB650" s="76" t="str">
        <f t="shared" si="126"/>
        <v>No calculado</v>
      </c>
      <c r="AC650" s="76">
        <f t="shared" si="127"/>
        <v>0</v>
      </c>
      <c r="AD650" s="76" t="str">
        <f t="shared" si="128"/>
        <v>Sin Línea Base</v>
      </c>
      <c r="AE650" s="77">
        <f t="shared" si="129"/>
        <v>0</v>
      </c>
      <c r="AF650" s="77">
        <f t="shared" si="130"/>
        <v>-28089671329</v>
      </c>
      <c r="AG650" s="78" t="str">
        <f>VLOOKUP(Indicador!E710,[1]Diccionario!C$1:AC$150,27,0)</f>
        <v>https://growdatasas.sharepoint.com/:x:/r/sites/Gestiondocumental/Administrativa/GD/Financiera/_layouts/15/Doc.aspx?sourcedoc=%7BDC14EEB5-8BB0-4127-9C10-E6FA8B23CAA0%7D&amp;file=OK-%2020251301%20MODELO%20FINANCIERO%20FISCALIA%20FABRICA%20DE%20SW%2011.09.25%20V1.xlsm&amp;action=default&amp;mobileredirect=true</v>
      </c>
      <c r="AH650" s="78">
        <v>1</v>
      </c>
      <c r="AI650" s="78">
        <v>1</v>
      </c>
      <c r="AJ650" s="78"/>
      <c r="AK650" s="78" t="s">
        <v>319</v>
      </c>
    </row>
    <row r="651" spans="1:37" ht="18.75" customHeight="1" x14ac:dyDescent="0.25">
      <c r="A651" s="64">
        <v>2027</v>
      </c>
      <c r="B651" s="65" t="s">
        <v>52</v>
      </c>
      <c r="C651" s="66" t="s">
        <v>373</v>
      </c>
      <c r="D651" s="67">
        <v>45971.819201238424</v>
      </c>
      <c r="E651" s="66" t="s">
        <v>374</v>
      </c>
      <c r="F651" s="66" t="s">
        <v>364</v>
      </c>
      <c r="G651" s="66" t="s">
        <v>375</v>
      </c>
      <c r="H651" s="66" t="s">
        <v>376</v>
      </c>
      <c r="I651" s="66" t="s">
        <v>63</v>
      </c>
      <c r="J651" s="66" t="s">
        <v>377</v>
      </c>
      <c r="K651" s="66" t="s">
        <v>45</v>
      </c>
      <c r="L651" s="68">
        <f>VLOOKUP(E651,[1]Diccionario!C$2:AC$150,22,0)</f>
        <v>28089671329</v>
      </c>
      <c r="M651" s="69">
        <f>VLOOKUP(E651,[1]Diccionario!C$2:AC$150,24,0)</f>
        <v>45962</v>
      </c>
      <c r="N651" s="70">
        <f>VLOOKUP(E651,[1]Diccionario!C$2:AC$150,25,0)</f>
        <v>47787</v>
      </c>
      <c r="O651" s="71">
        <f>VLOOKUP(E651,[1]Diccionario!C$2:AC$150,26,0)</f>
        <v>60</v>
      </c>
      <c r="P651" s="71">
        <f t="shared" ca="1" si="120"/>
        <v>-55</v>
      </c>
      <c r="Q651" s="71">
        <f t="shared" ca="1" si="119"/>
        <v>5</v>
      </c>
      <c r="R651" s="66">
        <v>60</v>
      </c>
      <c r="S651" s="72">
        <v>0.45999999999999902</v>
      </c>
      <c r="T651" s="72"/>
      <c r="U651" s="73">
        <f>U650+TablaIndicador[[#This Row],[Costo Mensual]]</f>
        <v>12661042000</v>
      </c>
      <c r="V651" s="73"/>
      <c r="W651" s="73">
        <f t="shared" si="121"/>
        <v>0</v>
      </c>
      <c r="X651" s="73">
        <f t="shared" si="122"/>
        <v>12921248811.339972</v>
      </c>
      <c r="Y651" s="73">
        <f t="shared" si="123"/>
        <v>-12661042000</v>
      </c>
      <c r="Z651" s="73">
        <f t="shared" si="124"/>
        <v>-12921248811.339972</v>
      </c>
      <c r="AA651" s="75">
        <f t="shared" si="125"/>
        <v>0</v>
      </c>
      <c r="AB651" s="76" t="str">
        <f t="shared" si="126"/>
        <v>No calculado</v>
      </c>
      <c r="AC651" s="76">
        <f t="shared" si="127"/>
        <v>0</v>
      </c>
      <c r="AD651" s="76" t="str">
        <f t="shared" si="128"/>
        <v>Sin Línea Base</v>
      </c>
      <c r="AE651" s="77">
        <f t="shared" si="129"/>
        <v>0</v>
      </c>
      <c r="AF651" s="77">
        <f t="shared" si="130"/>
        <v>-28089671329</v>
      </c>
      <c r="AG651" s="78" t="str">
        <f>VLOOKUP(Indicador!E711,[1]Diccionario!C$1:AC$150,27,0)</f>
        <v>https://growdatasas.sharepoint.com/:x:/r/sites/Gestiondocumental/Administrativa/GD/Financiera/_layouts/15/Doc.aspx?sourcedoc=%7BDC14EEB5-8BB0-4127-9C10-E6FA8B23CAA0%7D&amp;file=OK-%2020251301%20MODELO%20FINANCIERO%20FISCALIA%20FABRICA%20DE%20SW%2011.09.25%20V1.xlsm&amp;action=default&amp;mobileredirect=true</v>
      </c>
      <c r="AH651" s="78">
        <v>1</v>
      </c>
      <c r="AI651" s="78">
        <v>1</v>
      </c>
      <c r="AJ651" s="78"/>
      <c r="AK651" s="78" t="s">
        <v>319</v>
      </c>
    </row>
    <row r="652" spans="1:37" ht="18.75" customHeight="1" x14ac:dyDescent="0.25">
      <c r="A652" s="64">
        <v>2027</v>
      </c>
      <c r="B652" s="65" t="s">
        <v>53</v>
      </c>
      <c r="C652" s="66" t="s">
        <v>373</v>
      </c>
      <c r="D652" s="67">
        <v>45971.819201238424</v>
      </c>
      <c r="E652" s="66" t="s">
        <v>374</v>
      </c>
      <c r="F652" s="66" t="s">
        <v>364</v>
      </c>
      <c r="G652" s="66" t="s">
        <v>375</v>
      </c>
      <c r="H652" s="66" t="s">
        <v>376</v>
      </c>
      <c r="I652" s="66" t="s">
        <v>63</v>
      </c>
      <c r="J652" s="66" t="s">
        <v>377</v>
      </c>
      <c r="K652" s="66" t="s">
        <v>45</v>
      </c>
      <c r="L652" s="68">
        <f>VLOOKUP(E652,[1]Diccionario!C$2:AC$150,22,0)</f>
        <v>28089671329</v>
      </c>
      <c r="M652" s="69">
        <f>VLOOKUP(E652,[1]Diccionario!C$2:AC$150,24,0)</f>
        <v>45962</v>
      </c>
      <c r="N652" s="70">
        <f>VLOOKUP(E652,[1]Diccionario!C$2:AC$150,25,0)</f>
        <v>47787</v>
      </c>
      <c r="O652" s="71">
        <f>VLOOKUP(E652,[1]Diccionario!C$2:AC$150,26,0)</f>
        <v>60</v>
      </c>
      <c r="P652" s="71">
        <f t="shared" ca="1" si="120"/>
        <v>-55</v>
      </c>
      <c r="Q652" s="71">
        <f t="shared" ca="1" si="119"/>
        <v>5</v>
      </c>
      <c r="R652" s="66">
        <v>60</v>
      </c>
      <c r="S652" s="72">
        <v>0.46999999999999897</v>
      </c>
      <c r="T652" s="72"/>
      <c r="U652" s="73">
        <f>U651+TablaIndicador[[#This Row],[Costo Mensual]]</f>
        <v>12661042000</v>
      </c>
      <c r="V652" s="73"/>
      <c r="W652" s="73">
        <f t="shared" si="121"/>
        <v>0</v>
      </c>
      <c r="X652" s="73">
        <f t="shared" si="122"/>
        <v>13202145524.629971</v>
      </c>
      <c r="Y652" s="73">
        <f t="shared" si="123"/>
        <v>-12661042000</v>
      </c>
      <c r="Z652" s="73">
        <f t="shared" si="124"/>
        <v>-13202145524.629971</v>
      </c>
      <c r="AA652" s="75">
        <f t="shared" si="125"/>
        <v>0</v>
      </c>
      <c r="AB652" s="76" t="str">
        <f t="shared" si="126"/>
        <v>No calculado</v>
      </c>
      <c r="AC652" s="76">
        <f t="shared" si="127"/>
        <v>0</v>
      </c>
      <c r="AD652" s="76" t="str">
        <f t="shared" si="128"/>
        <v>Sin Línea Base</v>
      </c>
      <c r="AE652" s="77">
        <f t="shared" si="129"/>
        <v>0</v>
      </c>
      <c r="AF652" s="77">
        <f t="shared" si="130"/>
        <v>-28089671329</v>
      </c>
      <c r="AG652" s="78" t="str">
        <f>VLOOKUP(Indicador!E712,[1]Diccionario!C$1:AC$150,27,0)</f>
        <v>https://growdatasas.sharepoint.com/:x:/r/sites/Gestiondocumental/Administrativa/GD/Financiera/_layouts/15/Doc.aspx?sourcedoc=%7BDC14EEB5-8BB0-4127-9C10-E6FA8B23CAA0%7D&amp;file=OK-%2020251301%20MODELO%20FINANCIERO%20FISCALIA%20FABRICA%20DE%20SW%2011.09.25%20V1.xlsm&amp;action=default&amp;mobileredirect=true</v>
      </c>
      <c r="AH652" s="78">
        <v>1</v>
      </c>
      <c r="AI652" s="78">
        <v>1</v>
      </c>
      <c r="AJ652" s="78"/>
      <c r="AK652" s="78" t="s">
        <v>319</v>
      </c>
    </row>
    <row r="653" spans="1:37" ht="18.75" customHeight="1" x14ac:dyDescent="0.25">
      <c r="A653" s="64">
        <v>2027</v>
      </c>
      <c r="B653" s="65" t="s">
        <v>54</v>
      </c>
      <c r="C653" s="66" t="s">
        <v>373</v>
      </c>
      <c r="D653" s="67">
        <v>45971.819201238424</v>
      </c>
      <c r="E653" s="66" t="s">
        <v>374</v>
      </c>
      <c r="F653" s="66" t="s">
        <v>364</v>
      </c>
      <c r="G653" s="66" t="s">
        <v>375</v>
      </c>
      <c r="H653" s="66" t="s">
        <v>376</v>
      </c>
      <c r="I653" s="66" t="s">
        <v>63</v>
      </c>
      <c r="J653" s="66" t="s">
        <v>377</v>
      </c>
      <c r="K653" s="66" t="s">
        <v>45</v>
      </c>
      <c r="L653" s="68">
        <f>VLOOKUP(E653,[1]Diccionario!C$2:AC$150,22,0)</f>
        <v>28089671329</v>
      </c>
      <c r="M653" s="69">
        <f>VLOOKUP(E653,[1]Diccionario!C$2:AC$150,24,0)</f>
        <v>45962</v>
      </c>
      <c r="N653" s="70">
        <f>VLOOKUP(E653,[1]Diccionario!C$2:AC$150,25,0)</f>
        <v>47787</v>
      </c>
      <c r="O653" s="71">
        <f>VLOOKUP(E653,[1]Diccionario!C$2:AC$150,26,0)</f>
        <v>60</v>
      </c>
      <c r="P653" s="71">
        <f t="shared" ca="1" si="120"/>
        <v>-55</v>
      </c>
      <c r="Q653" s="71">
        <f t="shared" ca="1" si="119"/>
        <v>5</v>
      </c>
      <c r="R653" s="66">
        <v>60</v>
      </c>
      <c r="S653" s="72">
        <v>0.47999999999999898</v>
      </c>
      <c r="T653" s="72"/>
      <c r="U653" s="73">
        <f>U652+TablaIndicador[[#This Row],[Costo Mensual]]</f>
        <v>12661042000</v>
      </c>
      <c r="V653" s="73"/>
      <c r="W653" s="73">
        <f t="shared" si="121"/>
        <v>0</v>
      </c>
      <c r="X653" s="73">
        <f t="shared" si="122"/>
        <v>13483042237.919971</v>
      </c>
      <c r="Y653" s="73">
        <f t="shared" si="123"/>
        <v>-12661042000</v>
      </c>
      <c r="Z653" s="73">
        <f t="shared" si="124"/>
        <v>-13483042237.919971</v>
      </c>
      <c r="AA653" s="75">
        <f t="shared" si="125"/>
        <v>0</v>
      </c>
      <c r="AB653" s="76" t="str">
        <f t="shared" si="126"/>
        <v>No calculado</v>
      </c>
      <c r="AC653" s="76">
        <f t="shared" si="127"/>
        <v>0</v>
      </c>
      <c r="AD653" s="76" t="str">
        <f t="shared" si="128"/>
        <v>Sin Línea Base</v>
      </c>
      <c r="AE653" s="77">
        <f t="shared" si="129"/>
        <v>0</v>
      </c>
      <c r="AF653" s="77">
        <f t="shared" si="130"/>
        <v>-28089671329</v>
      </c>
      <c r="AG653" s="78" t="str">
        <f>VLOOKUP(Indicador!E713,[1]Diccionario!C$1:AC$150,27,0)</f>
        <v>https://growdatasas.sharepoint.com/:x:/r/sites/Gestiondocumental/Administrativa/GD/Financiera/_layouts/15/Doc.aspx?sourcedoc=%7BDC14EEB5-8BB0-4127-9C10-E6FA8B23CAA0%7D&amp;file=OK-%2020251301%20MODELO%20FINANCIERO%20FISCALIA%20FABRICA%20DE%20SW%2011.09.25%20V1.xlsm&amp;action=default&amp;mobileredirect=true</v>
      </c>
      <c r="AH653" s="78">
        <v>1</v>
      </c>
      <c r="AI653" s="78">
        <v>1</v>
      </c>
      <c r="AJ653" s="78"/>
      <c r="AK653" s="78" t="s">
        <v>319</v>
      </c>
    </row>
    <row r="654" spans="1:37" ht="18.75" customHeight="1" x14ac:dyDescent="0.25">
      <c r="A654" s="64">
        <v>2027</v>
      </c>
      <c r="B654" s="65" t="s">
        <v>55</v>
      </c>
      <c r="C654" s="66" t="s">
        <v>373</v>
      </c>
      <c r="D654" s="67">
        <v>45971.819201238424</v>
      </c>
      <c r="E654" s="66" t="s">
        <v>374</v>
      </c>
      <c r="F654" s="66" t="s">
        <v>364</v>
      </c>
      <c r="G654" s="66" t="s">
        <v>375</v>
      </c>
      <c r="H654" s="66" t="s">
        <v>376</v>
      </c>
      <c r="I654" s="66" t="s">
        <v>63</v>
      </c>
      <c r="J654" s="66" t="s">
        <v>377</v>
      </c>
      <c r="K654" s="66" t="s">
        <v>45</v>
      </c>
      <c r="L654" s="68">
        <f>VLOOKUP(E654,[1]Diccionario!C$2:AC$150,22,0)</f>
        <v>28089671329</v>
      </c>
      <c r="M654" s="69">
        <f>VLOOKUP(E654,[1]Diccionario!C$2:AC$150,24,0)</f>
        <v>45962</v>
      </c>
      <c r="N654" s="70">
        <f>VLOOKUP(E654,[1]Diccionario!C$2:AC$150,25,0)</f>
        <v>47787</v>
      </c>
      <c r="O654" s="71">
        <f>VLOOKUP(E654,[1]Diccionario!C$2:AC$150,26,0)</f>
        <v>60</v>
      </c>
      <c r="P654" s="71">
        <f t="shared" ca="1" si="120"/>
        <v>-55</v>
      </c>
      <c r="Q654" s="71">
        <f t="shared" ca="1" si="119"/>
        <v>5</v>
      </c>
      <c r="R654" s="66">
        <v>60</v>
      </c>
      <c r="S654" s="72">
        <v>0.48999999999999899</v>
      </c>
      <c r="T654" s="72"/>
      <c r="U654" s="73">
        <f>U653+TablaIndicador[[#This Row],[Costo Mensual]]</f>
        <v>12661042000</v>
      </c>
      <c r="V654" s="73"/>
      <c r="W654" s="73">
        <f t="shared" si="121"/>
        <v>0</v>
      </c>
      <c r="X654" s="73">
        <f t="shared" si="122"/>
        <v>13763938951.209972</v>
      </c>
      <c r="Y654" s="73">
        <f t="shared" si="123"/>
        <v>-12661042000</v>
      </c>
      <c r="Z654" s="73">
        <f t="shared" si="124"/>
        <v>-13763938951.209972</v>
      </c>
      <c r="AA654" s="75">
        <f t="shared" si="125"/>
        <v>0</v>
      </c>
      <c r="AB654" s="76" t="str">
        <f t="shared" si="126"/>
        <v>No calculado</v>
      </c>
      <c r="AC654" s="76">
        <f t="shared" si="127"/>
        <v>0</v>
      </c>
      <c r="AD654" s="76" t="str">
        <f t="shared" si="128"/>
        <v>Sin Línea Base</v>
      </c>
      <c r="AE654" s="77">
        <f t="shared" si="129"/>
        <v>0</v>
      </c>
      <c r="AF654" s="77">
        <f t="shared" si="130"/>
        <v>-28089671329</v>
      </c>
      <c r="AG654" s="78" t="str">
        <f>VLOOKUP(Indicador!E714,[1]Diccionario!C$1:AC$150,27,0)</f>
        <v>https://growdatasas.sharepoint.com/:x:/r/sites/Gestiondocumental/Administrativa/GD/Financiera/_layouts/15/Doc.aspx?sourcedoc=%7B5D4A893D-AEF1-4B8E-9B0A-8D07579BCA41%7D&amp;file=MODELO%20FINANCIERO%20-%20CNE%20-%20SOLUCI%C3%93N%20TECNOLOGICA%20(TI%20%2B%20DATOS)%2026012026.xlsm&amp;action=default&amp;mobileredirect=true</v>
      </c>
      <c r="AH654" s="78">
        <v>1</v>
      </c>
      <c r="AI654" s="78">
        <v>1</v>
      </c>
      <c r="AJ654" s="78"/>
      <c r="AK654" s="78" t="s">
        <v>319</v>
      </c>
    </row>
    <row r="655" spans="1:37" ht="18.75" customHeight="1" x14ac:dyDescent="0.25">
      <c r="A655" s="64">
        <v>2027</v>
      </c>
      <c r="B655" s="65" t="s">
        <v>56</v>
      </c>
      <c r="C655" s="66" t="s">
        <v>373</v>
      </c>
      <c r="D655" s="67">
        <v>45971.819201238424</v>
      </c>
      <c r="E655" s="66" t="s">
        <v>374</v>
      </c>
      <c r="F655" s="66" t="s">
        <v>364</v>
      </c>
      <c r="G655" s="66" t="s">
        <v>375</v>
      </c>
      <c r="H655" s="66" t="s">
        <v>376</v>
      </c>
      <c r="I655" s="66" t="s">
        <v>63</v>
      </c>
      <c r="J655" s="66" t="s">
        <v>377</v>
      </c>
      <c r="K655" s="66" t="s">
        <v>45</v>
      </c>
      <c r="L655" s="68">
        <f>VLOOKUP(E655,[1]Diccionario!C$2:AC$150,22,0)</f>
        <v>28089671329</v>
      </c>
      <c r="M655" s="69">
        <f>VLOOKUP(E655,[1]Diccionario!C$2:AC$150,24,0)</f>
        <v>45962</v>
      </c>
      <c r="N655" s="70">
        <f>VLOOKUP(E655,[1]Diccionario!C$2:AC$150,25,0)</f>
        <v>47787</v>
      </c>
      <c r="O655" s="71">
        <f>VLOOKUP(E655,[1]Diccionario!C$2:AC$150,26,0)</f>
        <v>60</v>
      </c>
      <c r="P655" s="71">
        <f t="shared" ca="1" si="120"/>
        <v>-55</v>
      </c>
      <c r="Q655" s="71">
        <f t="shared" ca="1" si="119"/>
        <v>5</v>
      </c>
      <c r="R655" s="66">
        <v>60</v>
      </c>
      <c r="S655" s="72">
        <v>0.499999999999999</v>
      </c>
      <c r="T655" s="72"/>
      <c r="U655" s="73">
        <f>U654+TablaIndicador[[#This Row],[Costo Mensual]]</f>
        <v>12661042000</v>
      </c>
      <c r="V655" s="73"/>
      <c r="W655" s="73">
        <f t="shared" si="121"/>
        <v>0</v>
      </c>
      <c r="X655" s="73">
        <f t="shared" si="122"/>
        <v>14044835664.499971</v>
      </c>
      <c r="Y655" s="73">
        <f t="shared" si="123"/>
        <v>-12661042000</v>
      </c>
      <c r="Z655" s="73">
        <f t="shared" si="124"/>
        <v>-14044835664.499971</v>
      </c>
      <c r="AA655" s="75">
        <f t="shared" si="125"/>
        <v>0</v>
      </c>
      <c r="AB655" s="76" t="str">
        <f t="shared" si="126"/>
        <v>No calculado</v>
      </c>
      <c r="AC655" s="76">
        <f t="shared" si="127"/>
        <v>0</v>
      </c>
      <c r="AD655" s="76" t="str">
        <f t="shared" si="128"/>
        <v>Sin Línea Base</v>
      </c>
      <c r="AE655" s="77">
        <f t="shared" si="129"/>
        <v>0</v>
      </c>
      <c r="AF655" s="77">
        <f t="shared" si="130"/>
        <v>-28089671329</v>
      </c>
      <c r="AG655" s="78" t="str">
        <f>VLOOKUP(Indicador!E715,[1]Diccionario!C$1:AC$150,27,0)</f>
        <v>https://growdatasas.sharepoint.com/:x:/r/sites/Gestiondocumental/Administrativa/GD/Financiera/_layouts/15/Doc.aspx?sourcedoc=%7B5D4A893D-AEF1-4B8E-9B0A-8D07579BCA41%7D&amp;file=MODELO%20FINANCIERO%20-%20CNE%20-%20SOLUCI%C3%93N%20TECNOLOGICA%20(TI%20%2B%20DATOS)%2026012026.xlsm&amp;action=default&amp;mobileredirect=true</v>
      </c>
      <c r="AH655" s="78">
        <v>1</v>
      </c>
      <c r="AI655" s="78">
        <v>1</v>
      </c>
      <c r="AJ655" s="78"/>
      <c r="AK655" s="78" t="s">
        <v>319</v>
      </c>
    </row>
    <row r="656" spans="1:37" ht="18.75" customHeight="1" x14ac:dyDescent="0.25">
      <c r="A656" s="64">
        <v>2027</v>
      </c>
      <c r="B656" s="65" t="s">
        <v>57</v>
      </c>
      <c r="C656" s="66" t="s">
        <v>373</v>
      </c>
      <c r="D656" s="67">
        <v>45971.819201238424</v>
      </c>
      <c r="E656" s="66" t="s">
        <v>374</v>
      </c>
      <c r="F656" s="66" t="s">
        <v>364</v>
      </c>
      <c r="G656" s="66" t="s">
        <v>375</v>
      </c>
      <c r="H656" s="66" t="s">
        <v>376</v>
      </c>
      <c r="I656" s="66" t="s">
        <v>63</v>
      </c>
      <c r="J656" s="66" t="s">
        <v>377</v>
      </c>
      <c r="K656" s="66" t="s">
        <v>45</v>
      </c>
      <c r="L656" s="68">
        <f>VLOOKUP(E656,[1]Diccionario!C$2:AC$150,22,0)</f>
        <v>28089671329</v>
      </c>
      <c r="M656" s="69">
        <f>VLOOKUP(E656,[1]Diccionario!C$2:AC$150,24,0)</f>
        <v>45962</v>
      </c>
      <c r="N656" s="70">
        <f>VLOOKUP(E656,[1]Diccionario!C$2:AC$150,25,0)</f>
        <v>47787</v>
      </c>
      <c r="O656" s="71">
        <f>VLOOKUP(E656,[1]Diccionario!C$2:AC$150,26,0)</f>
        <v>60</v>
      </c>
      <c r="P656" s="71">
        <f t="shared" ca="1" si="120"/>
        <v>-55</v>
      </c>
      <c r="Q656" s="71">
        <f t="shared" ca="1" si="119"/>
        <v>5</v>
      </c>
      <c r="R656" s="66">
        <v>60</v>
      </c>
      <c r="S656" s="72">
        <v>0.50999999999999901</v>
      </c>
      <c r="T656" s="72"/>
      <c r="U656" s="73">
        <f>U655+TablaIndicador[[#This Row],[Costo Mensual]]</f>
        <v>12661042000</v>
      </c>
      <c r="V656" s="73"/>
      <c r="W656" s="73">
        <f t="shared" si="121"/>
        <v>0</v>
      </c>
      <c r="X656" s="73">
        <f t="shared" si="122"/>
        <v>14325732377.789972</v>
      </c>
      <c r="Y656" s="73">
        <f t="shared" si="123"/>
        <v>-12661042000</v>
      </c>
      <c r="Z656" s="73">
        <f t="shared" si="124"/>
        <v>-14325732377.789972</v>
      </c>
      <c r="AA656" s="75">
        <f t="shared" si="125"/>
        <v>0</v>
      </c>
      <c r="AB656" s="76" t="str">
        <f t="shared" si="126"/>
        <v>No calculado</v>
      </c>
      <c r="AC656" s="76">
        <f t="shared" si="127"/>
        <v>0</v>
      </c>
      <c r="AD656" s="76" t="str">
        <f t="shared" si="128"/>
        <v>Sin Línea Base</v>
      </c>
      <c r="AE656" s="77">
        <f t="shared" si="129"/>
        <v>0</v>
      </c>
      <c r="AF656" s="77">
        <f t="shared" si="130"/>
        <v>-28089671329</v>
      </c>
      <c r="AG656" s="78" t="str">
        <f>VLOOKUP(Indicador!E716,[1]Diccionario!C$1:AC$150,27,0)</f>
        <v>https://growdatasas.sharepoint.com/:x:/r/sites/Gestiondocumental/Administrativa/GD/Financiera/_layouts/15/Doc.aspx?sourcedoc=%7B5D4A893D-AEF1-4B8E-9B0A-8D07579BCA41%7D&amp;file=MODELO%20FINANCIERO%20-%20CNE%20-%20SOLUCI%C3%93N%20TECNOLOGICA%20(TI%20%2B%20DATOS)%2026012026.xlsm&amp;action=default&amp;mobileredirect=true</v>
      </c>
      <c r="AH656" s="78">
        <v>1</v>
      </c>
      <c r="AI656" s="78">
        <v>1</v>
      </c>
      <c r="AJ656" s="78"/>
      <c r="AK656" s="78" t="s">
        <v>319</v>
      </c>
    </row>
    <row r="657" spans="1:37" ht="18.75" customHeight="1" x14ac:dyDescent="0.25">
      <c r="A657" s="64">
        <v>2028</v>
      </c>
      <c r="B657" s="65" t="s">
        <v>37</v>
      </c>
      <c r="C657" s="66" t="s">
        <v>373</v>
      </c>
      <c r="D657" s="67">
        <v>45971.819201238424</v>
      </c>
      <c r="E657" s="66" t="s">
        <v>374</v>
      </c>
      <c r="F657" s="66" t="s">
        <v>364</v>
      </c>
      <c r="G657" s="66" t="s">
        <v>375</v>
      </c>
      <c r="H657" s="66" t="s">
        <v>376</v>
      </c>
      <c r="I657" s="66" t="s">
        <v>63</v>
      </c>
      <c r="J657" s="66" t="s">
        <v>377</v>
      </c>
      <c r="K657" s="66" t="s">
        <v>45</v>
      </c>
      <c r="L657" s="68">
        <f>VLOOKUP(E657,[1]Diccionario!C$2:AC$150,22,0)</f>
        <v>28089671329</v>
      </c>
      <c r="M657" s="69">
        <f>VLOOKUP(E657,[1]Diccionario!C$2:AC$150,24,0)</f>
        <v>45962</v>
      </c>
      <c r="N657" s="70">
        <f>VLOOKUP(E657,[1]Diccionario!C$2:AC$150,25,0)</f>
        <v>47787</v>
      </c>
      <c r="O657" s="71">
        <f>VLOOKUP(E657,[1]Diccionario!C$2:AC$150,26,0)</f>
        <v>60</v>
      </c>
      <c r="P657" s="71">
        <f t="shared" ca="1" si="120"/>
        <v>-55</v>
      </c>
      <c r="Q657" s="71">
        <f t="shared" ca="1" si="119"/>
        <v>5</v>
      </c>
      <c r="R657" s="66">
        <v>60</v>
      </c>
      <c r="S657" s="72">
        <v>0.51999999999999902</v>
      </c>
      <c r="T657" s="72"/>
      <c r="U657" s="73">
        <f>U656+TablaIndicador[[#This Row],[Costo Mensual]]</f>
        <v>12661042000</v>
      </c>
      <c r="V657" s="73"/>
      <c r="W657" s="73">
        <f t="shared" si="121"/>
        <v>0</v>
      </c>
      <c r="X657" s="73">
        <f t="shared" si="122"/>
        <v>14606629091.079973</v>
      </c>
      <c r="Y657" s="73">
        <f t="shared" si="123"/>
        <v>-12661042000</v>
      </c>
      <c r="Z657" s="73">
        <f t="shared" si="124"/>
        <v>-14606629091.079973</v>
      </c>
      <c r="AA657" s="75">
        <f t="shared" si="125"/>
        <v>0</v>
      </c>
      <c r="AB657" s="76" t="str">
        <f t="shared" si="126"/>
        <v>No calculado</v>
      </c>
      <c r="AC657" s="76">
        <f t="shared" si="127"/>
        <v>0</v>
      </c>
      <c r="AD657" s="76" t="str">
        <f t="shared" si="128"/>
        <v>Sin Línea Base</v>
      </c>
      <c r="AE657" s="77">
        <f t="shared" si="129"/>
        <v>0</v>
      </c>
      <c r="AF657" s="77">
        <f t="shared" si="130"/>
        <v>-28089671329</v>
      </c>
      <c r="AG657" s="78" t="str">
        <f>VLOOKUP(Indicador!E717,[1]Diccionario!C$1:AC$150,27,0)</f>
        <v>https://growdatasas.sharepoint.com/:x:/r/sites/Gestiondocumental/Administrativa/GD/Financiera/_layouts/15/Doc.aspx?sourcedoc=%7B5D4A893D-AEF1-4B8E-9B0A-8D07579BCA41%7D&amp;file=MODELO%20FINANCIERO%20-%20CNE%20-%20SOLUCI%C3%93N%20TECNOLOGICA%20(TI%20%2B%20DATOS)%2026012026.xlsm&amp;action=default&amp;mobileredirect=true</v>
      </c>
      <c r="AH657" s="78">
        <v>1</v>
      </c>
      <c r="AI657" s="78">
        <v>1</v>
      </c>
      <c r="AJ657" s="78"/>
      <c r="AK657" s="78" t="s">
        <v>319</v>
      </c>
    </row>
    <row r="658" spans="1:37" ht="18.75" customHeight="1" x14ac:dyDescent="0.25">
      <c r="A658" s="64">
        <v>2028</v>
      </c>
      <c r="B658" s="65" t="s">
        <v>47</v>
      </c>
      <c r="C658" s="66" t="s">
        <v>373</v>
      </c>
      <c r="D658" s="67">
        <v>45971.819201238424</v>
      </c>
      <c r="E658" s="66" t="s">
        <v>374</v>
      </c>
      <c r="F658" s="66" t="s">
        <v>364</v>
      </c>
      <c r="G658" s="66" t="s">
        <v>375</v>
      </c>
      <c r="H658" s="66" t="s">
        <v>376</v>
      </c>
      <c r="I658" s="66" t="s">
        <v>63</v>
      </c>
      <c r="J658" s="66" t="s">
        <v>377</v>
      </c>
      <c r="K658" s="66" t="s">
        <v>45</v>
      </c>
      <c r="L658" s="68">
        <f>VLOOKUP(E658,[1]Diccionario!C$2:AC$150,22,0)</f>
        <v>28089671329</v>
      </c>
      <c r="M658" s="69">
        <f>VLOOKUP(E658,[1]Diccionario!C$2:AC$150,24,0)</f>
        <v>45962</v>
      </c>
      <c r="N658" s="70">
        <f>VLOOKUP(E658,[1]Diccionario!C$2:AC$150,25,0)</f>
        <v>47787</v>
      </c>
      <c r="O658" s="71">
        <f>VLOOKUP(E658,[1]Diccionario!C$2:AC$150,26,0)</f>
        <v>60</v>
      </c>
      <c r="P658" s="71">
        <f t="shared" ca="1" si="120"/>
        <v>-55</v>
      </c>
      <c r="Q658" s="71">
        <f t="shared" ca="1" si="119"/>
        <v>5</v>
      </c>
      <c r="R658" s="66">
        <v>60</v>
      </c>
      <c r="S658" s="72">
        <v>0.52999999999999903</v>
      </c>
      <c r="T658" s="72"/>
      <c r="U658" s="73">
        <f>U657+TablaIndicador[[#This Row],[Costo Mensual]]</f>
        <v>12661042000</v>
      </c>
      <c r="V658" s="73"/>
      <c r="W658" s="73">
        <f t="shared" si="121"/>
        <v>0</v>
      </c>
      <c r="X658" s="73">
        <f t="shared" si="122"/>
        <v>14887525804.369972</v>
      </c>
      <c r="Y658" s="73">
        <f t="shared" si="123"/>
        <v>-12661042000</v>
      </c>
      <c r="Z658" s="73">
        <f t="shared" si="124"/>
        <v>-14887525804.369972</v>
      </c>
      <c r="AA658" s="75">
        <f t="shared" si="125"/>
        <v>0</v>
      </c>
      <c r="AB658" s="76" t="str">
        <f t="shared" si="126"/>
        <v>No calculado</v>
      </c>
      <c r="AC658" s="76">
        <f t="shared" si="127"/>
        <v>0</v>
      </c>
      <c r="AD658" s="76" t="str">
        <f t="shared" si="128"/>
        <v>Sin Línea Base</v>
      </c>
      <c r="AE658" s="77">
        <f t="shared" si="129"/>
        <v>0</v>
      </c>
      <c r="AF658" s="77">
        <f t="shared" si="130"/>
        <v>-28089671329</v>
      </c>
      <c r="AG658" s="78" t="str">
        <f>VLOOKUP(Indicador!E718,[1]Diccionario!C$1:AC$150,27,0)</f>
        <v>https://growdatasas.sharepoint.com/:x:/r/sites/Gestiondocumental/Administrativa/GD/Financiera/_layouts/15/Doc.aspx?sourcedoc=%7B5D4A893D-AEF1-4B8E-9B0A-8D07579BCA41%7D&amp;file=MODELO%20FINANCIERO%20-%20CNE%20-%20SOLUCI%C3%93N%20TECNOLOGICA%20(TI%20%2B%20DATOS)%2026012026.xlsm&amp;action=default&amp;mobileredirect=true</v>
      </c>
      <c r="AH658" s="78">
        <v>1</v>
      </c>
      <c r="AI658" s="78">
        <v>1</v>
      </c>
      <c r="AJ658" s="78"/>
      <c r="AK658" s="78" t="s">
        <v>319</v>
      </c>
    </row>
    <row r="659" spans="1:37" ht="18.75" customHeight="1" x14ac:dyDescent="0.25">
      <c r="A659" s="64">
        <v>2028</v>
      </c>
      <c r="B659" s="65" t="s">
        <v>48</v>
      </c>
      <c r="C659" s="66" t="s">
        <v>373</v>
      </c>
      <c r="D659" s="67">
        <v>45971.819201238424</v>
      </c>
      <c r="E659" s="66" t="s">
        <v>374</v>
      </c>
      <c r="F659" s="66" t="s">
        <v>364</v>
      </c>
      <c r="G659" s="66" t="s">
        <v>375</v>
      </c>
      <c r="H659" s="66" t="s">
        <v>376</v>
      </c>
      <c r="I659" s="66" t="s">
        <v>63</v>
      </c>
      <c r="J659" s="66" t="s">
        <v>377</v>
      </c>
      <c r="K659" s="66" t="s">
        <v>45</v>
      </c>
      <c r="L659" s="68">
        <f>VLOOKUP(E659,[1]Diccionario!C$2:AC$150,22,0)</f>
        <v>28089671329</v>
      </c>
      <c r="M659" s="69">
        <f>VLOOKUP(E659,[1]Diccionario!C$2:AC$150,24,0)</f>
        <v>45962</v>
      </c>
      <c r="N659" s="70">
        <f>VLOOKUP(E659,[1]Diccionario!C$2:AC$150,25,0)</f>
        <v>47787</v>
      </c>
      <c r="O659" s="71">
        <f>VLOOKUP(E659,[1]Diccionario!C$2:AC$150,26,0)</f>
        <v>60</v>
      </c>
      <c r="P659" s="71">
        <f t="shared" ca="1" si="120"/>
        <v>-55</v>
      </c>
      <c r="Q659" s="71">
        <f t="shared" ca="1" si="119"/>
        <v>5</v>
      </c>
      <c r="R659" s="66">
        <v>60</v>
      </c>
      <c r="S659" s="72">
        <v>0.53999999999999904</v>
      </c>
      <c r="T659" s="72"/>
      <c r="U659" s="73">
        <f>U658+TablaIndicador[[#This Row],[Costo Mensual]]</f>
        <v>12661042000</v>
      </c>
      <c r="V659" s="73"/>
      <c r="W659" s="73">
        <f t="shared" si="121"/>
        <v>0</v>
      </c>
      <c r="X659" s="73">
        <f t="shared" si="122"/>
        <v>15168422517.659973</v>
      </c>
      <c r="Y659" s="73">
        <f t="shared" si="123"/>
        <v>-12661042000</v>
      </c>
      <c r="Z659" s="73">
        <f t="shared" si="124"/>
        <v>-15168422517.659973</v>
      </c>
      <c r="AA659" s="75">
        <f t="shared" si="125"/>
        <v>0</v>
      </c>
      <c r="AB659" s="76" t="str">
        <f t="shared" si="126"/>
        <v>No calculado</v>
      </c>
      <c r="AC659" s="76">
        <f t="shared" si="127"/>
        <v>0</v>
      </c>
      <c r="AD659" s="76" t="str">
        <f t="shared" si="128"/>
        <v>Sin Línea Base</v>
      </c>
      <c r="AE659" s="77">
        <f t="shared" si="129"/>
        <v>0</v>
      </c>
      <c r="AF659" s="77">
        <f t="shared" si="130"/>
        <v>-28089671329</v>
      </c>
      <c r="AG659" s="78" t="str">
        <f>VLOOKUP(Indicador!E719,[1]Diccionario!C$1:AC$150,27,0)</f>
        <v>https://growdatasas.sharepoint.com/:x:/r/sites/Gestiondocumental/Administrativa/GD/Financiera/_layouts/15/Doc.aspx?sourcedoc=%7B5D4A893D-AEF1-4B8E-9B0A-8D07579BCA41%7D&amp;file=MODELO%20FINANCIERO%20-%20CNE%20-%20SOLUCI%C3%93N%20TECNOLOGICA%20(TI%20%2B%20DATOS)%2026012026.xlsm&amp;action=default&amp;mobileredirect=true</v>
      </c>
      <c r="AH659" s="78">
        <v>1</v>
      </c>
      <c r="AI659" s="78">
        <v>1</v>
      </c>
      <c r="AJ659" s="78"/>
      <c r="AK659" s="78" t="s">
        <v>319</v>
      </c>
    </row>
    <row r="660" spans="1:37" ht="18.75" customHeight="1" x14ac:dyDescent="0.25">
      <c r="A660" s="64">
        <v>2028</v>
      </c>
      <c r="B660" s="65" t="s">
        <v>49</v>
      </c>
      <c r="C660" s="66" t="s">
        <v>373</v>
      </c>
      <c r="D660" s="67">
        <v>45971.819201238424</v>
      </c>
      <c r="E660" s="66" t="s">
        <v>374</v>
      </c>
      <c r="F660" s="66" t="s">
        <v>364</v>
      </c>
      <c r="G660" s="66" t="s">
        <v>375</v>
      </c>
      <c r="H660" s="66" t="s">
        <v>376</v>
      </c>
      <c r="I660" s="66" t="s">
        <v>63</v>
      </c>
      <c r="J660" s="66" t="s">
        <v>377</v>
      </c>
      <c r="K660" s="66" t="s">
        <v>45</v>
      </c>
      <c r="L660" s="68">
        <f>VLOOKUP(E660,[1]Diccionario!C$2:AC$150,22,0)</f>
        <v>28089671329</v>
      </c>
      <c r="M660" s="69">
        <f>VLOOKUP(E660,[1]Diccionario!C$2:AC$150,24,0)</f>
        <v>45962</v>
      </c>
      <c r="N660" s="70">
        <f>VLOOKUP(E660,[1]Diccionario!C$2:AC$150,25,0)</f>
        <v>47787</v>
      </c>
      <c r="O660" s="71">
        <f>VLOOKUP(E660,[1]Diccionario!C$2:AC$150,26,0)</f>
        <v>60</v>
      </c>
      <c r="P660" s="71">
        <f t="shared" ca="1" si="120"/>
        <v>-55</v>
      </c>
      <c r="Q660" s="71">
        <f t="shared" ca="1" si="119"/>
        <v>5</v>
      </c>
      <c r="R660" s="66">
        <v>60</v>
      </c>
      <c r="S660" s="72">
        <v>0.54999999999999905</v>
      </c>
      <c r="T660" s="72"/>
      <c r="U660" s="73">
        <f>U659+TablaIndicador[[#This Row],[Costo Mensual]]</f>
        <v>12661042000</v>
      </c>
      <c r="V660" s="73"/>
      <c r="W660" s="73">
        <f t="shared" si="121"/>
        <v>0</v>
      </c>
      <c r="X660" s="73">
        <f t="shared" si="122"/>
        <v>15449319230.949974</v>
      </c>
      <c r="Y660" s="73">
        <f t="shared" si="123"/>
        <v>-12661042000</v>
      </c>
      <c r="Z660" s="73">
        <f t="shared" si="124"/>
        <v>-15449319230.949974</v>
      </c>
      <c r="AA660" s="75">
        <f t="shared" si="125"/>
        <v>0</v>
      </c>
      <c r="AB660" s="76" t="str">
        <f t="shared" si="126"/>
        <v>No calculado</v>
      </c>
      <c r="AC660" s="76">
        <f t="shared" si="127"/>
        <v>0</v>
      </c>
      <c r="AD660" s="76" t="str">
        <f t="shared" si="128"/>
        <v>Sin Línea Base</v>
      </c>
      <c r="AE660" s="77">
        <f t="shared" si="129"/>
        <v>0</v>
      </c>
      <c r="AF660" s="77">
        <f t="shared" si="130"/>
        <v>-28089671329</v>
      </c>
      <c r="AG660" s="78" t="str">
        <f>VLOOKUP(Indicador!E720,[1]Diccionario!C$1:AC$150,27,0)</f>
        <v>https://growdatasas.sharepoint.com/:x:/r/sites/Gestiondocumental/Administrativa/GD/Financiera/_layouts/15/Doc.aspx?sourcedoc=%7B5D4A893D-AEF1-4B8E-9B0A-8D07579BCA41%7D&amp;file=MODELO%20FINANCIERO%20-%20CNE%20-%20SOLUCI%C3%93N%20TECNOLOGICA%20(TI%20%2B%20DATOS)%2026012026.xlsm&amp;action=default&amp;mobileredirect=true</v>
      </c>
      <c r="AH660" s="78">
        <v>1</v>
      </c>
      <c r="AI660" s="78">
        <v>1</v>
      </c>
      <c r="AJ660" s="78"/>
      <c r="AK660" s="78" t="s">
        <v>319</v>
      </c>
    </row>
    <row r="661" spans="1:37" ht="18.75" customHeight="1" x14ac:dyDescent="0.25">
      <c r="A661" s="64">
        <v>2028</v>
      </c>
      <c r="B661" s="65" t="s">
        <v>50</v>
      </c>
      <c r="C661" s="66" t="s">
        <v>373</v>
      </c>
      <c r="D661" s="67">
        <v>45971.819201238424</v>
      </c>
      <c r="E661" s="66" t="s">
        <v>374</v>
      </c>
      <c r="F661" s="66" t="s">
        <v>364</v>
      </c>
      <c r="G661" s="66" t="s">
        <v>375</v>
      </c>
      <c r="H661" s="66" t="s">
        <v>376</v>
      </c>
      <c r="I661" s="66" t="s">
        <v>63</v>
      </c>
      <c r="J661" s="66" t="s">
        <v>377</v>
      </c>
      <c r="K661" s="66" t="s">
        <v>45</v>
      </c>
      <c r="L661" s="68">
        <f>VLOOKUP(E661,[1]Diccionario!C$2:AC$150,22,0)</f>
        <v>28089671329</v>
      </c>
      <c r="M661" s="69">
        <f>VLOOKUP(E661,[1]Diccionario!C$2:AC$150,24,0)</f>
        <v>45962</v>
      </c>
      <c r="N661" s="70">
        <f>VLOOKUP(E661,[1]Diccionario!C$2:AC$150,25,0)</f>
        <v>47787</v>
      </c>
      <c r="O661" s="71">
        <f>VLOOKUP(E661,[1]Diccionario!C$2:AC$150,26,0)</f>
        <v>60</v>
      </c>
      <c r="P661" s="71">
        <f t="shared" ca="1" si="120"/>
        <v>-55</v>
      </c>
      <c r="Q661" s="71">
        <f t="shared" ca="1" si="119"/>
        <v>5</v>
      </c>
      <c r="R661" s="66">
        <v>60</v>
      </c>
      <c r="S661" s="72">
        <v>0.55999999999999905</v>
      </c>
      <c r="T661" s="72"/>
      <c r="U661" s="73">
        <f>U660+TablaIndicador[[#This Row],[Costo Mensual]]</f>
        <v>12661042000</v>
      </c>
      <c r="V661" s="73"/>
      <c r="W661" s="73">
        <f t="shared" si="121"/>
        <v>0</v>
      </c>
      <c r="X661" s="73">
        <f t="shared" si="122"/>
        <v>15730215944.239973</v>
      </c>
      <c r="Y661" s="73">
        <f t="shared" si="123"/>
        <v>-12661042000</v>
      </c>
      <c r="Z661" s="73">
        <f t="shared" si="124"/>
        <v>-15730215944.239973</v>
      </c>
      <c r="AA661" s="75">
        <f t="shared" si="125"/>
        <v>0</v>
      </c>
      <c r="AB661" s="76" t="str">
        <f t="shared" si="126"/>
        <v>No calculado</v>
      </c>
      <c r="AC661" s="76">
        <f t="shared" si="127"/>
        <v>0</v>
      </c>
      <c r="AD661" s="76" t="str">
        <f t="shared" si="128"/>
        <v>Sin Línea Base</v>
      </c>
      <c r="AE661" s="77">
        <f t="shared" si="129"/>
        <v>0</v>
      </c>
      <c r="AF661" s="77">
        <f t="shared" si="130"/>
        <v>-28089671329</v>
      </c>
      <c r="AG661" s="78" t="str">
        <f>VLOOKUP(Indicador!E721,[1]Diccionario!C$1:AC$150,27,0)</f>
        <v>https://growdatasas.sharepoint.com/:x:/r/sites/Gestiondocumental/Administrativa/GD/Financiera/_layouts/15/Doc.aspx?sourcedoc=%7B65B8247F-DA01-4A6A-8421-57629CEF7367%7D&amp;file=MODELO%20FINANCIERO%20ANH%20FISCALIZACION%2023.09.25%20V1.xlsm&amp;action=default&amp;mobileredirect=true</v>
      </c>
      <c r="AH661" s="78">
        <v>1</v>
      </c>
      <c r="AI661" s="78">
        <v>1</v>
      </c>
      <c r="AJ661" s="78"/>
      <c r="AK661" s="78" t="s">
        <v>319</v>
      </c>
    </row>
    <row r="662" spans="1:37" ht="18.75" customHeight="1" x14ac:dyDescent="0.25">
      <c r="A662" s="64">
        <v>2028</v>
      </c>
      <c r="B662" s="65" t="s">
        <v>51</v>
      </c>
      <c r="C662" s="66" t="s">
        <v>373</v>
      </c>
      <c r="D662" s="67">
        <v>45971.819201238424</v>
      </c>
      <c r="E662" s="66" t="s">
        <v>374</v>
      </c>
      <c r="F662" s="66" t="s">
        <v>364</v>
      </c>
      <c r="G662" s="66" t="s">
        <v>375</v>
      </c>
      <c r="H662" s="66" t="s">
        <v>376</v>
      </c>
      <c r="I662" s="66" t="s">
        <v>63</v>
      </c>
      <c r="J662" s="66" t="s">
        <v>377</v>
      </c>
      <c r="K662" s="66" t="s">
        <v>45</v>
      </c>
      <c r="L662" s="68">
        <f>VLOOKUP(E662,[1]Diccionario!C$2:AC$150,22,0)</f>
        <v>28089671329</v>
      </c>
      <c r="M662" s="69">
        <f>VLOOKUP(E662,[1]Diccionario!C$2:AC$150,24,0)</f>
        <v>45962</v>
      </c>
      <c r="N662" s="70">
        <f>VLOOKUP(E662,[1]Diccionario!C$2:AC$150,25,0)</f>
        <v>47787</v>
      </c>
      <c r="O662" s="71">
        <f>VLOOKUP(E662,[1]Diccionario!C$2:AC$150,26,0)</f>
        <v>60</v>
      </c>
      <c r="P662" s="71">
        <f t="shared" ca="1" si="120"/>
        <v>-55</v>
      </c>
      <c r="Q662" s="71">
        <f t="shared" ca="1" si="119"/>
        <v>5</v>
      </c>
      <c r="R662" s="66">
        <v>60</v>
      </c>
      <c r="S662" s="72">
        <v>0.56999999999999895</v>
      </c>
      <c r="T662" s="72"/>
      <c r="U662" s="73">
        <f>U661+TablaIndicador[[#This Row],[Costo Mensual]]</f>
        <v>12661042000</v>
      </c>
      <c r="V662" s="73"/>
      <c r="W662" s="73">
        <f t="shared" si="121"/>
        <v>0</v>
      </c>
      <c r="X662" s="73">
        <f t="shared" si="122"/>
        <v>16011112657.52997</v>
      </c>
      <c r="Y662" s="73">
        <f t="shared" si="123"/>
        <v>-12661042000</v>
      </c>
      <c r="Z662" s="73">
        <f t="shared" si="124"/>
        <v>-16011112657.52997</v>
      </c>
      <c r="AA662" s="75">
        <f t="shared" si="125"/>
        <v>0</v>
      </c>
      <c r="AB662" s="76" t="str">
        <f t="shared" si="126"/>
        <v>No calculado</v>
      </c>
      <c r="AC662" s="76">
        <f t="shared" si="127"/>
        <v>0</v>
      </c>
      <c r="AD662" s="76" t="str">
        <f t="shared" si="128"/>
        <v>Sin Línea Base</v>
      </c>
      <c r="AE662" s="77">
        <f t="shared" si="129"/>
        <v>0</v>
      </c>
      <c r="AF662" s="77">
        <f t="shared" si="130"/>
        <v>-28089671329</v>
      </c>
      <c r="AG662" s="78" t="str">
        <f>VLOOKUP(Indicador!E722,[1]Diccionario!C$1:AC$150,27,0)</f>
        <v>https://growdatasas.sharepoint.com/:x:/r/sites/Gestiondocumental/Administrativa/GD/Financiera/_layouts/15/Doc.aspx?sourcedoc=%7B65B8247F-DA01-4A6A-8421-57629CEF7367%7D&amp;file=MODELO%20FINANCIERO%20ANH%20FISCALIZACION%2023.09.25%20V1.xlsm&amp;action=default&amp;mobileredirect=true</v>
      </c>
      <c r="AH662" s="78">
        <v>1</v>
      </c>
      <c r="AI662" s="78">
        <v>1</v>
      </c>
      <c r="AJ662" s="78"/>
      <c r="AK662" s="78" t="s">
        <v>319</v>
      </c>
    </row>
    <row r="663" spans="1:37" ht="18.75" customHeight="1" x14ac:dyDescent="0.25">
      <c r="A663" s="64">
        <v>2028</v>
      </c>
      <c r="B663" s="65" t="s">
        <v>52</v>
      </c>
      <c r="C663" s="66" t="s">
        <v>373</v>
      </c>
      <c r="D663" s="67">
        <v>45971.819201238424</v>
      </c>
      <c r="E663" s="66" t="s">
        <v>374</v>
      </c>
      <c r="F663" s="66" t="s">
        <v>364</v>
      </c>
      <c r="G663" s="66" t="s">
        <v>375</v>
      </c>
      <c r="H663" s="66" t="s">
        <v>376</v>
      </c>
      <c r="I663" s="66" t="s">
        <v>63</v>
      </c>
      <c r="J663" s="66" t="s">
        <v>377</v>
      </c>
      <c r="K663" s="66" t="s">
        <v>45</v>
      </c>
      <c r="L663" s="68">
        <f>VLOOKUP(E663,[1]Diccionario!C$2:AC$150,22,0)</f>
        <v>28089671329</v>
      </c>
      <c r="M663" s="69">
        <f>VLOOKUP(E663,[1]Diccionario!C$2:AC$150,24,0)</f>
        <v>45962</v>
      </c>
      <c r="N663" s="70">
        <f>VLOOKUP(E663,[1]Diccionario!C$2:AC$150,25,0)</f>
        <v>47787</v>
      </c>
      <c r="O663" s="71">
        <f>VLOOKUP(E663,[1]Diccionario!C$2:AC$150,26,0)</f>
        <v>60</v>
      </c>
      <c r="P663" s="71">
        <f t="shared" ca="1" si="120"/>
        <v>-55</v>
      </c>
      <c r="Q663" s="71">
        <f t="shared" ca="1" si="119"/>
        <v>5</v>
      </c>
      <c r="R663" s="66">
        <v>60</v>
      </c>
      <c r="S663" s="72">
        <v>0.57999999999999896</v>
      </c>
      <c r="T663" s="72"/>
      <c r="U663" s="73">
        <f>U662+TablaIndicador[[#This Row],[Costo Mensual]]</f>
        <v>12661042000</v>
      </c>
      <c r="V663" s="73"/>
      <c r="W663" s="73">
        <f t="shared" si="121"/>
        <v>0</v>
      </c>
      <c r="X663" s="73">
        <f t="shared" si="122"/>
        <v>16292009370.819971</v>
      </c>
      <c r="Y663" s="73">
        <f t="shared" si="123"/>
        <v>-12661042000</v>
      </c>
      <c r="Z663" s="73">
        <f t="shared" si="124"/>
        <v>-16292009370.819971</v>
      </c>
      <c r="AA663" s="75">
        <f t="shared" si="125"/>
        <v>0</v>
      </c>
      <c r="AB663" s="76" t="str">
        <f t="shared" si="126"/>
        <v>No calculado</v>
      </c>
      <c r="AC663" s="76">
        <f t="shared" si="127"/>
        <v>0</v>
      </c>
      <c r="AD663" s="76" t="str">
        <f t="shared" si="128"/>
        <v>Sin Línea Base</v>
      </c>
      <c r="AE663" s="77">
        <f t="shared" si="129"/>
        <v>0</v>
      </c>
      <c r="AF663" s="77">
        <f t="shared" si="130"/>
        <v>-28089671329</v>
      </c>
      <c r="AG663" s="78" t="str">
        <f>VLOOKUP(Indicador!E723,[1]Diccionario!C$1:AC$150,27,0)</f>
        <v>https://growdatasas.sharepoint.com/:x:/r/sites/Gestiondocumental/Administrativa/GD/Financiera/_layouts/15/Doc.aspx?sourcedoc=%7B65B8247F-DA01-4A6A-8421-57629CEF7367%7D&amp;file=MODELO%20FINANCIERO%20ANH%20FISCALIZACION%2023.09.25%20V1.xlsm&amp;action=default&amp;mobileredirect=true</v>
      </c>
      <c r="AH663" s="78">
        <v>1</v>
      </c>
      <c r="AI663" s="78">
        <v>1</v>
      </c>
      <c r="AJ663" s="78"/>
      <c r="AK663" s="78" t="s">
        <v>319</v>
      </c>
    </row>
    <row r="664" spans="1:37" ht="18.75" customHeight="1" x14ac:dyDescent="0.25">
      <c r="A664" s="64">
        <v>2028</v>
      </c>
      <c r="B664" s="65" t="s">
        <v>53</v>
      </c>
      <c r="C664" s="66" t="s">
        <v>373</v>
      </c>
      <c r="D664" s="67">
        <v>45971.819201238424</v>
      </c>
      <c r="E664" s="66" t="s">
        <v>374</v>
      </c>
      <c r="F664" s="66" t="s">
        <v>364</v>
      </c>
      <c r="G664" s="66" t="s">
        <v>375</v>
      </c>
      <c r="H664" s="66" t="s">
        <v>376</v>
      </c>
      <c r="I664" s="66" t="s">
        <v>63</v>
      </c>
      <c r="J664" s="66" t="s">
        <v>377</v>
      </c>
      <c r="K664" s="66" t="s">
        <v>45</v>
      </c>
      <c r="L664" s="68">
        <f>VLOOKUP(E664,[1]Diccionario!C$2:AC$150,22,0)</f>
        <v>28089671329</v>
      </c>
      <c r="M664" s="69">
        <f>VLOOKUP(E664,[1]Diccionario!C$2:AC$150,24,0)</f>
        <v>45962</v>
      </c>
      <c r="N664" s="70">
        <f>VLOOKUP(E664,[1]Diccionario!C$2:AC$150,25,0)</f>
        <v>47787</v>
      </c>
      <c r="O664" s="71">
        <f>VLOOKUP(E664,[1]Diccionario!C$2:AC$150,26,0)</f>
        <v>60</v>
      </c>
      <c r="P664" s="71">
        <f t="shared" ca="1" si="120"/>
        <v>-55</v>
      </c>
      <c r="Q664" s="71">
        <f t="shared" ca="1" si="119"/>
        <v>5</v>
      </c>
      <c r="R664" s="66">
        <v>60</v>
      </c>
      <c r="S664" s="72">
        <v>0.58999999999999897</v>
      </c>
      <c r="T664" s="72"/>
      <c r="U664" s="73">
        <f>U663+TablaIndicador[[#This Row],[Costo Mensual]]</f>
        <v>12661042000</v>
      </c>
      <c r="V664" s="73"/>
      <c r="W664" s="73">
        <f t="shared" si="121"/>
        <v>0</v>
      </c>
      <c r="X664" s="73">
        <f t="shared" si="122"/>
        <v>16572906084.109972</v>
      </c>
      <c r="Y664" s="73">
        <f t="shared" si="123"/>
        <v>-12661042000</v>
      </c>
      <c r="Z664" s="73">
        <f t="shared" si="124"/>
        <v>-16572906084.109972</v>
      </c>
      <c r="AA664" s="75">
        <f t="shared" si="125"/>
        <v>0</v>
      </c>
      <c r="AB664" s="76" t="str">
        <f t="shared" si="126"/>
        <v>No calculado</v>
      </c>
      <c r="AC664" s="76">
        <f t="shared" si="127"/>
        <v>0</v>
      </c>
      <c r="AD664" s="76" t="str">
        <f t="shared" si="128"/>
        <v>Sin Línea Base</v>
      </c>
      <c r="AE664" s="77">
        <f t="shared" si="129"/>
        <v>0</v>
      </c>
      <c r="AF664" s="77">
        <f t="shared" si="130"/>
        <v>-28089671329</v>
      </c>
      <c r="AG664" s="78" t="str">
        <f>VLOOKUP(Indicador!E724,[1]Diccionario!C$1:AC$150,27,0)</f>
        <v>https://growdatasas.sharepoint.com/:x:/r/sites/Gestiondocumental/Administrativa/GD/Financiera/_layouts/15/Doc.aspx?sourcedoc=%7B65B8247F-DA01-4A6A-8421-57629CEF7367%7D&amp;file=MODELO%20FINANCIERO%20ANH%20FISCALIZACION%2023.09.25%20V1.xlsm&amp;action=default&amp;mobileredirect=true</v>
      </c>
      <c r="AH664" s="78">
        <v>1</v>
      </c>
      <c r="AI664" s="78">
        <v>1</v>
      </c>
      <c r="AJ664" s="78"/>
      <c r="AK664" s="78" t="s">
        <v>319</v>
      </c>
    </row>
    <row r="665" spans="1:37" ht="18.75" customHeight="1" x14ac:dyDescent="0.25">
      <c r="A665" s="64">
        <v>2028</v>
      </c>
      <c r="B665" s="65" t="s">
        <v>54</v>
      </c>
      <c r="C665" s="66" t="s">
        <v>373</v>
      </c>
      <c r="D665" s="67">
        <v>45971.819201238424</v>
      </c>
      <c r="E665" s="66" t="s">
        <v>374</v>
      </c>
      <c r="F665" s="66" t="s">
        <v>364</v>
      </c>
      <c r="G665" s="66" t="s">
        <v>375</v>
      </c>
      <c r="H665" s="66" t="s">
        <v>376</v>
      </c>
      <c r="I665" s="66" t="s">
        <v>63</v>
      </c>
      <c r="J665" s="66" t="s">
        <v>377</v>
      </c>
      <c r="K665" s="66" t="s">
        <v>45</v>
      </c>
      <c r="L665" s="68">
        <f>VLOOKUP(E665,[1]Diccionario!C$2:AC$150,22,0)</f>
        <v>28089671329</v>
      </c>
      <c r="M665" s="69">
        <f>VLOOKUP(E665,[1]Diccionario!C$2:AC$150,24,0)</f>
        <v>45962</v>
      </c>
      <c r="N665" s="70">
        <f>VLOOKUP(E665,[1]Diccionario!C$2:AC$150,25,0)</f>
        <v>47787</v>
      </c>
      <c r="O665" s="71">
        <f>VLOOKUP(E665,[1]Diccionario!C$2:AC$150,26,0)</f>
        <v>60</v>
      </c>
      <c r="P665" s="71">
        <f t="shared" ca="1" si="120"/>
        <v>-55</v>
      </c>
      <c r="Q665" s="71">
        <f t="shared" ca="1" si="119"/>
        <v>5</v>
      </c>
      <c r="R665" s="66">
        <v>60</v>
      </c>
      <c r="S665" s="72">
        <v>0.59999999999999898</v>
      </c>
      <c r="T665" s="72"/>
      <c r="U665" s="73">
        <f>U664+TablaIndicador[[#This Row],[Costo Mensual]]</f>
        <v>12661042000</v>
      </c>
      <c r="V665" s="73"/>
      <c r="W665" s="73">
        <f t="shared" si="121"/>
        <v>0</v>
      </c>
      <c r="X665" s="73">
        <f t="shared" si="122"/>
        <v>16853802797.399971</v>
      </c>
      <c r="Y665" s="73">
        <f t="shared" si="123"/>
        <v>-12661042000</v>
      </c>
      <c r="Z665" s="73">
        <f t="shared" si="124"/>
        <v>-16853802797.399971</v>
      </c>
      <c r="AA665" s="75">
        <f t="shared" si="125"/>
        <v>0</v>
      </c>
      <c r="AB665" s="76" t="str">
        <f t="shared" si="126"/>
        <v>No calculado</v>
      </c>
      <c r="AC665" s="76">
        <f t="shared" si="127"/>
        <v>0</v>
      </c>
      <c r="AD665" s="76" t="str">
        <f t="shared" si="128"/>
        <v>Sin Línea Base</v>
      </c>
      <c r="AE665" s="77">
        <f t="shared" si="129"/>
        <v>0</v>
      </c>
      <c r="AF665" s="77">
        <f t="shared" si="130"/>
        <v>-28089671329</v>
      </c>
      <c r="AG665" s="78" t="str">
        <f>VLOOKUP(Indicador!E725,[1]Diccionario!C$1:AC$150,27,0)</f>
        <v>https://growdatasas.sharepoint.com/:x:/r/sites/Gestiondocumental/Administrativa/GD/Financiera/_layouts/15/Doc.aspx?sourcedoc=%7B65B8247F-DA01-4A6A-8421-57629CEF7367%7D&amp;file=MODELO%20FINANCIERO%20ANH%20FISCALIZACION%2023.09.25%20V1.xlsm&amp;action=default&amp;mobileredirect=true</v>
      </c>
      <c r="AH665" s="78">
        <v>1</v>
      </c>
      <c r="AI665" s="78">
        <v>1</v>
      </c>
      <c r="AJ665" s="78"/>
      <c r="AK665" s="78" t="s">
        <v>319</v>
      </c>
    </row>
    <row r="666" spans="1:37" ht="18.75" customHeight="1" x14ac:dyDescent="0.25">
      <c r="A666" s="64">
        <v>2028</v>
      </c>
      <c r="B666" s="65" t="s">
        <v>55</v>
      </c>
      <c r="C666" s="66" t="s">
        <v>373</v>
      </c>
      <c r="D666" s="67">
        <v>45971.819201238424</v>
      </c>
      <c r="E666" s="66" t="s">
        <v>374</v>
      </c>
      <c r="F666" s="66" t="s">
        <v>364</v>
      </c>
      <c r="G666" s="66" t="s">
        <v>375</v>
      </c>
      <c r="H666" s="66" t="s">
        <v>376</v>
      </c>
      <c r="I666" s="66" t="s">
        <v>63</v>
      </c>
      <c r="J666" s="66" t="s">
        <v>377</v>
      </c>
      <c r="K666" s="66" t="s">
        <v>45</v>
      </c>
      <c r="L666" s="68">
        <f>VLOOKUP(E666,[1]Diccionario!C$2:AC$150,22,0)</f>
        <v>28089671329</v>
      </c>
      <c r="M666" s="69">
        <f>VLOOKUP(E666,[1]Diccionario!C$2:AC$150,24,0)</f>
        <v>45962</v>
      </c>
      <c r="N666" s="70">
        <f>VLOOKUP(E666,[1]Diccionario!C$2:AC$150,25,0)</f>
        <v>47787</v>
      </c>
      <c r="O666" s="71">
        <f>VLOOKUP(E666,[1]Diccionario!C$2:AC$150,26,0)</f>
        <v>60</v>
      </c>
      <c r="P666" s="71">
        <f t="shared" ca="1" si="120"/>
        <v>-55</v>
      </c>
      <c r="Q666" s="71">
        <f t="shared" ca="1" si="119"/>
        <v>5</v>
      </c>
      <c r="R666" s="66">
        <v>60</v>
      </c>
      <c r="S666" s="72">
        <v>0.60999999999999799</v>
      </c>
      <c r="T666" s="72"/>
      <c r="U666" s="73">
        <f>U665+TablaIndicador[[#This Row],[Costo Mensual]]</f>
        <v>12661042000</v>
      </c>
      <c r="V666" s="73"/>
      <c r="W666" s="73">
        <f t="shared" si="121"/>
        <v>0</v>
      </c>
      <c r="X666" s="73">
        <f t="shared" si="122"/>
        <v>17134699510.689943</v>
      </c>
      <c r="Y666" s="73">
        <f t="shared" si="123"/>
        <v>-12661042000</v>
      </c>
      <c r="Z666" s="73">
        <f t="shared" si="124"/>
        <v>-17134699510.689943</v>
      </c>
      <c r="AA666" s="75">
        <f t="shared" si="125"/>
        <v>0</v>
      </c>
      <c r="AB666" s="76" t="str">
        <f t="shared" si="126"/>
        <v>No calculado</v>
      </c>
      <c r="AC666" s="76">
        <f t="shared" si="127"/>
        <v>0</v>
      </c>
      <c r="AD666" s="76" t="str">
        <f t="shared" si="128"/>
        <v>Sin Línea Base</v>
      </c>
      <c r="AE666" s="77">
        <f t="shared" si="129"/>
        <v>0</v>
      </c>
      <c r="AF666" s="77">
        <f t="shared" si="130"/>
        <v>-28089671329</v>
      </c>
      <c r="AG666" s="78" t="str">
        <f>VLOOKUP(Indicador!E726,[1]Diccionario!C$1:AC$150,27,0)</f>
        <v>https://growdatasas.sharepoint.com/:x:/r/sites/Gestiondocumental/Administrativa/GD/Financiera/_layouts/15/Doc.aspx?sourcedoc=%7B65B8247F-DA01-4A6A-8421-57629CEF7367%7D&amp;file=MODELO%20FINANCIERO%20ANH%20FISCALIZACION%2023.09.25%20V1.xlsm&amp;action=default&amp;mobileredirect=true</v>
      </c>
      <c r="AH666" s="78">
        <v>1</v>
      </c>
      <c r="AI666" s="78">
        <v>1</v>
      </c>
      <c r="AJ666" s="78"/>
      <c r="AK666" s="78" t="s">
        <v>319</v>
      </c>
    </row>
    <row r="667" spans="1:37" ht="18.75" customHeight="1" x14ac:dyDescent="0.25">
      <c r="A667" s="64">
        <v>2028</v>
      </c>
      <c r="B667" s="65" t="s">
        <v>56</v>
      </c>
      <c r="C667" s="66" t="s">
        <v>373</v>
      </c>
      <c r="D667" s="67">
        <v>45971.819201238424</v>
      </c>
      <c r="E667" s="66" t="s">
        <v>374</v>
      </c>
      <c r="F667" s="66" t="s">
        <v>364</v>
      </c>
      <c r="G667" s="66" t="s">
        <v>375</v>
      </c>
      <c r="H667" s="66" t="s">
        <v>376</v>
      </c>
      <c r="I667" s="66" t="s">
        <v>63</v>
      </c>
      <c r="J667" s="66" t="s">
        <v>377</v>
      </c>
      <c r="K667" s="66" t="s">
        <v>45</v>
      </c>
      <c r="L667" s="68">
        <f>VLOOKUP(E667,[1]Diccionario!C$2:AC$150,22,0)</f>
        <v>28089671329</v>
      </c>
      <c r="M667" s="69">
        <f>VLOOKUP(E667,[1]Diccionario!C$2:AC$150,24,0)</f>
        <v>45962</v>
      </c>
      <c r="N667" s="70">
        <f>VLOOKUP(E667,[1]Diccionario!C$2:AC$150,25,0)</f>
        <v>47787</v>
      </c>
      <c r="O667" s="71">
        <f>VLOOKUP(E667,[1]Diccionario!C$2:AC$150,26,0)</f>
        <v>60</v>
      </c>
      <c r="P667" s="71">
        <f t="shared" ca="1" si="120"/>
        <v>-55</v>
      </c>
      <c r="Q667" s="71">
        <f t="shared" ca="1" si="119"/>
        <v>5</v>
      </c>
      <c r="R667" s="66">
        <v>60</v>
      </c>
      <c r="S667" s="72">
        <v>0.619999999999998</v>
      </c>
      <c r="T667" s="72"/>
      <c r="U667" s="73">
        <f>U666+TablaIndicador[[#This Row],[Costo Mensual]]</f>
        <v>12661042000</v>
      </c>
      <c r="V667" s="73"/>
      <c r="W667" s="73">
        <f t="shared" si="121"/>
        <v>0</v>
      </c>
      <c r="X667" s="73">
        <f t="shared" si="122"/>
        <v>17415596223.979942</v>
      </c>
      <c r="Y667" s="73">
        <f t="shared" si="123"/>
        <v>-12661042000</v>
      </c>
      <c r="Z667" s="73">
        <f t="shared" si="124"/>
        <v>-17415596223.979942</v>
      </c>
      <c r="AA667" s="75">
        <f t="shared" si="125"/>
        <v>0</v>
      </c>
      <c r="AB667" s="76" t="str">
        <f t="shared" si="126"/>
        <v>No calculado</v>
      </c>
      <c r="AC667" s="76">
        <f t="shared" si="127"/>
        <v>0</v>
      </c>
      <c r="AD667" s="76" t="str">
        <f t="shared" si="128"/>
        <v>Sin Línea Base</v>
      </c>
      <c r="AE667" s="77">
        <f t="shared" si="129"/>
        <v>0</v>
      </c>
      <c r="AF667" s="77">
        <f t="shared" si="130"/>
        <v>-28089671329</v>
      </c>
      <c r="AG667" s="78" t="str">
        <f>VLOOKUP(Indicador!E727,[1]Diccionario!C$1:AC$150,27,0)</f>
        <v>https://growdatasas.sharepoint.com/:x:/r/sites/Gestiondocumental/Administrativa/GD/Financiera/_layouts/15/Doc.aspx?sourcedoc=%7B65B8247F-DA01-4A6A-8421-57629CEF7367%7D&amp;file=MODELO%20FINANCIERO%20ANH%20FISCALIZACION%2023.09.25%20V1.xlsm&amp;action=default&amp;mobileredirect=true</v>
      </c>
      <c r="AH667" s="78">
        <v>1</v>
      </c>
      <c r="AI667" s="78">
        <v>1</v>
      </c>
      <c r="AJ667" s="78"/>
      <c r="AK667" s="78" t="s">
        <v>319</v>
      </c>
    </row>
    <row r="668" spans="1:37" ht="18.75" customHeight="1" x14ac:dyDescent="0.25">
      <c r="A668" s="64">
        <v>2028</v>
      </c>
      <c r="B668" s="65" t="s">
        <v>57</v>
      </c>
      <c r="C668" s="66" t="s">
        <v>373</v>
      </c>
      <c r="D668" s="67">
        <v>45971.819201238424</v>
      </c>
      <c r="E668" s="66" t="s">
        <v>374</v>
      </c>
      <c r="F668" s="66" t="s">
        <v>364</v>
      </c>
      <c r="G668" s="66" t="s">
        <v>375</v>
      </c>
      <c r="H668" s="66" t="s">
        <v>376</v>
      </c>
      <c r="I668" s="66" t="s">
        <v>63</v>
      </c>
      <c r="J668" s="66" t="s">
        <v>377</v>
      </c>
      <c r="K668" s="66" t="s">
        <v>45</v>
      </c>
      <c r="L668" s="68">
        <f>VLOOKUP(E668,[1]Diccionario!C$2:AC$150,22,0)</f>
        <v>28089671329</v>
      </c>
      <c r="M668" s="69">
        <f>VLOOKUP(E668,[1]Diccionario!C$2:AC$150,24,0)</f>
        <v>45962</v>
      </c>
      <c r="N668" s="70">
        <f>VLOOKUP(E668,[1]Diccionario!C$2:AC$150,25,0)</f>
        <v>47787</v>
      </c>
      <c r="O668" s="71">
        <f>VLOOKUP(E668,[1]Diccionario!C$2:AC$150,26,0)</f>
        <v>60</v>
      </c>
      <c r="P668" s="71">
        <f t="shared" ca="1" si="120"/>
        <v>-55</v>
      </c>
      <c r="Q668" s="71">
        <f t="shared" ca="1" si="119"/>
        <v>5</v>
      </c>
      <c r="R668" s="66">
        <v>60</v>
      </c>
      <c r="S668" s="72">
        <v>0.62999999999999801</v>
      </c>
      <c r="T668" s="72"/>
      <c r="U668" s="73">
        <f>U667+TablaIndicador[[#This Row],[Costo Mensual]]</f>
        <v>12661042000</v>
      </c>
      <c r="V668" s="73"/>
      <c r="W668" s="73">
        <f t="shared" si="121"/>
        <v>0</v>
      </c>
      <c r="X668" s="73">
        <f t="shared" si="122"/>
        <v>17696492937.269943</v>
      </c>
      <c r="Y668" s="73">
        <f t="shared" si="123"/>
        <v>-12661042000</v>
      </c>
      <c r="Z668" s="73">
        <f t="shared" si="124"/>
        <v>-17696492937.269943</v>
      </c>
      <c r="AA668" s="75">
        <f t="shared" si="125"/>
        <v>0</v>
      </c>
      <c r="AB668" s="76" t="str">
        <f t="shared" si="126"/>
        <v>No calculado</v>
      </c>
      <c r="AC668" s="76">
        <f t="shared" si="127"/>
        <v>0</v>
      </c>
      <c r="AD668" s="76" t="str">
        <f t="shared" si="128"/>
        <v>Sin Línea Base</v>
      </c>
      <c r="AE668" s="77">
        <f t="shared" si="129"/>
        <v>0</v>
      </c>
      <c r="AF668" s="77">
        <f t="shared" si="130"/>
        <v>-28089671329</v>
      </c>
      <c r="AG668" s="78" t="str">
        <f>VLOOKUP(Indicador!E728,[1]Diccionario!C$1:AC$150,27,0)</f>
        <v>https://growdatasas.sharepoint.com/:x:/r/sites/Gestiondocumental/Administrativa/GD/Financiera/_layouts/15/Doc.aspx?sourcedoc=%7B65B8247F-DA01-4A6A-8421-57629CEF7367%7D&amp;file=MODELO%20FINANCIERO%20ANH%20FISCALIZACION%2023.09.25%20V1.xlsm&amp;action=default&amp;mobileredirect=true</v>
      </c>
      <c r="AH668" s="78">
        <v>1</v>
      </c>
      <c r="AI668" s="78">
        <v>1</v>
      </c>
      <c r="AJ668" s="78"/>
      <c r="AK668" s="78" t="s">
        <v>319</v>
      </c>
    </row>
    <row r="669" spans="1:37" ht="18.75" customHeight="1" x14ac:dyDescent="0.25">
      <c r="A669" s="64">
        <v>2029</v>
      </c>
      <c r="B669" s="65" t="s">
        <v>37</v>
      </c>
      <c r="C669" s="66" t="s">
        <v>373</v>
      </c>
      <c r="D669" s="67">
        <v>45971.819201238424</v>
      </c>
      <c r="E669" s="66" t="s">
        <v>374</v>
      </c>
      <c r="F669" s="66" t="s">
        <v>364</v>
      </c>
      <c r="G669" s="66" t="s">
        <v>375</v>
      </c>
      <c r="H669" s="66" t="s">
        <v>376</v>
      </c>
      <c r="I669" s="66" t="s">
        <v>63</v>
      </c>
      <c r="J669" s="66" t="s">
        <v>377</v>
      </c>
      <c r="K669" s="66" t="s">
        <v>45</v>
      </c>
      <c r="L669" s="68">
        <f>VLOOKUP(E669,[1]Diccionario!C$2:AC$150,22,0)</f>
        <v>28089671329</v>
      </c>
      <c r="M669" s="69">
        <f>VLOOKUP(E669,[1]Diccionario!C$2:AC$150,24,0)</f>
        <v>45962</v>
      </c>
      <c r="N669" s="70">
        <f>VLOOKUP(E669,[1]Diccionario!C$2:AC$150,25,0)</f>
        <v>47787</v>
      </c>
      <c r="O669" s="71">
        <f>VLOOKUP(E669,[1]Diccionario!C$2:AC$150,26,0)</f>
        <v>60</v>
      </c>
      <c r="P669" s="71">
        <f t="shared" ca="1" si="120"/>
        <v>-55</v>
      </c>
      <c r="Q669" s="71">
        <f t="shared" ca="1" si="119"/>
        <v>5</v>
      </c>
      <c r="R669" s="66">
        <v>60</v>
      </c>
      <c r="S669" s="72">
        <v>0.63999999999999801</v>
      </c>
      <c r="T669" s="72"/>
      <c r="U669" s="73">
        <f>U668+TablaIndicador[[#This Row],[Costo Mensual]]</f>
        <v>12661042000</v>
      </c>
      <c r="V669" s="73"/>
      <c r="W669" s="73">
        <f t="shared" si="121"/>
        <v>0</v>
      </c>
      <c r="X669" s="73">
        <f t="shared" si="122"/>
        <v>17977389650.559944</v>
      </c>
      <c r="Y669" s="73">
        <f t="shared" si="123"/>
        <v>-12661042000</v>
      </c>
      <c r="Z669" s="73">
        <f t="shared" si="124"/>
        <v>-17977389650.559944</v>
      </c>
      <c r="AA669" s="75">
        <f t="shared" si="125"/>
        <v>0</v>
      </c>
      <c r="AB669" s="76" t="str">
        <f t="shared" si="126"/>
        <v>No calculado</v>
      </c>
      <c r="AC669" s="76">
        <f t="shared" si="127"/>
        <v>0</v>
      </c>
      <c r="AD669" s="76" t="str">
        <f t="shared" si="128"/>
        <v>Sin Línea Base</v>
      </c>
      <c r="AE669" s="77">
        <f t="shared" si="129"/>
        <v>0</v>
      </c>
      <c r="AF669" s="77">
        <f t="shared" si="130"/>
        <v>-28089671329</v>
      </c>
      <c r="AG669" s="78" t="str">
        <f>VLOOKUP(Indicador!E729,[1]Diccionario!C$1:AC$150,27,0)</f>
        <v>https://growdatasas.sharepoint.com/:x:/r/sites/Gestiondocumental/Administrativa/GD/Financiera/_layouts/15/Doc.aspx?sourcedoc=%7B65B8247F-DA01-4A6A-8421-57629CEF7367%7D&amp;file=MODELO%20FINANCIERO%20ANH%20FISCALIZACION%2023.09.25%20V1.xlsm&amp;action=default&amp;mobileredirect=true</v>
      </c>
      <c r="AH669" s="78">
        <v>1</v>
      </c>
      <c r="AI669" s="78">
        <v>1</v>
      </c>
      <c r="AJ669" s="78"/>
      <c r="AK669" s="78" t="s">
        <v>319</v>
      </c>
    </row>
    <row r="670" spans="1:37" ht="18.75" customHeight="1" x14ac:dyDescent="0.25">
      <c r="A670" s="64">
        <v>2029</v>
      </c>
      <c r="B670" s="65" t="s">
        <v>47</v>
      </c>
      <c r="C670" s="66" t="s">
        <v>373</v>
      </c>
      <c r="D670" s="67">
        <v>45971.819201238424</v>
      </c>
      <c r="E670" s="66" t="s">
        <v>374</v>
      </c>
      <c r="F670" s="66" t="s">
        <v>364</v>
      </c>
      <c r="G670" s="66" t="s">
        <v>375</v>
      </c>
      <c r="H670" s="66" t="s">
        <v>376</v>
      </c>
      <c r="I670" s="66" t="s">
        <v>63</v>
      </c>
      <c r="J670" s="66" t="s">
        <v>377</v>
      </c>
      <c r="K670" s="66" t="s">
        <v>45</v>
      </c>
      <c r="L670" s="68">
        <f>VLOOKUP(E670,[1]Diccionario!C$2:AC$150,22,0)</f>
        <v>28089671329</v>
      </c>
      <c r="M670" s="69">
        <f>VLOOKUP(E670,[1]Diccionario!C$2:AC$150,24,0)</f>
        <v>45962</v>
      </c>
      <c r="N670" s="70">
        <f>VLOOKUP(E670,[1]Diccionario!C$2:AC$150,25,0)</f>
        <v>47787</v>
      </c>
      <c r="O670" s="71">
        <f>VLOOKUP(E670,[1]Diccionario!C$2:AC$150,26,0)</f>
        <v>60</v>
      </c>
      <c r="P670" s="71">
        <f t="shared" ca="1" si="120"/>
        <v>-55</v>
      </c>
      <c r="Q670" s="71">
        <f t="shared" ca="1" si="119"/>
        <v>5</v>
      </c>
      <c r="R670" s="66">
        <v>60</v>
      </c>
      <c r="S670" s="72">
        <v>0.64999999999999802</v>
      </c>
      <c r="T670" s="72"/>
      <c r="U670" s="73">
        <f>U669+TablaIndicador[[#This Row],[Costo Mensual]]</f>
        <v>12661042000</v>
      </c>
      <c r="V670" s="73"/>
      <c r="W670" s="73">
        <f t="shared" si="121"/>
        <v>0</v>
      </c>
      <c r="X670" s="73">
        <f t="shared" si="122"/>
        <v>18258286363.849945</v>
      </c>
      <c r="Y670" s="73">
        <f t="shared" si="123"/>
        <v>-12661042000</v>
      </c>
      <c r="Z670" s="73">
        <f t="shared" si="124"/>
        <v>-18258286363.849945</v>
      </c>
      <c r="AA670" s="75">
        <f t="shared" si="125"/>
        <v>0</v>
      </c>
      <c r="AB670" s="76" t="str">
        <f t="shared" si="126"/>
        <v>No calculado</v>
      </c>
      <c r="AC670" s="76">
        <f t="shared" si="127"/>
        <v>0</v>
      </c>
      <c r="AD670" s="76" t="str">
        <f t="shared" si="128"/>
        <v>Sin Línea Base</v>
      </c>
      <c r="AE670" s="77">
        <f t="shared" si="129"/>
        <v>0</v>
      </c>
      <c r="AF670" s="77">
        <f t="shared" si="130"/>
        <v>-28089671329</v>
      </c>
      <c r="AG670" s="78" t="str">
        <f>VLOOKUP(Indicador!E730,[1]Diccionario!C$1:AC$150,27,0)</f>
        <v>https://growdatasas.sharepoint.com/:x:/r/sites/Gestiondocumental/Administrativa/GD/Financiera/_layouts/15/Doc.aspx?sourcedoc=%7B65B8247F-DA01-4A6A-8421-57629CEF7367%7D&amp;file=MODELO%20FINANCIERO%20ANH%20FISCALIZACION%2023.09.25%20V1.xlsm&amp;action=default&amp;mobileredirect=true</v>
      </c>
      <c r="AH670" s="78">
        <v>1</v>
      </c>
      <c r="AI670" s="78">
        <v>1</v>
      </c>
      <c r="AJ670" s="78"/>
      <c r="AK670" s="78" t="s">
        <v>319</v>
      </c>
    </row>
    <row r="671" spans="1:37" ht="18.75" customHeight="1" x14ac:dyDescent="0.25">
      <c r="A671" s="64">
        <v>2029</v>
      </c>
      <c r="B671" s="65" t="s">
        <v>48</v>
      </c>
      <c r="C671" s="66" t="s">
        <v>373</v>
      </c>
      <c r="D671" s="67">
        <v>45971.819201238424</v>
      </c>
      <c r="E671" s="66" t="s">
        <v>374</v>
      </c>
      <c r="F671" s="66" t="s">
        <v>364</v>
      </c>
      <c r="G671" s="66" t="s">
        <v>375</v>
      </c>
      <c r="H671" s="66" t="s">
        <v>376</v>
      </c>
      <c r="I671" s="66" t="s">
        <v>63</v>
      </c>
      <c r="J671" s="66" t="s">
        <v>377</v>
      </c>
      <c r="K671" s="66" t="s">
        <v>45</v>
      </c>
      <c r="L671" s="68">
        <f>VLOOKUP(E671,[1]Diccionario!C$2:AC$150,22,0)</f>
        <v>28089671329</v>
      </c>
      <c r="M671" s="69">
        <f>VLOOKUP(E671,[1]Diccionario!C$2:AC$150,24,0)</f>
        <v>45962</v>
      </c>
      <c r="N671" s="70">
        <f>VLOOKUP(E671,[1]Diccionario!C$2:AC$150,25,0)</f>
        <v>47787</v>
      </c>
      <c r="O671" s="71">
        <f>VLOOKUP(E671,[1]Diccionario!C$2:AC$150,26,0)</f>
        <v>60</v>
      </c>
      <c r="P671" s="71">
        <f t="shared" ca="1" si="120"/>
        <v>-55</v>
      </c>
      <c r="Q671" s="71">
        <f t="shared" ca="1" si="119"/>
        <v>5</v>
      </c>
      <c r="R671" s="66">
        <v>60</v>
      </c>
      <c r="S671" s="72">
        <v>0.65999999999999803</v>
      </c>
      <c r="T671" s="72"/>
      <c r="U671" s="73">
        <f>U670+TablaIndicador[[#This Row],[Costo Mensual]]</f>
        <v>12661042000</v>
      </c>
      <c r="V671" s="73"/>
      <c r="W671" s="73">
        <f t="shared" si="121"/>
        <v>0</v>
      </c>
      <c r="X671" s="73">
        <f t="shared" si="122"/>
        <v>18539183077.139946</v>
      </c>
      <c r="Y671" s="73">
        <f t="shared" si="123"/>
        <v>-12661042000</v>
      </c>
      <c r="Z671" s="73">
        <f t="shared" si="124"/>
        <v>-18539183077.139946</v>
      </c>
      <c r="AA671" s="75">
        <f t="shared" si="125"/>
        <v>0</v>
      </c>
      <c r="AB671" s="76" t="str">
        <f t="shared" si="126"/>
        <v>No calculado</v>
      </c>
      <c r="AC671" s="76">
        <f t="shared" si="127"/>
        <v>0</v>
      </c>
      <c r="AD671" s="76" t="str">
        <f t="shared" si="128"/>
        <v>Sin Línea Base</v>
      </c>
      <c r="AE671" s="77">
        <f t="shared" si="129"/>
        <v>0</v>
      </c>
      <c r="AF671" s="77">
        <f t="shared" si="130"/>
        <v>-28089671329</v>
      </c>
      <c r="AG671" s="78" t="str">
        <f>VLOOKUP(Indicador!E731,[1]Diccionario!C$1:AC$150,27,0)</f>
        <v>https://growdatasas.sharepoint.com/:x:/r/sites/Gestiondocumental/Administrativa/GD/Financiera/_layouts/15/Doc.aspx?sourcedoc=%7B65B8247F-DA01-4A6A-8421-57629CEF7367%7D&amp;file=MODELO%20FINANCIERO%20ANH%20FISCALIZACION%2023.09.25%20V1.xlsm&amp;action=default&amp;mobileredirect=true</v>
      </c>
      <c r="AH671" s="78">
        <v>1</v>
      </c>
      <c r="AI671" s="78">
        <v>1</v>
      </c>
      <c r="AJ671" s="78"/>
      <c r="AK671" s="78" t="s">
        <v>319</v>
      </c>
    </row>
    <row r="672" spans="1:37" ht="18.75" customHeight="1" x14ac:dyDescent="0.25">
      <c r="A672" s="64">
        <v>2029</v>
      </c>
      <c r="B672" s="65" t="s">
        <v>49</v>
      </c>
      <c r="C672" s="66" t="s">
        <v>373</v>
      </c>
      <c r="D672" s="67">
        <v>45971.819201238424</v>
      </c>
      <c r="E672" s="66" t="s">
        <v>374</v>
      </c>
      <c r="F672" s="66" t="s">
        <v>364</v>
      </c>
      <c r="G672" s="66" t="s">
        <v>375</v>
      </c>
      <c r="H672" s="66" t="s">
        <v>376</v>
      </c>
      <c r="I672" s="66" t="s">
        <v>63</v>
      </c>
      <c r="J672" s="66" t="s">
        <v>377</v>
      </c>
      <c r="K672" s="66" t="s">
        <v>45</v>
      </c>
      <c r="L672" s="68">
        <f>VLOOKUP(E672,[1]Diccionario!C$2:AC$150,22,0)</f>
        <v>28089671329</v>
      </c>
      <c r="M672" s="69">
        <f>VLOOKUP(E672,[1]Diccionario!C$2:AC$150,24,0)</f>
        <v>45962</v>
      </c>
      <c r="N672" s="70">
        <f>VLOOKUP(E672,[1]Diccionario!C$2:AC$150,25,0)</f>
        <v>47787</v>
      </c>
      <c r="O672" s="71">
        <f>VLOOKUP(E672,[1]Diccionario!C$2:AC$150,26,0)</f>
        <v>60</v>
      </c>
      <c r="P672" s="71">
        <f t="shared" ca="1" si="120"/>
        <v>-55</v>
      </c>
      <c r="Q672" s="71">
        <f t="shared" ca="1" si="119"/>
        <v>5</v>
      </c>
      <c r="R672" s="66">
        <v>60</v>
      </c>
      <c r="S672" s="72">
        <v>0.66999999999999804</v>
      </c>
      <c r="T672" s="72"/>
      <c r="U672" s="73">
        <f>U671+TablaIndicador[[#This Row],[Costo Mensual]]</f>
        <v>12661042000</v>
      </c>
      <c r="V672" s="73"/>
      <c r="W672" s="73">
        <f t="shared" si="121"/>
        <v>0</v>
      </c>
      <c r="X672" s="73">
        <f t="shared" si="122"/>
        <v>18820079790.429943</v>
      </c>
      <c r="Y672" s="73">
        <f t="shared" si="123"/>
        <v>-12661042000</v>
      </c>
      <c r="Z672" s="73">
        <f t="shared" si="124"/>
        <v>-18820079790.429943</v>
      </c>
      <c r="AA672" s="75">
        <f t="shared" si="125"/>
        <v>0</v>
      </c>
      <c r="AB672" s="76" t="str">
        <f t="shared" si="126"/>
        <v>No calculado</v>
      </c>
      <c r="AC672" s="76">
        <f t="shared" si="127"/>
        <v>0</v>
      </c>
      <c r="AD672" s="76" t="str">
        <f t="shared" si="128"/>
        <v>Sin Línea Base</v>
      </c>
      <c r="AE672" s="77">
        <f t="shared" si="129"/>
        <v>0</v>
      </c>
      <c r="AF672" s="77">
        <f t="shared" si="130"/>
        <v>-28089671329</v>
      </c>
      <c r="AG672" s="78" t="str">
        <f>VLOOKUP(Indicador!E732,[1]Diccionario!C$1:AC$150,27,0)</f>
        <v>https://growdatasas.sharepoint.com/:x:/r/sites/Gestiondocumental/Administrativa/GD/Financiera/_layouts/15/Doc.aspx?sourcedoc=%7B65B8247F-DA01-4A6A-8421-57629CEF7367%7D&amp;file=MODELO%20FINANCIERO%20ANH%20FISCALIZACION%2023.09.25%20V1.xlsm&amp;action=default&amp;mobileredirect=true</v>
      </c>
      <c r="AH672" s="78">
        <v>1</v>
      </c>
      <c r="AI672" s="78">
        <v>1</v>
      </c>
      <c r="AJ672" s="78"/>
      <c r="AK672" s="78" t="s">
        <v>319</v>
      </c>
    </row>
    <row r="673" spans="1:37" ht="18.75" customHeight="1" x14ac:dyDescent="0.25">
      <c r="A673" s="64">
        <v>2029</v>
      </c>
      <c r="B673" s="65" t="s">
        <v>50</v>
      </c>
      <c r="C673" s="66" t="s">
        <v>373</v>
      </c>
      <c r="D673" s="67">
        <v>45971.819201238424</v>
      </c>
      <c r="E673" s="66" t="s">
        <v>374</v>
      </c>
      <c r="F673" s="66" t="s">
        <v>364</v>
      </c>
      <c r="G673" s="66" t="s">
        <v>375</v>
      </c>
      <c r="H673" s="66" t="s">
        <v>376</v>
      </c>
      <c r="I673" s="66" t="s">
        <v>63</v>
      </c>
      <c r="J673" s="66" t="s">
        <v>377</v>
      </c>
      <c r="K673" s="66" t="s">
        <v>45</v>
      </c>
      <c r="L673" s="68">
        <f>VLOOKUP(E673,[1]Diccionario!C$2:AC$150,22,0)</f>
        <v>28089671329</v>
      </c>
      <c r="M673" s="69">
        <f>VLOOKUP(E673,[1]Diccionario!C$2:AC$150,24,0)</f>
        <v>45962</v>
      </c>
      <c r="N673" s="70">
        <f>VLOOKUP(E673,[1]Diccionario!C$2:AC$150,25,0)</f>
        <v>47787</v>
      </c>
      <c r="O673" s="71">
        <f>VLOOKUP(E673,[1]Diccionario!C$2:AC$150,26,0)</f>
        <v>60</v>
      </c>
      <c r="P673" s="71">
        <f t="shared" ca="1" si="120"/>
        <v>-55</v>
      </c>
      <c r="Q673" s="71">
        <f t="shared" ca="1" si="119"/>
        <v>5</v>
      </c>
      <c r="R673" s="66">
        <v>60</v>
      </c>
      <c r="S673" s="72">
        <v>0.67999999999999805</v>
      </c>
      <c r="T673" s="72"/>
      <c r="U673" s="73">
        <f>U672+TablaIndicador[[#This Row],[Costo Mensual]]</f>
        <v>12661042000</v>
      </c>
      <c r="V673" s="73"/>
      <c r="W673" s="73">
        <f t="shared" si="121"/>
        <v>0</v>
      </c>
      <c r="X673" s="73">
        <f t="shared" si="122"/>
        <v>19100976503.719944</v>
      </c>
      <c r="Y673" s="73">
        <f t="shared" si="123"/>
        <v>-12661042000</v>
      </c>
      <c r="Z673" s="73">
        <f t="shared" si="124"/>
        <v>-19100976503.719944</v>
      </c>
      <c r="AA673" s="75">
        <f t="shared" si="125"/>
        <v>0</v>
      </c>
      <c r="AB673" s="76" t="str">
        <f t="shared" si="126"/>
        <v>No calculado</v>
      </c>
      <c r="AC673" s="76">
        <f t="shared" si="127"/>
        <v>0</v>
      </c>
      <c r="AD673" s="76" t="str">
        <f t="shared" si="128"/>
        <v>Sin Línea Base</v>
      </c>
      <c r="AE673" s="77">
        <f t="shared" si="129"/>
        <v>0</v>
      </c>
      <c r="AF673" s="77">
        <f t="shared" si="130"/>
        <v>-28089671329</v>
      </c>
      <c r="AG673" s="78" t="str">
        <f>VLOOKUP(Indicador!E733,[1]Diccionario!C$1:AC$150,27,0)</f>
        <v>https://growdatasas.sharepoint.com/:x:/r/sites/Gestiondocumental/Administrativa/GD/Financiera/_layouts/15/Doc.aspx?sourcedoc=%7B65B8247F-DA01-4A6A-8421-57629CEF7367%7D&amp;file=MODELO%20FINANCIERO%20ANH%20FISCALIZACION%2023.09.25%20V1.xlsm&amp;action=default&amp;mobileredirect=true</v>
      </c>
      <c r="AH673" s="78">
        <v>1</v>
      </c>
      <c r="AI673" s="78">
        <v>1</v>
      </c>
      <c r="AJ673" s="78"/>
      <c r="AK673" s="78" t="s">
        <v>319</v>
      </c>
    </row>
    <row r="674" spans="1:37" ht="18.75" customHeight="1" x14ac:dyDescent="0.25">
      <c r="A674" s="64">
        <v>2029</v>
      </c>
      <c r="B674" s="65" t="s">
        <v>51</v>
      </c>
      <c r="C674" s="66" t="s">
        <v>373</v>
      </c>
      <c r="D674" s="67">
        <v>45971.819201238424</v>
      </c>
      <c r="E674" s="66" t="s">
        <v>374</v>
      </c>
      <c r="F674" s="66" t="s">
        <v>364</v>
      </c>
      <c r="G674" s="66" t="s">
        <v>375</v>
      </c>
      <c r="H674" s="66" t="s">
        <v>376</v>
      </c>
      <c r="I674" s="66" t="s">
        <v>63</v>
      </c>
      <c r="J674" s="66" t="s">
        <v>377</v>
      </c>
      <c r="K674" s="66" t="s">
        <v>45</v>
      </c>
      <c r="L674" s="68">
        <f>VLOOKUP(E674,[1]Diccionario!C$2:AC$150,22,0)</f>
        <v>28089671329</v>
      </c>
      <c r="M674" s="69">
        <f>VLOOKUP(E674,[1]Diccionario!C$2:AC$150,24,0)</f>
        <v>45962</v>
      </c>
      <c r="N674" s="70">
        <f>VLOOKUP(E674,[1]Diccionario!C$2:AC$150,25,0)</f>
        <v>47787</v>
      </c>
      <c r="O674" s="71">
        <f>VLOOKUP(E674,[1]Diccionario!C$2:AC$150,26,0)</f>
        <v>60</v>
      </c>
      <c r="P674" s="71">
        <f t="shared" ca="1" si="120"/>
        <v>-55</v>
      </c>
      <c r="Q674" s="71">
        <f t="shared" ca="1" si="119"/>
        <v>5</v>
      </c>
      <c r="R674" s="66">
        <v>60</v>
      </c>
      <c r="S674" s="72">
        <v>0.68999999999999795</v>
      </c>
      <c r="T674" s="72"/>
      <c r="U674" s="73">
        <f>U673+TablaIndicador[[#This Row],[Costo Mensual]]</f>
        <v>12661042000</v>
      </c>
      <c r="V674" s="73"/>
      <c r="W674" s="73">
        <f t="shared" si="121"/>
        <v>0</v>
      </c>
      <c r="X674" s="73">
        <f t="shared" si="122"/>
        <v>19381873217.009941</v>
      </c>
      <c r="Y674" s="73">
        <f t="shared" si="123"/>
        <v>-12661042000</v>
      </c>
      <c r="Z674" s="73">
        <f t="shared" si="124"/>
        <v>-19381873217.009941</v>
      </c>
      <c r="AA674" s="75">
        <f t="shared" si="125"/>
        <v>0</v>
      </c>
      <c r="AB674" s="76" t="str">
        <f t="shared" si="126"/>
        <v>No calculado</v>
      </c>
      <c r="AC674" s="76">
        <f t="shared" si="127"/>
        <v>0</v>
      </c>
      <c r="AD674" s="76" t="str">
        <f t="shared" si="128"/>
        <v>Sin Línea Base</v>
      </c>
      <c r="AE674" s="77">
        <f t="shared" si="129"/>
        <v>0</v>
      </c>
      <c r="AF674" s="77">
        <f t="shared" si="130"/>
        <v>-28089671329</v>
      </c>
      <c r="AG674" s="78" t="str">
        <f>VLOOKUP(Indicador!E734,[1]Diccionario!C$1:AC$150,27,0)</f>
        <v>https://growdatasas.sharepoint.com/:x:/r/sites/Gestiondocumental/Administrativa/GD/Financiera/_layouts/15/Doc.aspx?sourcedoc=%7B65B8247F-DA01-4A6A-8421-57629CEF7367%7D&amp;file=MODELO%20FINANCIERO%20ANH%20FISCALIZACION%2023.09.25%20V1.xlsm&amp;action=default&amp;mobileredirect=true</v>
      </c>
      <c r="AH674" s="78">
        <v>1</v>
      </c>
      <c r="AI674" s="78">
        <v>1</v>
      </c>
      <c r="AJ674" s="78"/>
      <c r="AK674" s="78" t="s">
        <v>319</v>
      </c>
    </row>
    <row r="675" spans="1:37" ht="18.75" customHeight="1" x14ac:dyDescent="0.25">
      <c r="A675" s="64">
        <v>2029</v>
      </c>
      <c r="B675" s="65" t="s">
        <v>52</v>
      </c>
      <c r="C675" s="66" t="s">
        <v>373</v>
      </c>
      <c r="D675" s="67">
        <v>45971.819201238424</v>
      </c>
      <c r="E675" s="66" t="s">
        <v>374</v>
      </c>
      <c r="F675" s="66" t="s">
        <v>364</v>
      </c>
      <c r="G675" s="66" t="s">
        <v>375</v>
      </c>
      <c r="H675" s="66" t="s">
        <v>376</v>
      </c>
      <c r="I675" s="66" t="s">
        <v>63</v>
      </c>
      <c r="J675" s="66" t="s">
        <v>377</v>
      </c>
      <c r="K675" s="66" t="s">
        <v>45</v>
      </c>
      <c r="L675" s="68">
        <f>VLOOKUP(E675,[1]Diccionario!C$2:AC$150,22,0)</f>
        <v>28089671329</v>
      </c>
      <c r="M675" s="69">
        <f>VLOOKUP(E675,[1]Diccionario!C$2:AC$150,24,0)</f>
        <v>45962</v>
      </c>
      <c r="N675" s="70">
        <f>VLOOKUP(E675,[1]Diccionario!C$2:AC$150,25,0)</f>
        <v>47787</v>
      </c>
      <c r="O675" s="71">
        <f>VLOOKUP(E675,[1]Diccionario!C$2:AC$150,26,0)</f>
        <v>60</v>
      </c>
      <c r="P675" s="71">
        <f t="shared" ca="1" si="120"/>
        <v>-55</v>
      </c>
      <c r="Q675" s="71">
        <f t="shared" ca="1" si="119"/>
        <v>5</v>
      </c>
      <c r="R675" s="66">
        <v>60</v>
      </c>
      <c r="S675" s="72">
        <v>0.69999999999999796</v>
      </c>
      <c r="T675" s="72"/>
      <c r="U675" s="73">
        <f>U674+TablaIndicador[[#This Row],[Costo Mensual]]</f>
        <v>12661042000</v>
      </c>
      <c r="V675" s="73"/>
      <c r="W675" s="73">
        <f t="shared" si="121"/>
        <v>0</v>
      </c>
      <c r="X675" s="73">
        <f t="shared" si="122"/>
        <v>19662769930.299942</v>
      </c>
      <c r="Y675" s="73">
        <f t="shared" si="123"/>
        <v>-12661042000</v>
      </c>
      <c r="Z675" s="73">
        <f t="shared" si="124"/>
        <v>-19662769930.299942</v>
      </c>
      <c r="AA675" s="75">
        <f t="shared" si="125"/>
        <v>0</v>
      </c>
      <c r="AB675" s="76" t="str">
        <f t="shared" si="126"/>
        <v>No calculado</v>
      </c>
      <c r="AC675" s="76">
        <f t="shared" si="127"/>
        <v>0</v>
      </c>
      <c r="AD675" s="76" t="str">
        <f t="shared" si="128"/>
        <v>Sin Línea Base</v>
      </c>
      <c r="AE675" s="77">
        <f t="shared" si="129"/>
        <v>0</v>
      </c>
      <c r="AF675" s="77">
        <f t="shared" si="130"/>
        <v>-28089671329</v>
      </c>
      <c r="AG675" s="78" t="str">
        <f>VLOOKUP(Indicador!E735,[1]Diccionario!C$1:AC$150,27,0)</f>
        <v>https://growdatasas.sharepoint.com/:x:/r/sites/Gestiondocumental/Administrativa/GD/Financiera/_layouts/15/Doc.aspx?sourcedoc=%7B65B8247F-DA01-4A6A-8421-57629CEF7367%7D&amp;file=MODELO%20FINANCIERO%20ANH%20FISCALIZACION%2023.09.25%20V1.xlsm&amp;action=default&amp;mobileredirect=true</v>
      </c>
      <c r="AH675" s="78">
        <v>1</v>
      </c>
      <c r="AI675" s="78">
        <v>1</v>
      </c>
      <c r="AJ675" s="78"/>
      <c r="AK675" s="78" t="s">
        <v>319</v>
      </c>
    </row>
    <row r="676" spans="1:37" ht="18.75" customHeight="1" x14ac:dyDescent="0.25">
      <c r="A676" s="64">
        <v>2029</v>
      </c>
      <c r="B676" s="65" t="s">
        <v>53</v>
      </c>
      <c r="C676" s="66" t="s">
        <v>373</v>
      </c>
      <c r="D676" s="67">
        <v>45971.819201238424</v>
      </c>
      <c r="E676" s="66" t="s">
        <v>374</v>
      </c>
      <c r="F676" s="66" t="s">
        <v>364</v>
      </c>
      <c r="G676" s="66" t="s">
        <v>375</v>
      </c>
      <c r="H676" s="66" t="s">
        <v>376</v>
      </c>
      <c r="I676" s="66" t="s">
        <v>63</v>
      </c>
      <c r="J676" s="66" t="s">
        <v>377</v>
      </c>
      <c r="K676" s="66" t="s">
        <v>45</v>
      </c>
      <c r="L676" s="68">
        <f>VLOOKUP(E676,[1]Diccionario!C$2:AC$150,22,0)</f>
        <v>28089671329</v>
      </c>
      <c r="M676" s="69">
        <f>VLOOKUP(E676,[1]Diccionario!C$2:AC$150,24,0)</f>
        <v>45962</v>
      </c>
      <c r="N676" s="70">
        <f>VLOOKUP(E676,[1]Diccionario!C$2:AC$150,25,0)</f>
        <v>47787</v>
      </c>
      <c r="O676" s="71">
        <f>VLOOKUP(E676,[1]Diccionario!C$2:AC$150,26,0)</f>
        <v>60</v>
      </c>
      <c r="P676" s="71">
        <f t="shared" ca="1" si="120"/>
        <v>-55</v>
      </c>
      <c r="Q676" s="71">
        <f t="shared" ca="1" si="119"/>
        <v>5</v>
      </c>
      <c r="R676" s="66">
        <v>60</v>
      </c>
      <c r="S676" s="72">
        <v>0.70999999999999797</v>
      </c>
      <c r="T676" s="72"/>
      <c r="U676" s="73">
        <f>U675+TablaIndicador[[#This Row],[Costo Mensual]]</f>
        <v>12661042000</v>
      </c>
      <c r="V676" s="73"/>
      <c r="W676" s="73">
        <f t="shared" si="121"/>
        <v>0</v>
      </c>
      <c r="X676" s="73">
        <f t="shared" si="122"/>
        <v>19943666643.589943</v>
      </c>
      <c r="Y676" s="73">
        <f t="shared" si="123"/>
        <v>-12661042000</v>
      </c>
      <c r="Z676" s="73">
        <f t="shared" si="124"/>
        <v>-19943666643.589943</v>
      </c>
      <c r="AA676" s="75">
        <f t="shared" si="125"/>
        <v>0</v>
      </c>
      <c r="AB676" s="76" t="str">
        <f t="shared" si="126"/>
        <v>No calculado</v>
      </c>
      <c r="AC676" s="76">
        <f t="shared" si="127"/>
        <v>0</v>
      </c>
      <c r="AD676" s="76" t="str">
        <f t="shared" si="128"/>
        <v>Sin Línea Base</v>
      </c>
      <c r="AE676" s="77">
        <f t="shared" si="129"/>
        <v>0</v>
      </c>
      <c r="AF676" s="77">
        <f t="shared" si="130"/>
        <v>-28089671329</v>
      </c>
      <c r="AG676" s="78">
        <f>VLOOKUP(Indicador!E736,[1]Diccionario!C$1:AC$150,27,0)</f>
        <v>0</v>
      </c>
      <c r="AH676" s="78">
        <v>1</v>
      </c>
      <c r="AI676" s="78">
        <v>1</v>
      </c>
      <c r="AJ676" s="78"/>
      <c r="AK676" s="78" t="s">
        <v>319</v>
      </c>
    </row>
    <row r="677" spans="1:37" ht="18.75" customHeight="1" x14ac:dyDescent="0.25">
      <c r="A677" s="64">
        <v>2029</v>
      </c>
      <c r="B677" s="65" t="s">
        <v>54</v>
      </c>
      <c r="C677" s="66" t="s">
        <v>373</v>
      </c>
      <c r="D677" s="67">
        <v>45971.819201238424</v>
      </c>
      <c r="E677" s="66" t="s">
        <v>374</v>
      </c>
      <c r="F677" s="66" t="s">
        <v>364</v>
      </c>
      <c r="G677" s="66" t="s">
        <v>375</v>
      </c>
      <c r="H677" s="66" t="s">
        <v>376</v>
      </c>
      <c r="I677" s="66" t="s">
        <v>63</v>
      </c>
      <c r="J677" s="66" t="s">
        <v>377</v>
      </c>
      <c r="K677" s="66" t="s">
        <v>45</v>
      </c>
      <c r="L677" s="68">
        <f>VLOOKUP(E677,[1]Diccionario!C$2:AC$150,22,0)</f>
        <v>28089671329</v>
      </c>
      <c r="M677" s="69">
        <f>VLOOKUP(E677,[1]Diccionario!C$2:AC$150,24,0)</f>
        <v>45962</v>
      </c>
      <c r="N677" s="70">
        <f>VLOOKUP(E677,[1]Diccionario!C$2:AC$150,25,0)</f>
        <v>47787</v>
      </c>
      <c r="O677" s="71">
        <f>VLOOKUP(E677,[1]Diccionario!C$2:AC$150,26,0)</f>
        <v>60</v>
      </c>
      <c r="P677" s="71">
        <f t="shared" ca="1" si="120"/>
        <v>-55</v>
      </c>
      <c r="Q677" s="71">
        <f t="shared" ca="1" si="119"/>
        <v>5</v>
      </c>
      <c r="R677" s="66">
        <v>60</v>
      </c>
      <c r="S677" s="72">
        <v>0.71999999999999797</v>
      </c>
      <c r="T677" s="72"/>
      <c r="U677" s="73">
        <f>U676+TablaIndicador[[#This Row],[Costo Mensual]]</f>
        <v>12661042000</v>
      </c>
      <c r="V677" s="73"/>
      <c r="W677" s="73">
        <f t="shared" si="121"/>
        <v>0</v>
      </c>
      <c r="X677" s="73">
        <f t="shared" si="122"/>
        <v>20224563356.879944</v>
      </c>
      <c r="Y677" s="73">
        <f t="shared" si="123"/>
        <v>-12661042000</v>
      </c>
      <c r="Z677" s="73">
        <f t="shared" si="124"/>
        <v>-20224563356.879944</v>
      </c>
      <c r="AA677" s="75">
        <f t="shared" si="125"/>
        <v>0</v>
      </c>
      <c r="AB677" s="76" t="str">
        <f t="shared" si="126"/>
        <v>No calculado</v>
      </c>
      <c r="AC677" s="76">
        <f t="shared" si="127"/>
        <v>0</v>
      </c>
      <c r="AD677" s="76" t="str">
        <f t="shared" si="128"/>
        <v>Sin Línea Base</v>
      </c>
      <c r="AE677" s="77">
        <f t="shared" si="129"/>
        <v>0</v>
      </c>
      <c r="AF677" s="77">
        <f t="shared" si="130"/>
        <v>-28089671329</v>
      </c>
      <c r="AG677" s="78">
        <f>VLOOKUP(Indicador!E737,[1]Diccionario!C$1:AC$150,27,0)</f>
        <v>0</v>
      </c>
      <c r="AH677" s="78">
        <v>1</v>
      </c>
      <c r="AI677" s="78">
        <v>1</v>
      </c>
      <c r="AJ677" s="78"/>
      <c r="AK677" s="78" t="s">
        <v>319</v>
      </c>
    </row>
    <row r="678" spans="1:37" ht="18.75" customHeight="1" x14ac:dyDescent="0.25">
      <c r="A678" s="64">
        <v>2029</v>
      </c>
      <c r="B678" s="65" t="s">
        <v>55</v>
      </c>
      <c r="C678" s="66" t="s">
        <v>373</v>
      </c>
      <c r="D678" s="67">
        <v>45971.819201238424</v>
      </c>
      <c r="E678" s="66" t="s">
        <v>374</v>
      </c>
      <c r="F678" s="66" t="s">
        <v>364</v>
      </c>
      <c r="G678" s="66" t="s">
        <v>375</v>
      </c>
      <c r="H678" s="66" t="s">
        <v>376</v>
      </c>
      <c r="I678" s="66" t="s">
        <v>63</v>
      </c>
      <c r="J678" s="66" t="s">
        <v>377</v>
      </c>
      <c r="K678" s="66" t="s">
        <v>45</v>
      </c>
      <c r="L678" s="68">
        <f>VLOOKUP(E678,[1]Diccionario!C$2:AC$150,22,0)</f>
        <v>28089671329</v>
      </c>
      <c r="M678" s="69">
        <f>VLOOKUP(E678,[1]Diccionario!C$2:AC$150,24,0)</f>
        <v>45962</v>
      </c>
      <c r="N678" s="70">
        <f>VLOOKUP(E678,[1]Diccionario!C$2:AC$150,25,0)</f>
        <v>47787</v>
      </c>
      <c r="O678" s="71">
        <f>VLOOKUP(E678,[1]Diccionario!C$2:AC$150,26,0)</f>
        <v>60</v>
      </c>
      <c r="P678" s="71">
        <f t="shared" ca="1" si="120"/>
        <v>-55</v>
      </c>
      <c r="Q678" s="71">
        <f t="shared" ca="1" si="119"/>
        <v>5</v>
      </c>
      <c r="R678" s="66">
        <v>60</v>
      </c>
      <c r="S678" s="72">
        <v>0.85</v>
      </c>
      <c r="T678" s="72"/>
      <c r="U678" s="73">
        <f>U677+TablaIndicador[[#This Row],[Costo Mensual]]</f>
        <v>12661042000</v>
      </c>
      <c r="V678" s="73"/>
      <c r="W678" s="73">
        <f t="shared" si="121"/>
        <v>0</v>
      </c>
      <c r="X678" s="73">
        <f t="shared" si="122"/>
        <v>23876220629.649998</v>
      </c>
      <c r="Y678" s="73">
        <f t="shared" si="123"/>
        <v>-12661042000</v>
      </c>
      <c r="Z678" s="73">
        <f t="shared" si="124"/>
        <v>-23876220629.649998</v>
      </c>
      <c r="AA678" s="75">
        <f t="shared" si="125"/>
        <v>0</v>
      </c>
      <c r="AB678" s="76" t="str">
        <f t="shared" si="126"/>
        <v>No calculado</v>
      </c>
      <c r="AC678" s="76">
        <f t="shared" si="127"/>
        <v>0</v>
      </c>
      <c r="AD678" s="76" t="str">
        <f t="shared" si="128"/>
        <v>Sin Línea Base</v>
      </c>
      <c r="AE678" s="77">
        <f t="shared" si="129"/>
        <v>0</v>
      </c>
      <c r="AF678" s="77">
        <f t="shared" si="130"/>
        <v>-28089671329</v>
      </c>
      <c r="AG678" s="78">
        <f>VLOOKUP(Indicador!E738,[1]Diccionario!C$1:AC$150,27,0)</f>
        <v>0</v>
      </c>
      <c r="AH678" s="78">
        <v>1</v>
      </c>
      <c r="AI678" s="78">
        <v>1</v>
      </c>
      <c r="AJ678" s="78"/>
      <c r="AK678" s="78" t="s">
        <v>319</v>
      </c>
    </row>
    <row r="679" spans="1:37" ht="18.75" customHeight="1" x14ac:dyDescent="0.25">
      <c r="A679" s="64">
        <v>2029</v>
      </c>
      <c r="B679" s="65" t="s">
        <v>56</v>
      </c>
      <c r="C679" s="66" t="s">
        <v>373</v>
      </c>
      <c r="D679" s="67">
        <v>45971.819201238424</v>
      </c>
      <c r="E679" s="66" t="s">
        <v>374</v>
      </c>
      <c r="F679" s="66" t="s">
        <v>364</v>
      </c>
      <c r="G679" s="66" t="s">
        <v>375</v>
      </c>
      <c r="H679" s="66" t="s">
        <v>376</v>
      </c>
      <c r="I679" s="66" t="s">
        <v>63</v>
      </c>
      <c r="J679" s="66" t="s">
        <v>377</v>
      </c>
      <c r="K679" s="66" t="s">
        <v>45</v>
      </c>
      <c r="L679" s="68">
        <f>VLOOKUP(E679,[1]Diccionario!C$2:AC$150,22,0)</f>
        <v>28089671329</v>
      </c>
      <c r="M679" s="69">
        <f>VLOOKUP(E679,[1]Diccionario!C$2:AC$150,24,0)</f>
        <v>45962</v>
      </c>
      <c r="N679" s="70">
        <f>VLOOKUP(E679,[1]Diccionario!C$2:AC$150,25,0)</f>
        <v>47787</v>
      </c>
      <c r="O679" s="71">
        <f>VLOOKUP(E679,[1]Diccionario!C$2:AC$150,26,0)</f>
        <v>60</v>
      </c>
      <c r="P679" s="71">
        <f t="shared" ca="1" si="120"/>
        <v>-55</v>
      </c>
      <c r="Q679" s="71">
        <f t="shared" ca="1" si="119"/>
        <v>5</v>
      </c>
      <c r="R679" s="66">
        <v>60</v>
      </c>
      <c r="S679" s="72">
        <v>0.86</v>
      </c>
      <c r="T679" s="72"/>
      <c r="U679" s="73">
        <f>U678+TablaIndicador[[#This Row],[Costo Mensual]]</f>
        <v>12661042000</v>
      </c>
      <c r="V679" s="73"/>
      <c r="W679" s="73">
        <f t="shared" si="121"/>
        <v>0</v>
      </c>
      <c r="X679" s="73">
        <f t="shared" si="122"/>
        <v>24157117342.939999</v>
      </c>
      <c r="Y679" s="73">
        <f t="shared" si="123"/>
        <v>-12661042000</v>
      </c>
      <c r="Z679" s="73">
        <f t="shared" si="124"/>
        <v>-24157117342.939999</v>
      </c>
      <c r="AA679" s="75">
        <f t="shared" si="125"/>
        <v>0</v>
      </c>
      <c r="AB679" s="76" t="str">
        <f t="shared" si="126"/>
        <v>No calculado</v>
      </c>
      <c r="AC679" s="76">
        <f t="shared" si="127"/>
        <v>0</v>
      </c>
      <c r="AD679" s="76" t="str">
        <f t="shared" si="128"/>
        <v>Sin Línea Base</v>
      </c>
      <c r="AE679" s="77">
        <f t="shared" si="129"/>
        <v>0</v>
      </c>
      <c r="AF679" s="77">
        <f t="shared" si="130"/>
        <v>-28089671329</v>
      </c>
      <c r="AG679" s="78">
        <f>VLOOKUP(Indicador!E739,[1]Diccionario!C$1:AC$150,27,0)</f>
        <v>0</v>
      </c>
      <c r="AH679" s="78">
        <v>1</v>
      </c>
      <c r="AI679" s="78">
        <v>1</v>
      </c>
      <c r="AJ679" s="78"/>
      <c r="AK679" s="78" t="s">
        <v>319</v>
      </c>
    </row>
    <row r="680" spans="1:37" ht="18.75" customHeight="1" x14ac:dyDescent="0.25">
      <c r="A680" s="64">
        <v>2029</v>
      </c>
      <c r="B680" s="65" t="s">
        <v>57</v>
      </c>
      <c r="C680" s="66" t="s">
        <v>373</v>
      </c>
      <c r="D680" s="67">
        <v>45971.819201238424</v>
      </c>
      <c r="E680" s="66" t="s">
        <v>374</v>
      </c>
      <c r="F680" s="66" t="s">
        <v>364</v>
      </c>
      <c r="G680" s="66" t="s">
        <v>375</v>
      </c>
      <c r="H680" s="66" t="s">
        <v>376</v>
      </c>
      <c r="I680" s="66" t="s">
        <v>63</v>
      </c>
      <c r="J680" s="66" t="s">
        <v>377</v>
      </c>
      <c r="K680" s="66" t="s">
        <v>45</v>
      </c>
      <c r="L680" s="68">
        <f>VLOOKUP(E680,[1]Diccionario!C$2:AC$150,22,0)</f>
        <v>28089671329</v>
      </c>
      <c r="M680" s="69">
        <f>VLOOKUP(E680,[1]Diccionario!C$2:AC$150,24,0)</f>
        <v>45962</v>
      </c>
      <c r="N680" s="70">
        <f>VLOOKUP(E680,[1]Diccionario!C$2:AC$150,25,0)</f>
        <v>47787</v>
      </c>
      <c r="O680" s="71">
        <f>VLOOKUP(E680,[1]Diccionario!C$2:AC$150,26,0)</f>
        <v>60</v>
      </c>
      <c r="P680" s="71">
        <f t="shared" ca="1" si="120"/>
        <v>-55</v>
      </c>
      <c r="Q680" s="71">
        <f t="shared" ca="1" si="119"/>
        <v>5</v>
      </c>
      <c r="R680" s="66">
        <v>60</v>
      </c>
      <c r="S680" s="72">
        <v>0.87</v>
      </c>
      <c r="T680" s="72"/>
      <c r="U680" s="73">
        <f>U679+TablaIndicador[[#This Row],[Costo Mensual]]</f>
        <v>12661042000</v>
      </c>
      <c r="V680" s="73"/>
      <c r="W680" s="73">
        <f t="shared" si="121"/>
        <v>0</v>
      </c>
      <c r="X680" s="73">
        <f t="shared" si="122"/>
        <v>24438014056.23</v>
      </c>
      <c r="Y680" s="73">
        <f t="shared" si="123"/>
        <v>-12661042000</v>
      </c>
      <c r="Z680" s="73">
        <f t="shared" si="124"/>
        <v>-24438014056.23</v>
      </c>
      <c r="AA680" s="75">
        <f t="shared" si="125"/>
        <v>0</v>
      </c>
      <c r="AB680" s="76" t="str">
        <f t="shared" si="126"/>
        <v>No calculado</v>
      </c>
      <c r="AC680" s="76">
        <f t="shared" si="127"/>
        <v>0</v>
      </c>
      <c r="AD680" s="76" t="str">
        <f t="shared" si="128"/>
        <v>Sin Línea Base</v>
      </c>
      <c r="AE680" s="77">
        <f t="shared" si="129"/>
        <v>0</v>
      </c>
      <c r="AF680" s="77">
        <f t="shared" si="130"/>
        <v>-28089671329</v>
      </c>
      <c r="AG680" s="78">
        <f>VLOOKUP(Indicador!E740,[1]Diccionario!C$1:AC$150,27,0)</f>
        <v>0</v>
      </c>
      <c r="AH680" s="78">
        <v>1</v>
      </c>
      <c r="AI680" s="78">
        <v>1</v>
      </c>
      <c r="AJ680" s="78"/>
      <c r="AK680" s="78" t="s">
        <v>319</v>
      </c>
    </row>
    <row r="681" spans="1:37" ht="18.75" customHeight="1" x14ac:dyDescent="0.25">
      <c r="A681" s="64">
        <v>2030</v>
      </c>
      <c r="B681" s="65" t="s">
        <v>37</v>
      </c>
      <c r="C681" s="66" t="s">
        <v>373</v>
      </c>
      <c r="D681" s="67">
        <v>45971.819201238424</v>
      </c>
      <c r="E681" s="66" t="s">
        <v>374</v>
      </c>
      <c r="F681" s="66" t="s">
        <v>364</v>
      </c>
      <c r="G681" s="66" t="s">
        <v>375</v>
      </c>
      <c r="H681" s="66" t="s">
        <v>376</v>
      </c>
      <c r="I681" s="66" t="s">
        <v>63</v>
      </c>
      <c r="J681" s="66" t="s">
        <v>377</v>
      </c>
      <c r="K681" s="66" t="s">
        <v>45</v>
      </c>
      <c r="L681" s="68">
        <f>VLOOKUP(E681,[1]Diccionario!C$2:AC$150,22,0)</f>
        <v>28089671329</v>
      </c>
      <c r="M681" s="69">
        <f>VLOOKUP(E681,[1]Diccionario!C$2:AC$150,24,0)</f>
        <v>45962</v>
      </c>
      <c r="N681" s="70">
        <f>VLOOKUP(E681,[1]Diccionario!C$2:AC$150,25,0)</f>
        <v>47787</v>
      </c>
      <c r="O681" s="71">
        <f>VLOOKUP(E681,[1]Diccionario!C$2:AC$150,26,0)</f>
        <v>60</v>
      </c>
      <c r="P681" s="71">
        <f t="shared" ca="1" si="120"/>
        <v>-55</v>
      </c>
      <c r="Q681" s="71">
        <f t="shared" ca="1" si="119"/>
        <v>5</v>
      </c>
      <c r="R681" s="66">
        <v>60</v>
      </c>
      <c r="S681" s="72">
        <v>0.88</v>
      </c>
      <c r="T681" s="72"/>
      <c r="U681" s="73">
        <f>U680+TablaIndicador[[#This Row],[Costo Mensual]]</f>
        <v>12661042000</v>
      </c>
      <c r="V681" s="73"/>
      <c r="W681" s="73">
        <f t="shared" si="121"/>
        <v>0</v>
      </c>
      <c r="X681" s="73">
        <f t="shared" si="122"/>
        <v>24718910769.52</v>
      </c>
      <c r="Y681" s="73">
        <f t="shared" si="123"/>
        <v>-12661042000</v>
      </c>
      <c r="Z681" s="73">
        <f t="shared" si="124"/>
        <v>-24718910769.52</v>
      </c>
      <c r="AA681" s="75">
        <f t="shared" si="125"/>
        <v>0</v>
      </c>
      <c r="AB681" s="76" t="str">
        <f t="shared" si="126"/>
        <v>No calculado</v>
      </c>
      <c r="AC681" s="76">
        <f t="shared" si="127"/>
        <v>0</v>
      </c>
      <c r="AD681" s="76" t="str">
        <f t="shared" si="128"/>
        <v>Sin Línea Base</v>
      </c>
      <c r="AE681" s="77">
        <f t="shared" si="129"/>
        <v>0</v>
      </c>
      <c r="AF681" s="77">
        <f t="shared" si="130"/>
        <v>-28089671329</v>
      </c>
      <c r="AG681" s="78">
        <f>VLOOKUP(Indicador!E741,[1]Diccionario!C$1:AC$150,27,0)</f>
        <v>0</v>
      </c>
      <c r="AH681" s="78">
        <v>1</v>
      </c>
      <c r="AI681" s="78">
        <v>1</v>
      </c>
      <c r="AJ681" s="78"/>
      <c r="AK681" s="78" t="s">
        <v>319</v>
      </c>
    </row>
    <row r="682" spans="1:37" ht="18.75" customHeight="1" x14ac:dyDescent="0.25">
      <c r="A682" s="64">
        <v>2030</v>
      </c>
      <c r="B682" s="65" t="s">
        <v>47</v>
      </c>
      <c r="C682" s="66" t="s">
        <v>373</v>
      </c>
      <c r="D682" s="67">
        <v>45971.819201238424</v>
      </c>
      <c r="E682" s="66" t="s">
        <v>374</v>
      </c>
      <c r="F682" s="66" t="s">
        <v>364</v>
      </c>
      <c r="G682" s="66" t="s">
        <v>375</v>
      </c>
      <c r="H682" s="66" t="s">
        <v>376</v>
      </c>
      <c r="I682" s="66" t="s">
        <v>63</v>
      </c>
      <c r="J682" s="66" t="s">
        <v>377</v>
      </c>
      <c r="K682" s="66" t="s">
        <v>45</v>
      </c>
      <c r="L682" s="68">
        <f>VLOOKUP(E682,[1]Diccionario!C$2:AC$150,22,0)</f>
        <v>28089671329</v>
      </c>
      <c r="M682" s="69">
        <f>VLOOKUP(E682,[1]Diccionario!C$2:AC$150,24,0)</f>
        <v>45962</v>
      </c>
      <c r="N682" s="70">
        <f>VLOOKUP(E682,[1]Diccionario!C$2:AC$150,25,0)</f>
        <v>47787</v>
      </c>
      <c r="O682" s="71">
        <f>VLOOKUP(E682,[1]Diccionario!C$2:AC$150,26,0)</f>
        <v>60</v>
      </c>
      <c r="P682" s="71">
        <f t="shared" ca="1" si="120"/>
        <v>-55</v>
      </c>
      <c r="Q682" s="71">
        <f t="shared" ca="1" si="119"/>
        <v>5</v>
      </c>
      <c r="R682" s="66">
        <v>60</v>
      </c>
      <c r="S682" s="72">
        <v>0.89</v>
      </c>
      <c r="T682" s="72"/>
      <c r="U682" s="73">
        <f>U681+TablaIndicador[[#This Row],[Costo Mensual]]</f>
        <v>12661042000</v>
      </c>
      <c r="V682" s="73"/>
      <c r="W682" s="73">
        <f t="shared" si="121"/>
        <v>0</v>
      </c>
      <c r="X682" s="73">
        <f t="shared" si="122"/>
        <v>24999807482.810001</v>
      </c>
      <c r="Y682" s="73">
        <f t="shared" si="123"/>
        <v>-12661042000</v>
      </c>
      <c r="Z682" s="73">
        <f t="shared" si="124"/>
        <v>-24999807482.810001</v>
      </c>
      <c r="AA682" s="75">
        <f t="shared" si="125"/>
        <v>0</v>
      </c>
      <c r="AB682" s="76" t="str">
        <f t="shared" si="126"/>
        <v>No calculado</v>
      </c>
      <c r="AC682" s="76">
        <f t="shared" si="127"/>
        <v>0</v>
      </c>
      <c r="AD682" s="76" t="str">
        <f t="shared" si="128"/>
        <v>Sin Línea Base</v>
      </c>
      <c r="AE682" s="77">
        <f t="shared" si="129"/>
        <v>0</v>
      </c>
      <c r="AF682" s="77">
        <f t="shared" si="130"/>
        <v>-28089671329</v>
      </c>
      <c r="AG682" s="78">
        <f>VLOOKUP(Indicador!E742,[1]Diccionario!C$1:AC$150,27,0)</f>
        <v>0</v>
      </c>
      <c r="AH682" s="78">
        <v>1</v>
      </c>
      <c r="AI682" s="78">
        <v>1</v>
      </c>
      <c r="AJ682" s="78"/>
      <c r="AK682" s="78" t="s">
        <v>319</v>
      </c>
    </row>
    <row r="683" spans="1:37" ht="18.75" customHeight="1" x14ac:dyDescent="0.25">
      <c r="A683" s="64">
        <v>2030</v>
      </c>
      <c r="B683" s="65" t="s">
        <v>48</v>
      </c>
      <c r="C683" s="66" t="s">
        <v>373</v>
      </c>
      <c r="D683" s="67">
        <v>45971.819201238424</v>
      </c>
      <c r="E683" s="66" t="s">
        <v>374</v>
      </c>
      <c r="F683" s="66" t="s">
        <v>364</v>
      </c>
      <c r="G683" s="66" t="s">
        <v>375</v>
      </c>
      <c r="H683" s="66" t="s">
        <v>376</v>
      </c>
      <c r="I683" s="66" t="s">
        <v>63</v>
      </c>
      <c r="J683" s="66" t="s">
        <v>377</v>
      </c>
      <c r="K683" s="66" t="s">
        <v>45</v>
      </c>
      <c r="L683" s="68">
        <f>VLOOKUP(E683,[1]Diccionario!C$2:AC$150,22,0)</f>
        <v>28089671329</v>
      </c>
      <c r="M683" s="69">
        <f>VLOOKUP(E683,[1]Diccionario!C$2:AC$150,24,0)</f>
        <v>45962</v>
      </c>
      <c r="N683" s="70">
        <f>VLOOKUP(E683,[1]Diccionario!C$2:AC$150,25,0)</f>
        <v>47787</v>
      </c>
      <c r="O683" s="71">
        <f>VLOOKUP(E683,[1]Diccionario!C$2:AC$150,26,0)</f>
        <v>60</v>
      </c>
      <c r="P683" s="71">
        <f t="shared" ca="1" si="120"/>
        <v>-55</v>
      </c>
      <c r="Q683" s="71">
        <f t="shared" ca="1" si="119"/>
        <v>5</v>
      </c>
      <c r="R683" s="66">
        <v>60</v>
      </c>
      <c r="S683" s="72">
        <v>0.9</v>
      </c>
      <c r="T683" s="72"/>
      <c r="U683" s="73">
        <f>U682+TablaIndicador[[#This Row],[Costo Mensual]]</f>
        <v>12661042000</v>
      </c>
      <c r="V683" s="73"/>
      <c r="W683" s="73">
        <f t="shared" si="121"/>
        <v>0</v>
      </c>
      <c r="X683" s="73">
        <f t="shared" si="122"/>
        <v>25280704196.100002</v>
      </c>
      <c r="Y683" s="73">
        <f t="shared" si="123"/>
        <v>-12661042000</v>
      </c>
      <c r="Z683" s="73">
        <f t="shared" si="124"/>
        <v>-25280704196.100002</v>
      </c>
      <c r="AA683" s="75">
        <f t="shared" si="125"/>
        <v>0</v>
      </c>
      <c r="AB683" s="76" t="str">
        <f t="shared" si="126"/>
        <v>No calculado</v>
      </c>
      <c r="AC683" s="76">
        <f t="shared" si="127"/>
        <v>0</v>
      </c>
      <c r="AD683" s="76" t="str">
        <f t="shared" si="128"/>
        <v>Sin Línea Base</v>
      </c>
      <c r="AE683" s="77">
        <f t="shared" si="129"/>
        <v>0</v>
      </c>
      <c r="AF683" s="77">
        <f t="shared" si="130"/>
        <v>-28089671329</v>
      </c>
      <c r="AG683" s="78">
        <f>VLOOKUP(Indicador!E743,[1]Diccionario!C$1:AC$150,27,0)</f>
        <v>0</v>
      </c>
      <c r="AH683" s="78">
        <v>1</v>
      </c>
      <c r="AI683" s="78">
        <v>1</v>
      </c>
      <c r="AJ683" s="78"/>
      <c r="AK683" s="78" t="s">
        <v>319</v>
      </c>
    </row>
    <row r="684" spans="1:37" ht="18.75" customHeight="1" x14ac:dyDescent="0.25">
      <c r="A684" s="64">
        <v>2030</v>
      </c>
      <c r="B684" s="65" t="s">
        <v>49</v>
      </c>
      <c r="C684" s="66" t="s">
        <v>373</v>
      </c>
      <c r="D684" s="67">
        <v>45971.819201238424</v>
      </c>
      <c r="E684" s="66" t="s">
        <v>374</v>
      </c>
      <c r="F684" s="66" t="s">
        <v>364</v>
      </c>
      <c r="G684" s="66" t="s">
        <v>375</v>
      </c>
      <c r="H684" s="66" t="s">
        <v>376</v>
      </c>
      <c r="I684" s="66" t="s">
        <v>63</v>
      </c>
      <c r="J684" s="66" t="s">
        <v>377</v>
      </c>
      <c r="K684" s="66" t="s">
        <v>45</v>
      </c>
      <c r="L684" s="68">
        <f>VLOOKUP(E684,[1]Diccionario!C$2:AC$150,22,0)</f>
        <v>28089671329</v>
      </c>
      <c r="M684" s="69">
        <f>VLOOKUP(E684,[1]Diccionario!C$2:AC$150,24,0)</f>
        <v>45962</v>
      </c>
      <c r="N684" s="70">
        <f>VLOOKUP(E684,[1]Diccionario!C$2:AC$150,25,0)</f>
        <v>47787</v>
      </c>
      <c r="O684" s="71">
        <f>VLOOKUP(E684,[1]Diccionario!C$2:AC$150,26,0)</f>
        <v>60</v>
      </c>
      <c r="P684" s="71">
        <f t="shared" ca="1" si="120"/>
        <v>-55</v>
      </c>
      <c r="Q684" s="71">
        <f t="shared" ca="1" si="119"/>
        <v>5</v>
      </c>
      <c r="R684" s="66">
        <v>60</v>
      </c>
      <c r="S684" s="72">
        <v>0.91</v>
      </c>
      <c r="T684" s="72"/>
      <c r="U684" s="73">
        <f>U683+TablaIndicador[[#This Row],[Costo Mensual]]</f>
        <v>12661042000</v>
      </c>
      <c r="V684" s="73"/>
      <c r="W684" s="73">
        <f t="shared" si="121"/>
        <v>0</v>
      </c>
      <c r="X684" s="73">
        <f t="shared" si="122"/>
        <v>25561600909.389999</v>
      </c>
      <c r="Y684" s="73">
        <f t="shared" si="123"/>
        <v>-12661042000</v>
      </c>
      <c r="Z684" s="73">
        <f t="shared" si="124"/>
        <v>-25561600909.389999</v>
      </c>
      <c r="AA684" s="75">
        <f t="shared" si="125"/>
        <v>0</v>
      </c>
      <c r="AB684" s="76" t="str">
        <f t="shared" si="126"/>
        <v>No calculado</v>
      </c>
      <c r="AC684" s="76">
        <f t="shared" si="127"/>
        <v>0</v>
      </c>
      <c r="AD684" s="76" t="str">
        <f t="shared" si="128"/>
        <v>Sin Línea Base</v>
      </c>
      <c r="AE684" s="77">
        <f t="shared" si="129"/>
        <v>0</v>
      </c>
      <c r="AF684" s="77">
        <f t="shared" si="130"/>
        <v>-28089671329</v>
      </c>
      <c r="AG684" s="78">
        <f>VLOOKUP(Indicador!E744,[1]Diccionario!C$1:AC$150,27,0)</f>
        <v>0</v>
      </c>
      <c r="AH684" s="78">
        <v>1</v>
      </c>
      <c r="AI684" s="78">
        <v>1</v>
      </c>
      <c r="AJ684" s="78"/>
      <c r="AK684" s="78" t="s">
        <v>319</v>
      </c>
    </row>
    <row r="685" spans="1:37" ht="18.75" customHeight="1" x14ac:dyDescent="0.25">
      <c r="A685" s="64">
        <v>2030</v>
      </c>
      <c r="B685" s="65" t="s">
        <v>50</v>
      </c>
      <c r="C685" s="66" t="s">
        <v>373</v>
      </c>
      <c r="D685" s="67">
        <v>45971.819201238424</v>
      </c>
      <c r="E685" s="66" t="s">
        <v>374</v>
      </c>
      <c r="F685" s="66" t="s">
        <v>364</v>
      </c>
      <c r="G685" s="66" t="s">
        <v>375</v>
      </c>
      <c r="H685" s="66" t="s">
        <v>376</v>
      </c>
      <c r="I685" s="66" t="s">
        <v>63</v>
      </c>
      <c r="J685" s="66" t="s">
        <v>377</v>
      </c>
      <c r="K685" s="66" t="s">
        <v>45</v>
      </c>
      <c r="L685" s="68">
        <f>VLOOKUP(E685,[1]Diccionario!C$2:AC$150,22,0)</f>
        <v>28089671329</v>
      </c>
      <c r="M685" s="69">
        <f>VLOOKUP(E685,[1]Diccionario!C$2:AC$150,24,0)</f>
        <v>45962</v>
      </c>
      <c r="N685" s="70">
        <f>VLOOKUP(E685,[1]Diccionario!C$2:AC$150,25,0)</f>
        <v>47787</v>
      </c>
      <c r="O685" s="71">
        <f>VLOOKUP(E685,[1]Diccionario!C$2:AC$150,26,0)</f>
        <v>60</v>
      </c>
      <c r="P685" s="71">
        <f t="shared" ca="1" si="120"/>
        <v>-55</v>
      </c>
      <c r="Q685" s="71">
        <f t="shared" ca="1" si="119"/>
        <v>5</v>
      </c>
      <c r="R685" s="66">
        <v>60</v>
      </c>
      <c r="S685" s="72">
        <v>0.92</v>
      </c>
      <c r="T685" s="72"/>
      <c r="U685" s="73">
        <f>U684+TablaIndicador[[#This Row],[Costo Mensual]]</f>
        <v>12661042000</v>
      </c>
      <c r="V685" s="73"/>
      <c r="W685" s="73">
        <f t="shared" si="121"/>
        <v>0</v>
      </c>
      <c r="X685" s="73">
        <f t="shared" si="122"/>
        <v>25842497622.68</v>
      </c>
      <c r="Y685" s="73">
        <f t="shared" si="123"/>
        <v>-12661042000</v>
      </c>
      <c r="Z685" s="73">
        <f t="shared" si="124"/>
        <v>-25842497622.68</v>
      </c>
      <c r="AA685" s="75">
        <f t="shared" si="125"/>
        <v>0</v>
      </c>
      <c r="AB685" s="76" t="str">
        <f t="shared" si="126"/>
        <v>No calculado</v>
      </c>
      <c r="AC685" s="76">
        <f t="shared" si="127"/>
        <v>0</v>
      </c>
      <c r="AD685" s="76" t="str">
        <f t="shared" si="128"/>
        <v>Sin Línea Base</v>
      </c>
      <c r="AE685" s="77">
        <f t="shared" si="129"/>
        <v>0</v>
      </c>
      <c r="AF685" s="77">
        <f t="shared" si="130"/>
        <v>-28089671329</v>
      </c>
      <c r="AG685" s="78">
        <f>VLOOKUP(Indicador!E745,[1]Diccionario!C$1:AC$150,27,0)</f>
        <v>0</v>
      </c>
      <c r="AH685" s="78">
        <v>1</v>
      </c>
      <c r="AI685" s="78">
        <v>1</v>
      </c>
      <c r="AJ685" s="78"/>
      <c r="AK685" s="78" t="s">
        <v>319</v>
      </c>
    </row>
    <row r="686" spans="1:37" ht="18.75" customHeight="1" x14ac:dyDescent="0.25">
      <c r="A686" s="64">
        <v>2030</v>
      </c>
      <c r="B686" s="65" t="s">
        <v>51</v>
      </c>
      <c r="C686" s="66" t="s">
        <v>373</v>
      </c>
      <c r="D686" s="67">
        <v>45971.819201238424</v>
      </c>
      <c r="E686" s="66" t="s">
        <v>374</v>
      </c>
      <c r="F686" s="66" t="s">
        <v>364</v>
      </c>
      <c r="G686" s="66" t="s">
        <v>375</v>
      </c>
      <c r="H686" s="66" t="s">
        <v>376</v>
      </c>
      <c r="I686" s="66" t="s">
        <v>63</v>
      </c>
      <c r="J686" s="66" t="s">
        <v>377</v>
      </c>
      <c r="K686" s="66" t="s">
        <v>45</v>
      </c>
      <c r="L686" s="68">
        <f>VLOOKUP(E686,[1]Diccionario!C$2:AC$150,22,0)</f>
        <v>28089671329</v>
      </c>
      <c r="M686" s="69">
        <f>VLOOKUP(E686,[1]Diccionario!C$2:AC$150,24,0)</f>
        <v>45962</v>
      </c>
      <c r="N686" s="70">
        <f>VLOOKUP(E686,[1]Diccionario!C$2:AC$150,25,0)</f>
        <v>47787</v>
      </c>
      <c r="O686" s="71">
        <f>VLOOKUP(E686,[1]Diccionario!C$2:AC$150,26,0)</f>
        <v>60</v>
      </c>
      <c r="P686" s="71">
        <f t="shared" ca="1" si="120"/>
        <v>-55</v>
      </c>
      <c r="Q686" s="71">
        <f t="shared" ca="1" si="119"/>
        <v>5</v>
      </c>
      <c r="R686" s="66">
        <v>60</v>
      </c>
      <c r="S686" s="72">
        <v>0.93</v>
      </c>
      <c r="T686" s="72"/>
      <c r="U686" s="73">
        <f>U685+TablaIndicador[[#This Row],[Costo Mensual]]</f>
        <v>12661042000</v>
      </c>
      <c r="V686" s="73"/>
      <c r="W686" s="73">
        <f t="shared" si="121"/>
        <v>0</v>
      </c>
      <c r="X686" s="73">
        <f t="shared" si="122"/>
        <v>26123394335.970001</v>
      </c>
      <c r="Y686" s="73">
        <f t="shared" si="123"/>
        <v>-12661042000</v>
      </c>
      <c r="Z686" s="73">
        <f t="shared" si="124"/>
        <v>-26123394335.970001</v>
      </c>
      <c r="AA686" s="75">
        <f t="shared" si="125"/>
        <v>0</v>
      </c>
      <c r="AB686" s="76" t="str">
        <f t="shared" si="126"/>
        <v>No calculado</v>
      </c>
      <c r="AC686" s="76">
        <f t="shared" si="127"/>
        <v>0</v>
      </c>
      <c r="AD686" s="76" t="str">
        <f t="shared" si="128"/>
        <v>Sin Línea Base</v>
      </c>
      <c r="AE686" s="77">
        <f t="shared" si="129"/>
        <v>0</v>
      </c>
      <c r="AF686" s="77">
        <f t="shared" si="130"/>
        <v>-28089671329</v>
      </c>
      <c r="AG686" s="78">
        <f>VLOOKUP(Indicador!E746,[1]Diccionario!C$1:AC$150,27,0)</f>
        <v>0</v>
      </c>
      <c r="AH686" s="78">
        <v>1</v>
      </c>
      <c r="AI686" s="78">
        <v>1</v>
      </c>
      <c r="AJ686" s="78"/>
      <c r="AK686" s="78" t="s">
        <v>319</v>
      </c>
    </row>
    <row r="687" spans="1:37" ht="18.75" customHeight="1" x14ac:dyDescent="0.25">
      <c r="A687" s="64">
        <v>2030</v>
      </c>
      <c r="B687" s="65" t="s">
        <v>52</v>
      </c>
      <c r="C687" s="66" t="s">
        <v>373</v>
      </c>
      <c r="D687" s="67">
        <v>45971.819201238424</v>
      </c>
      <c r="E687" s="66" t="s">
        <v>374</v>
      </c>
      <c r="F687" s="66" t="s">
        <v>364</v>
      </c>
      <c r="G687" s="66" t="s">
        <v>375</v>
      </c>
      <c r="H687" s="66" t="s">
        <v>376</v>
      </c>
      <c r="I687" s="66" t="s">
        <v>63</v>
      </c>
      <c r="J687" s="66" t="s">
        <v>377</v>
      </c>
      <c r="K687" s="66" t="s">
        <v>45</v>
      </c>
      <c r="L687" s="68">
        <f>VLOOKUP(E687,[1]Diccionario!C$2:AC$150,22,0)</f>
        <v>28089671329</v>
      </c>
      <c r="M687" s="69">
        <f>VLOOKUP(E687,[1]Diccionario!C$2:AC$150,24,0)</f>
        <v>45962</v>
      </c>
      <c r="N687" s="70">
        <f>VLOOKUP(E687,[1]Diccionario!C$2:AC$150,25,0)</f>
        <v>47787</v>
      </c>
      <c r="O687" s="71">
        <f>VLOOKUP(E687,[1]Diccionario!C$2:AC$150,26,0)</f>
        <v>60</v>
      </c>
      <c r="P687" s="71">
        <f t="shared" ca="1" si="120"/>
        <v>-55</v>
      </c>
      <c r="Q687" s="71">
        <f t="shared" ca="1" si="119"/>
        <v>5</v>
      </c>
      <c r="R687" s="66">
        <v>60</v>
      </c>
      <c r="S687" s="72">
        <v>0.94</v>
      </c>
      <c r="T687" s="72"/>
      <c r="U687" s="73">
        <f>U686+TablaIndicador[[#This Row],[Costo Mensual]]</f>
        <v>12661042000</v>
      </c>
      <c r="V687" s="73"/>
      <c r="W687" s="73">
        <f t="shared" si="121"/>
        <v>0</v>
      </c>
      <c r="X687" s="73">
        <f t="shared" si="122"/>
        <v>26404291049.259998</v>
      </c>
      <c r="Y687" s="73">
        <f t="shared" si="123"/>
        <v>-12661042000</v>
      </c>
      <c r="Z687" s="73">
        <f t="shared" si="124"/>
        <v>-26404291049.259998</v>
      </c>
      <c r="AA687" s="75">
        <f t="shared" si="125"/>
        <v>0</v>
      </c>
      <c r="AB687" s="76" t="str">
        <f t="shared" si="126"/>
        <v>No calculado</v>
      </c>
      <c r="AC687" s="76">
        <f t="shared" si="127"/>
        <v>0</v>
      </c>
      <c r="AD687" s="76" t="str">
        <f t="shared" si="128"/>
        <v>Sin Línea Base</v>
      </c>
      <c r="AE687" s="77">
        <f t="shared" si="129"/>
        <v>0</v>
      </c>
      <c r="AF687" s="77">
        <f t="shared" si="130"/>
        <v>-28089671329</v>
      </c>
      <c r="AG687" s="78">
        <f>VLOOKUP(Indicador!E747,[1]Diccionario!C$1:AC$150,27,0)</f>
        <v>0</v>
      </c>
      <c r="AH687" s="78">
        <v>1</v>
      </c>
      <c r="AI687" s="78">
        <v>1</v>
      </c>
      <c r="AJ687" s="78"/>
      <c r="AK687" s="78" t="s">
        <v>319</v>
      </c>
    </row>
    <row r="688" spans="1:37" ht="18.75" customHeight="1" x14ac:dyDescent="0.25">
      <c r="A688" s="64">
        <v>2030</v>
      </c>
      <c r="B688" s="65" t="s">
        <v>53</v>
      </c>
      <c r="C688" s="66" t="s">
        <v>373</v>
      </c>
      <c r="D688" s="67">
        <v>45971.819201238424</v>
      </c>
      <c r="E688" s="66" t="s">
        <v>374</v>
      </c>
      <c r="F688" s="66" t="s">
        <v>364</v>
      </c>
      <c r="G688" s="66" t="s">
        <v>375</v>
      </c>
      <c r="H688" s="66" t="s">
        <v>376</v>
      </c>
      <c r="I688" s="66" t="s">
        <v>63</v>
      </c>
      <c r="J688" s="66" t="s">
        <v>377</v>
      </c>
      <c r="K688" s="66" t="s">
        <v>45</v>
      </c>
      <c r="L688" s="68">
        <f>VLOOKUP(E688,[1]Diccionario!C$2:AC$150,22,0)</f>
        <v>28089671329</v>
      </c>
      <c r="M688" s="69">
        <f>VLOOKUP(E688,[1]Diccionario!C$2:AC$150,24,0)</f>
        <v>45962</v>
      </c>
      <c r="N688" s="70">
        <f>VLOOKUP(E688,[1]Diccionario!C$2:AC$150,25,0)</f>
        <v>47787</v>
      </c>
      <c r="O688" s="71">
        <f>VLOOKUP(E688,[1]Diccionario!C$2:AC$150,26,0)</f>
        <v>60</v>
      </c>
      <c r="P688" s="71">
        <f t="shared" ca="1" si="120"/>
        <v>-55</v>
      </c>
      <c r="Q688" s="71">
        <f t="shared" ca="1" si="119"/>
        <v>5</v>
      </c>
      <c r="R688" s="66">
        <v>60</v>
      </c>
      <c r="S688" s="72">
        <v>0.95</v>
      </c>
      <c r="T688" s="72"/>
      <c r="U688" s="73">
        <f>U687+TablaIndicador[[#This Row],[Costo Mensual]]</f>
        <v>12661042000</v>
      </c>
      <c r="V688" s="73"/>
      <c r="W688" s="73">
        <f t="shared" si="121"/>
        <v>0</v>
      </c>
      <c r="X688" s="73">
        <f t="shared" si="122"/>
        <v>26685187762.549999</v>
      </c>
      <c r="Y688" s="73">
        <f t="shared" si="123"/>
        <v>-12661042000</v>
      </c>
      <c r="Z688" s="73">
        <f t="shared" si="124"/>
        <v>-26685187762.549999</v>
      </c>
      <c r="AA688" s="75">
        <f t="shared" si="125"/>
        <v>0</v>
      </c>
      <c r="AB688" s="76" t="str">
        <f t="shared" si="126"/>
        <v>No calculado</v>
      </c>
      <c r="AC688" s="76">
        <f t="shared" si="127"/>
        <v>0</v>
      </c>
      <c r="AD688" s="76" t="str">
        <f t="shared" si="128"/>
        <v>Sin Línea Base</v>
      </c>
      <c r="AE688" s="77">
        <f t="shared" si="129"/>
        <v>0</v>
      </c>
      <c r="AF688" s="77">
        <f t="shared" si="130"/>
        <v>-28089671329</v>
      </c>
      <c r="AG688" s="78" t="str">
        <f>VLOOKUP(Indicador!E748,[1]Diccionario!C$1:AC$150,27,0)</f>
        <v>https://growdatasas.sharepoint.com/:x:/r/sites/Gestiondocumental/Administrativa/GD/Financiera/_layouts/15/Doc.aspx?sourcedoc=%7B0CDB7FA7-62D8-4102-9A59-9817018FB4BB%7D&amp;file=05112025%20MODELO%20FINANCIERO%20REFERENCIA_AEROCIVIL%20V7.4%20ajustada230.xlsm&amp;action=default&amp;mobileredirect=true</v>
      </c>
      <c r="AH688" s="78">
        <v>1</v>
      </c>
      <c r="AI688" s="78">
        <v>1</v>
      </c>
      <c r="AJ688" s="78"/>
      <c r="AK688" s="78" t="s">
        <v>319</v>
      </c>
    </row>
    <row r="689" spans="1:37" ht="18.75" customHeight="1" x14ac:dyDescent="0.25">
      <c r="A689" s="64">
        <v>2030</v>
      </c>
      <c r="B689" s="65" t="s">
        <v>54</v>
      </c>
      <c r="C689" s="66" t="s">
        <v>373</v>
      </c>
      <c r="D689" s="67">
        <v>45971.819201238424</v>
      </c>
      <c r="E689" s="66" t="s">
        <v>374</v>
      </c>
      <c r="F689" s="66" t="s">
        <v>364</v>
      </c>
      <c r="G689" s="66" t="s">
        <v>375</v>
      </c>
      <c r="H689" s="66" t="s">
        <v>376</v>
      </c>
      <c r="I689" s="66" t="s">
        <v>63</v>
      </c>
      <c r="J689" s="66" t="s">
        <v>377</v>
      </c>
      <c r="K689" s="66" t="s">
        <v>45</v>
      </c>
      <c r="L689" s="68">
        <f>VLOOKUP(E689,[1]Diccionario!C$2:AC$150,22,0)</f>
        <v>28089671329</v>
      </c>
      <c r="M689" s="69">
        <f>VLOOKUP(E689,[1]Diccionario!C$2:AC$150,24,0)</f>
        <v>45962</v>
      </c>
      <c r="N689" s="70">
        <f>VLOOKUP(E689,[1]Diccionario!C$2:AC$150,25,0)</f>
        <v>47787</v>
      </c>
      <c r="O689" s="71">
        <f>VLOOKUP(E689,[1]Diccionario!C$2:AC$150,26,0)</f>
        <v>60</v>
      </c>
      <c r="P689" s="71">
        <f t="shared" ca="1" si="120"/>
        <v>-55</v>
      </c>
      <c r="Q689" s="71">
        <f t="shared" ca="1" si="119"/>
        <v>5</v>
      </c>
      <c r="R689" s="66">
        <v>60</v>
      </c>
      <c r="S689" s="72">
        <v>0.98</v>
      </c>
      <c r="T689" s="72"/>
      <c r="U689" s="73">
        <f>U688+TablaIndicador[[#This Row],[Costo Mensual]]</f>
        <v>12661042000</v>
      </c>
      <c r="V689" s="73"/>
      <c r="W689" s="73">
        <f t="shared" si="121"/>
        <v>0</v>
      </c>
      <c r="X689" s="73">
        <f t="shared" si="122"/>
        <v>27527877902.419998</v>
      </c>
      <c r="Y689" s="73">
        <f t="shared" si="123"/>
        <v>-12661042000</v>
      </c>
      <c r="Z689" s="73">
        <f t="shared" si="124"/>
        <v>-27527877902.419998</v>
      </c>
      <c r="AA689" s="75">
        <f t="shared" si="125"/>
        <v>0</v>
      </c>
      <c r="AB689" s="76" t="str">
        <f t="shared" si="126"/>
        <v>No calculado</v>
      </c>
      <c r="AC689" s="76">
        <f t="shared" si="127"/>
        <v>0</v>
      </c>
      <c r="AD689" s="76" t="str">
        <f t="shared" si="128"/>
        <v>Sin Línea Base</v>
      </c>
      <c r="AE689" s="77">
        <f t="shared" si="129"/>
        <v>0</v>
      </c>
      <c r="AF689" s="77">
        <f t="shared" si="130"/>
        <v>-28089671329</v>
      </c>
      <c r="AG689" s="78" t="str">
        <f>VLOOKUP(Indicador!E749,[1]Diccionario!C$1:AC$150,27,0)</f>
        <v>https://growdatasas.sharepoint.com/:x:/r/sites/Gestiondocumental/Administrativa/GD/Financiera/_layouts/15/Doc.aspx?sourcedoc=%7B0CDB7FA7-62D8-4102-9A59-9817018FB4BB%7D&amp;file=05112025%20MODELO%20FINANCIERO%20REFERENCIA_AEROCIVIL%20V7.4%20ajustada230.xlsm&amp;action=default&amp;mobileredirect=true</v>
      </c>
      <c r="AH689" s="78">
        <v>1</v>
      </c>
      <c r="AI689" s="78">
        <v>1</v>
      </c>
      <c r="AJ689" s="78"/>
      <c r="AK689" s="78" t="s">
        <v>319</v>
      </c>
    </row>
    <row r="690" spans="1:37" ht="18.75" customHeight="1" x14ac:dyDescent="0.25">
      <c r="A690" s="64">
        <v>2030</v>
      </c>
      <c r="B690" s="65" t="s">
        <v>55</v>
      </c>
      <c r="C690" s="66" t="s">
        <v>373</v>
      </c>
      <c r="D690" s="67">
        <v>45971.819201238424</v>
      </c>
      <c r="E690" s="66" t="s">
        <v>374</v>
      </c>
      <c r="F690" s="66" t="s">
        <v>364</v>
      </c>
      <c r="G690" s="66" t="s">
        <v>375</v>
      </c>
      <c r="H690" s="66" t="s">
        <v>376</v>
      </c>
      <c r="I690" s="66" t="s">
        <v>63</v>
      </c>
      <c r="J690" s="66" t="s">
        <v>377</v>
      </c>
      <c r="K690" s="66" t="s">
        <v>45</v>
      </c>
      <c r="L690" s="68">
        <f>VLOOKUP(E690,[1]Diccionario!C$2:AC$150,22,0)</f>
        <v>28089671329</v>
      </c>
      <c r="M690" s="69">
        <f>VLOOKUP(E690,[1]Diccionario!C$2:AC$150,24,0)</f>
        <v>45962</v>
      </c>
      <c r="N690" s="70">
        <f>VLOOKUP(E690,[1]Diccionario!C$2:AC$150,25,0)</f>
        <v>47787</v>
      </c>
      <c r="O690" s="71">
        <f>VLOOKUP(E690,[1]Diccionario!C$2:AC$150,26,0)</f>
        <v>60</v>
      </c>
      <c r="P690" s="71">
        <f t="shared" ca="1" si="120"/>
        <v>-55</v>
      </c>
      <c r="Q690" s="71">
        <f t="shared" ca="1" si="119"/>
        <v>5</v>
      </c>
      <c r="R690" s="66">
        <v>60</v>
      </c>
      <c r="S690" s="72">
        <v>1</v>
      </c>
      <c r="T690" s="72"/>
      <c r="U690" s="73">
        <f>U689+TablaIndicador[[#This Row],[Costo Mensual]]</f>
        <v>12661042000</v>
      </c>
      <c r="V690" s="73"/>
      <c r="W690" s="73">
        <f t="shared" si="121"/>
        <v>0</v>
      </c>
      <c r="X690" s="73">
        <f t="shared" si="122"/>
        <v>28089671329</v>
      </c>
      <c r="Y690" s="73">
        <f t="shared" si="123"/>
        <v>-12661042000</v>
      </c>
      <c r="Z690" s="73">
        <f t="shared" si="124"/>
        <v>-28089671329</v>
      </c>
      <c r="AA690" s="75">
        <f t="shared" si="125"/>
        <v>0</v>
      </c>
      <c r="AB690" s="76" t="str">
        <f t="shared" si="126"/>
        <v>No calculado</v>
      </c>
      <c r="AC690" s="76">
        <f t="shared" si="127"/>
        <v>0</v>
      </c>
      <c r="AD690" s="76" t="str">
        <f t="shared" si="128"/>
        <v>Sin Línea Base</v>
      </c>
      <c r="AE690" s="77">
        <f t="shared" si="129"/>
        <v>0</v>
      </c>
      <c r="AF690" s="77">
        <f t="shared" si="130"/>
        <v>-28089671329</v>
      </c>
      <c r="AG690" s="78" t="str">
        <f>VLOOKUP(Indicador!E750,[1]Diccionario!C$1:AC$150,27,0)</f>
        <v>https://growdatasas.sharepoint.com/:x:/r/sites/Gestiondocumental/Administrativa/GD/Financiera/_layouts/15/Doc.aspx?sourcedoc=%7B0CDB7FA7-62D8-4102-9A59-9817018FB4BB%7D&amp;file=05112025%20MODELO%20FINANCIERO%20REFERENCIA_AEROCIVIL%20V7.4%20ajustada230.xlsm&amp;action=default&amp;mobileredirect=true</v>
      </c>
      <c r="AH690" s="78">
        <v>1</v>
      </c>
      <c r="AI690" s="78">
        <v>1</v>
      </c>
      <c r="AJ690" s="78"/>
      <c r="AK690" s="78" t="s">
        <v>319</v>
      </c>
    </row>
    <row r="691" spans="1:37" ht="18.75" customHeight="1" x14ac:dyDescent="0.25">
      <c r="A691" s="64">
        <v>2025</v>
      </c>
      <c r="B691" s="65" t="s">
        <v>56</v>
      </c>
      <c r="C691" s="66" t="s">
        <v>378</v>
      </c>
      <c r="D691" s="67">
        <v>45971.887886886572</v>
      </c>
      <c r="E691" s="66" t="s">
        <v>379</v>
      </c>
      <c r="F691" s="66" t="s">
        <v>310</v>
      </c>
      <c r="G691" s="80" t="s">
        <v>380</v>
      </c>
      <c r="H691" s="66" t="s">
        <v>381</v>
      </c>
      <c r="I691" s="66" t="s">
        <v>63</v>
      </c>
      <c r="J691" s="66" t="s">
        <v>382</v>
      </c>
      <c r="K691" s="66" t="s">
        <v>45</v>
      </c>
      <c r="L691" s="68">
        <f>VLOOKUP(E691,[1]Diccionario!C$2:AC$150,22,0)</f>
        <v>6123938211</v>
      </c>
      <c r="M691" s="69">
        <f>VLOOKUP(E691,[1]Diccionario!C$2:AC$150,24,0)</f>
        <v>46023</v>
      </c>
      <c r="N691" s="70">
        <f>VLOOKUP(E691,[1]Diccionario!C$2:AC$150,25,0)</f>
        <v>46113</v>
      </c>
      <c r="O691" s="71">
        <f>VLOOKUP(E691,[1]Diccionario!C$2:AC$150,26,0)</f>
        <v>3</v>
      </c>
      <c r="P691" s="71">
        <f t="shared" si="120"/>
        <v>-2</v>
      </c>
      <c r="Q691" s="71">
        <v>1</v>
      </c>
      <c r="R691" s="66">
        <v>3</v>
      </c>
      <c r="S691" s="72">
        <v>0</v>
      </c>
      <c r="T691" s="72">
        <v>0.3</v>
      </c>
      <c r="U691" s="73">
        <f>TablaIndicador[[#This Row],[Costo Mensual]]</f>
        <v>0</v>
      </c>
      <c r="V691" s="73">
        <v>0</v>
      </c>
      <c r="W691" s="73">
        <f t="shared" si="121"/>
        <v>1837181463.3</v>
      </c>
      <c r="X691" s="73">
        <f t="shared" si="122"/>
        <v>0</v>
      </c>
      <c r="Y691" s="73">
        <f t="shared" si="123"/>
        <v>1837181463.3</v>
      </c>
      <c r="Z691" s="73">
        <f t="shared" si="124"/>
        <v>1837181463.3</v>
      </c>
      <c r="AA691" s="75" t="str">
        <f t="shared" si="125"/>
        <v>No se realizó gasto en este corte</v>
      </c>
      <c r="AB691" s="76" t="str">
        <f t="shared" si="126"/>
        <v>Costo eficiente: se está gastando menos de lo presupuestado</v>
      </c>
      <c r="AC691" s="76">
        <f t="shared" si="127"/>
        <v>0</v>
      </c>
      <c r="AD691" s="76" t="str">
        <f t="shared" si="128"/>
        <v>Sin Línea Base</v>
      </c>
      <c r="AE691" s="77">
        <f t="shared" si="129"/>
        <v>0</v>
      </c>
      <c r="AF691" s="77">
        <f t="shared" si="130"/>
        <v>-6123938211</v>
      </c>
      <c r="AG691" s="78" t="str">
        <f>VLOOKUP(Indicador!E862,[1]Diccionario!C$1:AC$150,27,0)</f>
        <v>https://growdatasas.sharepoint.com/:x:/r/sites/Gestiondocumental/Administrativa/GD/Financiera/_layouts/15/Doc.aspx?sourcedoc=%7B2970928D-0288-4D5D-952F-67732B5D2028%7D&amp;file=251216_MODELO_FINANCIERO_SDH_V.2.0__V7.5%20VF.xlsm&amp;action=default&amp;mobileredirect=true</v>
      </c>
      <c r="AH691" s="78">
        <v>1</v>
      </c>
      <c r="AI691" s="78">
        <v>1</v>
      </c>
      <c r="AJ691" s="78"/>
      <c r="AK691" s="78" t="s">
        <v>319</v>
      </c>
    </row>
    <row r="692" spans="1:37" ht="18.75" customHeight="1" x14ac:dyDescent="0.25">
      <c r="A692" s="64">
        <v>2025</v>
      </c>
      <c r="B692" s="65" t="s">
        <v>57</v>
      </c>
      <c r="C692" s="66" t="s">
        <v>378</v>
      </c>
      <c r="D692" s="67">
        <v>45971.887886886572</v>
      </c>
      <c r="E692" s="66" t="s">
        <v>379</v>
      </c>
      <c r="F692" s="66" t="s">
        <v>310</v>
      </c>
      <c r="G692" s="80" t="s">
        <v>380</v>
      </c>
      <c r="H692" s="66" t="s">
        <v>381</v>
      </c>
      <c r="I692" s="66" t="s">
        <v>63</v>
      </c>
      <c r="J692" s="66" t="s">
        <v>382</v>
      </c>
      <c r="K692" s="66" t="s">
        <v>45</v>
      </c>
      <c r="L692" s="68">
        <f>VLOOKUP(E692,[1]Diccionario!C$2:AC$150,22,0)</f>
        <v>6123938211</v>
      </c>
      <c r="M692" s="69">
        <f>VLOOKUP(E692,[1]Diccionario!C$2:AC$150,24,0)</f>
        <v>46023</v>
      </c>
      <c r="N692" s="70">
        <f>VLOOKUP(E692,[1]Diccionario!C$2:AC$150,25,0)</f>
        <v>46113</v>
      </c>
      <c r="O692" s="71">
        <f>VLOOKUP(E692,[1]Diccionario!C$2:AC$150,26,0)</f>
        <v>3</v>
      </c>
      <c r="P692" s="71">
        <f t="shared" si="120"/>
        <v>-1</v>
      </c>
      <c r="Q692" s="71">
        <v>2</v>
      </c>
      <c r="R692" s="66">
        <v>3</v>
      </c>
      <c r="S692" s="72">
        <v>0</v>
      </c>
      <c r="T692" s="72">
        <v>0.4</v>
      </c>
      <c r="U692" s="73">
        <f>U691+TablaIndicador[[#This Row],[Costo Mensual]]</f>
        <v>2109595594.7800002</v>
      </c>
      <c r="V692" s="74">
        <v>2109595594.7800002</v>
      </c>
      <c r="W692" s="73">
        <f t="shared" si="121"/>
        <v>2449575284.4000001</v>
      </c>
      <c r="X692" s="73">
        <f t="shared" si="122"/>
        <v>0</v>
      </c>
      <c r="Y692" s="73">
        <f t="shared" si="123"/>
        <v>339979689.61999989</v>
      </c>
      <c r="Z692" s="73">
        <f t="shared" si="124"/>
        <v>2449575284.4000001</v>
      </c>
      <c r="AA692" s="75">
        <f t="shared" si="125"/>
        <v>1.1611587028628845</v>
      </c>
      <c r="AB692" s="76" t="str">
        <f t="shared" si="126"/>
        <v>Costo eficiente: se está gastando menos de lo presupuestado</v>
      </c>
      <c r="AC692" s="76">
        <f t="shared" si="127"/>
        <v>0</v>
      </c>
      <c r="AD692" s="76" t="str">
        <f t="shared" si="128"/>
        <v>Sin Línea Base</v>
      </c>
      <c r="AE692" s="77">
        <f t="shared" si="129"/>
        <v>5273988986.9499998</v>
      </c>
      <c r="AF692" s="77">
        <f t="shared" si="130"/>
        <v>-849949224.05000019</v>
      </c>
      <c r="AG692" s="78" t="str">
        <f>VLOOKUP(Indicador!E863,[1]Diccionario!C$1:AC$150,27,0)</f>
        <v>https://growdatasas.sharepoint.com/:x:/r/sites/Gestiondocumental/Administrativa/GD/Financiera/_layouts/15/Doc.aspx?sourcedoc=%7B2970928D-0288-4D5D-952F-67732B5D2028%7D&amp;file=251216_MODELO_FINANCIERO_SDH_V.2.0__V7.5%20VF.xlsm&amp;action=default&amp;mobileredirect=true</v>
      </c>
      <c r="AH692" s="78">
        <v>1</v>
      </c>
      <c r="AI692" s="78">
        <v>1</v>
      </c>
      <c r="AJ692" s="78"/>
      <c r="AK692" s="78" t="s">
        <v>319</v>
      </c>
    </row>
    <row r="693" spans="1:37" ht="18.75" customHeight="1" x14ac:dyDescent="0.25">
      <c r="A693" s="64">
        <v>2026</v>
      </c>
      <c r="B693" s="65" t="s">
        <v>37</v>
      </c>
      <c r="C693" s="66" t="s">
        <v>378</v>
      </c>
      <c r="D693" s="67">
        <v>45971.887886886572</v>
      </c>
      <c r="E693" s="66" t="s">
        <v>379</v>
      </c>
      <c r="F693" s="66" t="s">
        <v>310</v>
      </c>
      <c r="G693" s="80" t="s">
        <v>380</v>
      </c>
      <c r="H693" s="66" t="s">
        <v>381</v>
      </c>
      <c r="I693" s="66" t="s">
        <v>63</v>
      </c>
      <c r="J693" s="66" t="s">
        <v>382</v>
      </c>
      <c r="K693" s="66" t="s">
        <v>45</v>
      </c>
      <c r="L693" s="68">
        <f>VLOOKUP(E693,[1]Diccionario!C$2:AC$150,22,0)</f>
        <v>6123938211</v>
      </c>
      <c r="M693" s="69">
        <f>VLOOKUP(E693,[1]Diccionario!C$2:AC$150,24,0)</f>
        <v>46023</v>
      </c>
      <c r="N693" s="70">
        <f>VLOOKUP(E693,[1]Diccionario!C$2:AC$150,25,0)</f>
        <v>46113</v>
      </c>
      <c r="O693" s="71">
        <f>VLOOKUP(E693,[1]Diccionario!C$2:AC$150,26,0)</f>
        <v>3</v>
      </c>
      <c r="P693" s="71">
        <f t="shared" si="120"/>
        <v>0</v>
      </c>
      <c r="Q693" s="71">
        <v>3</v>
      </c>
      <c r="R693" s="66">
        <v>3</v>
      </c>
      <c r="S693" s="72">
        <v>0.5</v>
      </c>
      <c r="T693" s="72">
        <v>0.5</v>
      </c>
      <c r="U693" s="73">
        <f>U692+TablaIndicador[[#This Row],[Costo Mensual]]</f>
        <v>2212294327.6800003</v>
      </c>
      <c r="V693" s="74">
        <v>102698732.90000001</v>
      </c>
      <c r="W693" s="73">
        <f t="shared" si="121"/>
        <v>3061969105.5</v>
      </c>
      <c r="X693" s="73">
        <f t="shared" si="122"/>
        <v>3061969105.5</v>
      </c>
      <c r="Y693" s="73">
        <f t="shared" si="123"/>
        <v>849674777.81999969</v>
      </c>
      <c r="Z693" s="73">
        <f t="shared" si="124"/>
        <v>0</v>
      </c>
      <c r="AA693" s="75">
        <f t="shared" si="125"/>
        <v>1.3840695006938977</v>
      </c>
      <c r="AB693" s="76" t="str">
        <f t="shared" si="126"/>
        <v>Costo eficiente: se está gastando menos de lo presupuestado</v>
      </c>
      <c r="AC693" s="76">
        <f t="shared" si="127"/>
        <v>1</v>
      </c>
      <c r="AD693" s="76" t="str">
        <f t="shared" si="128"/>
        <v>Proyecto a tiempo según lo planificado</v>
      </c>
      <c r="AE693" s="77">
        <f t="shared" si="129"/>
        <v>4424588655.3600006</v>
      </c>
      <c r="AF693" s="77">
        <f t="shared" si="130"/>
        <v>-1699349555.6399994</v>
      </c>
      <c r="AG693" s="78" t="str">
        <f>VLOOKUP(Indicador!E864,[1]Diccionario!C$1:AC$150,27,0)</f>
        <v>https://growdatasas.sharepoint.com/:x:/r/sites/Gestiondocumental/Administrativa/GD/Financiera/_layouts/15/Doc.aspx?sourcedoc=%7B2970928D-0288-4D5D-952F-67732B5D2028%7D&amp;file=251216_MODELO_FINANCIERO_SDH_V.2.0__V7.5%20VF.xlsm&amp;action=default&amp;mobileredirect=true</v>
      </c>
      <c r="AH693" s="78">
        <v>1</v>
      </c>
      <c r="AI693" s="78">
        <v>1</v>
      </c>
      <c r="AJ693" s="78"/>
      <c r="AK693" s="78" t="s">
        <v>319</v>
      </c>
    </row>
    <row r="694" spans="1:37" ht="18.75" customHeight="1" x14ac:dyDescent="0.25">
      <c r="A694" s="64">
        <v>2026</v>
      </c>
      <c r="B694" s="65" t="s">
        <v>47</v>
      </c>
      <c r="C694" s="66" t="s">
        <v>378</v>
      </c>
      <c r="D694" s="67">
        <v>45971.887886886572</v>
      </c>
      <c r="E694" s="66" t="s">
        <v>379</v>
      </c>
      <c r="F694" s="66" t="s">
        <v>310</v>
      </c>
      <c r="G694" s="80" t="s">
        <v>380</v>
      </c>
      <c r="H694" s="66" t="s">
        <v>381</v>
      </c>
      <c r="I694" s="66" t="s">
        <v>63</v>
      </c>
      <c r="J694" s="66" t="s">
        <v>382</v>
      </c>
      <c r="K694" s="66" t="s">
        <v>45</v>
      </c>
      <c r="L694" s="68">
        <f>VLOOKUP(E694,[1]Diccionario!C$2:AC$150,22,0)</f>
        <v>6123938211</v>
      </c>
      <c r="M694" s="69">
        <f>VLOOKUP(E694,[1]Diccionario!C$2:AC$150,24,0)</f>
        <v>46023</v>
      </c>
      <c r="N694" s="70">
        <f>VLOOKUP(E694,[1]Diccionario!C$2:AC$150,25,0)</f>
        <v>46113</v>
      </c>
      <c r="O694" s="71">
        <f>VLOOKUP(E694,[1]Diccionario!C$2:AC$150,26,0)</f>
        <v>3</v>
      </c>
      <c r="P694" s="71">
        <f t="shared" si="120"/>
        <v>1</v>
      </c>
      <c r="Q694" s="71">
        <v>4</v>
      </c>
      <c r="R694" s="66">
        <v>3</v>
      </c>
      <c r="S694" s="72">
        <v>0.9</v>
      </c>
      <c r="T694" s="72">
        <v>0.9</v>
      </c>
      <c r="U694" s="73">
        <f>U693+TablaIndicador[[#This Row],[Costo Mensual]]</f>
        <v>2295830951.7600002</v>
      </c>
      <c r="V694" s="74">
        <v>83536624.079999998</v>
      </c>
      <c r="W694" s="73">
        <f t="shared" si="121"/>
        <v>5511544389.9000006</v>
      </c>
      <c r="X694" s="73">
        <f t="shared" si="122"/>
        <v>5511544389.9000006</v>
      </c>
      <c r="Y694" s="73">
        <f t="shared" si="123"/>
        <v>3215713438.1400003</v>
      </c>
      <c r="Z694" s="73">
        <f t="shared" si="124"/>
        <v>0</v>
      </c>
      <c r="AA694" s="75">
        <f t="shared" si="125"/>
        <v>2.4006751828460242</v>
      </c>
      <c r="AB694" s="76" t="str">
        <f t="shared" si="126"/>
        <v>Costo eficiente: se está gastando menos de lo presupuestado</v>
      </c>
      <c r="AC694" s="76">
        <f t="shared" si="127"/>
        <v>1</v>
      </c>
      <c r="AD694" s="76" t="str">
        <f t="shared" si="128"/>
        <v>Proyecto a tiempo según lo planificado</v>
      </c>
      <c r="AE694" s="77">
        <f t="shared" si="129"/>
        <v>2550923279.7333336</v>
      </c>
      <c r="AF694" s="77">
        <f t="shared" si="130"/>
        <v>-3573014931.2666664</v>
      </c>
      <c r="AG694" s="78" t="str">
        <f>VLOOKUP(Indicador!E865,[1]Diccionario!C$1:AC$150,27,0)</f>
        <v>https://growdatasas.sharepoint.com/:x:/r/sites/Gestiondocumental/Administrativa/GD/Financiera/_layouts/15/Doc.aspx?sourcedoc=%7B2970928D-0288-4D5D-952F-67732B5D2028%7D&amp;file=251216_MODELO_FINANCIERO_SDH_V.2.0__V7.5%20VF.xlsm&amp;action=default&amp;mobileredirect=true</v>
      </c>
      <c r="AH694" s="78">
        <v>1</v>
      </c>
      <c r="AI694" s="78">
        <v>1</v>
      </c>
      <c r="AJ694" s="78"/>
      <c r="AK694" s="78" t="s">
        <v>319</v>
      </c>
    </row>
    <row r="695" spans="1:37" ht="18.75" customHeight="1" x14ac:dyDescent="0.25">
      <c r="A695" s="64">
        <v>2026</v>
      </c>
      <c r="B695" s="65" t="s">
        <v>48</v>
      </c>
      <c r="C695" s="66" t="s">
        <v>378</v>
      </c>
      <c r="D695" s="67">
        <v>45971.887886886572</v>
      </c>
      <c r="E695" s="66" t="s">
        <v>379</v>
      </c>
      <c r="F695" s="66" t="s">
        <v>310</v>
      </c>
      <c r="G695" s="80" t="s">
        <v>380</v>
      </c>
      <c r="H695" s="66" t="s">
        <v>381</v>
      </c>
      <c r="I695" s="66" t="s">
        <v>63</v>
      </c>
      <c r="J695" s="66" t="s">
        <v>382</v>
      </c>
      <c r="K695" s="66" t="s">
        <v>45</v>
      </c>
      <c r="L695" s="68">
        <f>VLOOKUP(E695,[1]Diccionario!C$2:AC$150,22,0)</f>
        <v>6123938211</v>
      </c>
      <c r="M695" s="69">
        <f>VLOOKUP(E695,[1]Diccionario!C$2:AC$150,24,0)</f>
        <v>46023</v>
      </c>
      <c r="N695" s="70">
        <f>VLOOKUP(E695,[1]Diccionario!C$2:AC$150,25,0)</f>
        <v>46113</v>
      </c>
      <c r="O695" s="71">
        <f>VLOOKUP(E695,[1]Diccionario!C$2:AC$150,26,0)</f>
        <v>3</v>
      </c>
      <c r="P695" s="71">
        <f t="shared" si="120"/>
        <v>2</v>
      </c>
      <c r="Q695" s="71">
        <v>5</v>
      </c>
      <c r="R695" s="66">
        <v>3</v>
      </c>
      <c r="S695" s="72">
        <v>0.95</v>
      </c>
      <c r="T695" s="72">
        <v>9</v>
      </c>
      <c r="U695" s="73">
        <f>U694+TablaIndicador[[#This Row],[Costo Mensual]]</f>
        <v>2295830951.7600002</v>
      </c>
      <c r="V695" s="73">
        <v>0</v>
      </c>
      <c r="W695" s="73">
        <f t="shared" si="121"/>
        <v>55115443899</v>
      </c>
      <c r="X695" s="73">
        <f t="shared" si="122"/>
        <v>5817741300.4499998</v>
      </c>
      <c r="Y695" s="73">
        <f t="shared" si="123"/>
        <v>52819612947.239998</v>
      </c>
      <c r="Z695" s="73">
        <f t="shared" si="124"/>
        <v>49297702598.550003</v>
      </c>
      <c r="AA695" s="75">
        <f t="shared" si="125"/>
        <v>24.006751828460242</v>
      </c>
      <c r="AB695" s="76" t="str">
        <f t="shared" si="126"/>
        <v>Costo eficiente: se está gastando menos de lo presupuestado</v>
      </c>
      <c r="AC695" s="76">
        <f t="shared" si="127"/>
        <v>9.4736842105263168</v>
      </c>
      <c r="AD695" s="76" t="str">
        <f t="shared" si="128"/>
        <v>Proyecto adelantado respecto al cronograma</v>
      </c>
      <c r="AE695" s="77">
        <f t="shared" si="129"/>
        <v>255092327.97333333</v>
      </c>
      <c r="AF695" s="77">
        <f t="shared" si="130"/>
        <v>-5868845883.0266666</v>
      </c>
      <c r="AG695" s="78" t="str">
        <f>VLOOKUP(Indicador!E866,[1]Diccionario!C$1:AC$150,27,0)</f>
        <v>https://growdatasas.sharepoint.com/:x:/r/sites/Gestiondocumental/Administrativa/GD/Financiera/_layouts/15/Doc.aspx?sourcedoc=%7B2970928D-0288-4D5D-952F-67732B5D2028%7D&amp;file=251216_MODELO_FINANCIERO_SDH_V.2.0__V7.5%20VF.xlsm&amp;action=default&amp;mobileredirect=true</v>
      </c>
      <c r="AH695" s="78">
        <v>1</v>
      </c>
      <c r="AI695" s="78">
        <v>1</v>
      </c>
      <c r="AJ695" s="78"/>
      <c r="AK695" s="78" t="s">
        <v>319</v>
      </c>
    </row>
    <row r="696" spans="1:37" ht="18.75" customHeight="1" x14ac:dyDescent="0.25">
      <c r="A696" s="64">
        <v>2026</v>
      </c>
      <c r="B696" s="65" t="s">
        <v>49</v>
      </c>
      <c r="C696" s="66" t="s">
        <v>378</v>
      </c>
      <c r="D696" s="67">
        <v>45971.887886886572</v>
      </c>
      <c r="E696" s="66" t="s">
        <v>379</v>
      </c>
      <c r="F696" s="66" t="s">
        <v>310</v>
      </c>
      <c r="G696" s="80" t="s">
        <v>380</v>
      </c>
      <c r="H696" s="66" t="s">
        <v>381</v>
      </c>
      <c r="I696" s="66" t="s">
        <v>63</v>
      </c>
      <c r="J696" s="66" t="s">
        <v>382</v>
      </c>
      <c r="K696" s="66" t="s">
        <v>45</v>
      </c>
      <c r="L696" s="68">
        <f>VLOOKUP(E696,[1]Diccionario!C$2:AC$150,22,0)</f>
        <v>6123938211</v>
      </c>
      <c r="M696" s="69">
        <f>VLOOKUP(E696,[1]Diccionario!C$2:AC$150,24,0)</f>
        <v>46023</v>
      </c>
      <c r="N696" s="70">
        <f>VLOOKUP(E696,[1]Diccionario!C$2:AC$150,25,0)</f>
        <v>46113</v>
      </c>
      <c r="O696" s="71">
        <f>VLOOKUP(E696,[1]Diccionario!C$2:AC$150,26,0)</f>
        <v>3</v>
      </c>
      <c r="P696" s="71">
        <f t="shared" si="120"/>
        <v>3</v>
      </c>
      <c r="Q696" s="71">
        <v>6</v>
      </c>
      <c r="R696" s="66">
        <v>3</v>
      </c>
      <c r="S696" s="72">
        <v>1</v>
      </c>
      <c r="T696" s="72"/>
      <c r="U696" s="73">
        <f>U695+TablaIndicador[[#This Row],[Costo Mensual]]</f>
        <v>2295830951.7600002</v>
      </c>
      <c r="V696" s="73">
        <v>0</v>
      </c>
      <c r="W696" s="73">
        <f t="shared" si="121"/>
        <v>0</v>
      </c>
      <c r="X696" s="73">
        <f t="shared" si="122"/>
        <v>6123938211</v>
      </c>
      <c r="Y696" s="73">
        <f t="shared" si="123"/>
        <v>-2295830951.7600002</v>
      </c>
      <c r="Z696" s="73">
        <f t="shared" si="124"/>
        <v>-6123938211</v>
      </c>
      <c r="AA696" s="75">
        <f t="shared" si="125"/>
        <v>0</v>
      </c>
      <c r="AB696" s="76" t="str">
        <f t="shared" si="126"/>
        <v>No calculado</v>
      </c>
      <c r="AC696" s="76">
        <f t="shared" si="127"/>
        <v>0</v>
      </c>
      <c r="AD696" s="76" t="str">
        <f t="shared" si="128"/>
        <v>Sin Línea Base</v>
      </c>
      <c r="AE696" s="77">
        <f t="shared" si="129"/>
        <v>0</v>
      </c>
      <c r="AF696" s="77">
        <f t="shared" si="130"/>
        <v>-6123938211</v>
      </c>
      <c r="AG696" s="78" t="str">
        <f>VLOOKUP(Indicador!E867,[1]Diccionario!C$1:AC$150,27,0)</f>
        <v>https://growdatasas.sharepoint.com/:x:/r/sites/Gestiondocumental/Administrativa/GD/Financiera/_layouts/15/Doc.aspx?sourcedoc=%7B2970928D-0288-4D5D-952F-67732B5D2028%7D&amp;file=251216_MODELO_FINANCIERO_SDH_V.2.0__V7.5%20VF.xlsm&amp;action=default&amp;mobileredirect=true</v>
      </c>
      <c r="AH696" s="78">
        <v>1</v>
      </c>
      <c r="AI696" s="78">
        <v>1</v>
      </c>
      <c r="AJ696" s="78"/>
      <c r="AK696" s="78" t="s">
        <v>319</v>
      </c>
    </row>
    <row r="697" spans="1:37" ht="18.75" customHeight="1" x14ac:dyDescent="0.25">
      <c r="A697" s="64">
        <v>2025</v>
      </c>
      <c r="B697" s="65" t="s">
        <v>56</v>
      </c>
      <c r="C697" s="66" t="s">
        <v>383</v>
      </c>
      <c r="D697" s="67">
        <v>45971.923861539355</v>
      </c>
      <c r="E697" s="66" t="s">
        <v>384</v>
      </c>
      <c r="F697" s="66" t="s">
        <v>385</v>
      </c>
      <c r="G697" s="66" t="s">
        <v>386</v>
      </c>
      <c r="H697" s="66" t="s">
        <v>387</v>
      </c>
      <c r="I697" s="66" t="s">
        <v>63</v>
      </c>
      <c r="J697" s="66" t="s">
        <v>388</v>
      </c>
      <c r="K697" s="66" t="s">
        <v>291</v>
      </c>
      <c r="L697" s="68">
        <f>VLOOKUP(E697,[1]Diccionario!C$2:AC$150,22,0)</f>
        <v>243037690</v>
      </c>
      <c r="M697" s="69">
        <f>VLOOKUP(E697,[1]Diccionario!C$2:AC$150,24,0)</f>
        <v>45962</v>
      </c>
      <c r="N697" s="70">
        <f>VLOOKUP(E697,[1]Diccionario!C$2:AC$150,25,0)</f>
        <v>45991</v>
      </c>
      <c r="O697" s="71">
        <f>VLOOKUP(E697,[1]Diccionario!C$2:AC$150,26,0)</f>
        <v>0.97</v>
      </c>
      <c r="P697" s="71">
        <f t="shared" si="120"/>
        <v>3.0000000000000027E-2</v>
      </c>
      <c r="Q697" s="71">
        <v>1</v>
      </c>
      <c r="R697" s="66">
        <v>2</v>
      </c>
      <c r="S697" s="72">
        <v>0.75</v>
      </c>
      <c r="T697" s="72">
        <v>0.75</v>
      </c>
      <c r="U697" s="79">
        <f>TablaIndicador[[#This Row],[Costo Mensual]]</f>
        <v>0</v>
      </c>
      <c r="V697" s="79">
        <v>0</v>
      </c>
      <c r="W697" s="73">
        <f t="shared" si="121"/>
        <v>182278267.5</v>
      </c>
      <c r="X697" s="73">
        <f t="shared" si="122"/>
        <v>182278267.5</v>
      </c>
      <c r="Y697" s="73">
        <f t="shared" si="123"/>
        <v>182278267.5</v>
      </c>
      <c r="Z697" s="73">
        <f t="shared" si="124"/>
        <v>0</v>
      </c>
      <c r="AA697" s="75" t="str">
        <f t="shared" si="125"/>
        <v>No se realizó gasto en este corte</v>
      </c>
      <c r="AB697" s="76" t="str">
        <f t="shared" si="126"/>
        <v>Costo eficiente: se está gastando menos de lo presupuestado</v>
      </c>
      <c r="AC697" s="76">
        <f t="shared" si="127"/>
        <v>1</v>
      </c>
      <c r="AD697" s="76" t="str">
        <f t="shared" si="128"/>
        <v>Proyecto a tiempo según lo planificado</v>
      </c>
      <c r="AE697" s="77">
        <f t="shared" si="129"/>
        <v>0</v>
      </c>
      <c r="AF697" s="77">
        <f t="shared" si="130"/>
        <v>-243037690</v>
      </c>
      <c r="AG697" s="78" t="str">
        <f>VLOOKUP(Indicador!E689,[1]Diccionario!C$1:AC$150,27,0)</f>
        <v>https://growdatasas.sharepoint.com/:x:/r/sites/Gestiondocumental/Administrativa/GD/Financiera/_layouts/15/Doc.aspx?sourcedoc=%7BBF6E8538-B113-45FF-83F6-596104EC0C59%7D&amp;file=3.0.0.%20%20MODELO%20UNAD%20V3.0.%20(ajustado).xlsm&amp;action=default&amp;mobileredirect=true</v>
      </c>
      <c r="AH697" s="78">
        <v>1</v>
      </c>
      <c r="AI697" s="78">
        <v>1</v>
      </c>
      <c r="AJ697" s="78"/>
      <c r="AK697" s="78" t="s">
        <v>319</v>
      </c>
    </row>
    <row r="698" spans="1:37" ht="18.75" customHeight="1" x14ac:dyDescent="0.25">
      <c r="A698" s="64">
        <v>2025</v>
      </c>
      <c r="B698" s="65" t="s">
        <v>57</v>
      </c>
      <c r="C698" s="66" t="s">
        <v>383</v>
      </c>
      <c r="D698" s="67">
        <v>45971.923861539355</v>
      </c>
      <c r="E698" s="66" t="s">
        <v>384</v>
      </c>
      <c r="F698" s="66" t="s">
        <v>385</v>
      </c>
      <c r="G698" s="66" t="s">
        <v>386</v>
      </c>
      <c r="H698" s="66" t="s">
        <v>387</v>
      </c>
      <c r="I698" s="66" t="s">
        <v>63</v>
      </c>
      <c r="J698" s="66" t="s">
        <v>388</v>
      </c>
      <c r="K698" s="66" t="s">
        <v>291</v>
      </c>
      <c r="L698" s="68">
        <f>VLOOKUP(E698,[1]Diccionario!C$2:AC$150,22,0)</f>
        <v>243037690</v>
      </c>
      <c r="M698" s="69">
        <f>VLOOKUP(E698,[1]Diccionario!C$2:AC$150,24,0)</f>
        <v>45962</v>
      </c>
      <c r="N698" s="70">
        <f>VLOOKUP(E698,[1]Diccionario!C$2:AC$150,25,0)</f>
        <v>45991</v>
      </c>
      <c r="O698" s="71">
        <f>VLOOKUP(E698,[1]Diccionario!C$2:AC$150,26,0)</f>
        <v>0.97</v>
      </c>
      <c r="P698" s="71">
        <f t="shared" si="120"/>
        <v>1.03</v>
      </c>
      <c r="Q698" s="71">
        <v>2</v>
      </c>
      <c r="R698" s="66">
        <v>2</v>
      </c>
      <c r="S698" s="72">
        <v>1</v>
      </c>
      <c r="T698" s="72">
        <v>1</v>
      </c>
      <c r="U698" s="79">
        <f>U697+TablaIndicador[[#This Row],[Costo Mensual]]</f>
        <v>242000009.77000001</v>
      </c>
      <c r="V698" s="79">
        <v>242000009.77000001</v>
      </c>
      <c r="W698" s="73">
        <f t="shared" si="121"/>
        <v>243037690</v>
      </c>
      <c r="X698" s="73">
        <f t="shared" si="122"/>
        <v>243037690</v>
      </c>
      <c r="Y698" s="73">
        <f t="shared" si="123"/>
        <v>1037680.2299999893</v>
      </c>
      <c r="Z698" s="73">
        <f t="shared" si="124"/>
        <v>0</v>
      </c>
      <c r="AA698" s="75">
        <f t="shared" si="125"/>
        <v>1.0042879346615987</v>
      </c>
      <c r="AB698" s="76" t="str">
        <f t="shared" si="126"/>
        <v>Costo eficiente: se está gastando menos de lo presupuestado</v>
      </c>
      <c r="AC698" s="76">
        <f t="shared" si="127"/>
        <v>1</v>
      </c>
      <c r="AD698" s="76" t="str">
        <f t="shared" si="128"/>
        <v>Proyecto a tiempo según lo planificado</v>
      </c>
      <c r="AE698" s="77">
        <f t="shared" si="129"/>
        <v>242000009.76999998</v>
      </c>
      <c r="AF698" s="77">
        <f t="shared" si="130"/>
        <v>-1037680.2300000191</v>
      </c>
      <c r="AG698" s="78" t="str">
        <f>VLOOKUP(Indicador!E690,[1]Diccionario!C$1:AC$150,27,0)</f>
        <v>https://growdatasas.sharepoint.com/:x:/r/sites/Gestiondocumental/Administrativa/GD/Financiera/_layouts/15/Doc.aspx?sourcedoc=%7BBF6E8538-B113-45FF-83F6-596104EC0C59%7D&amp;file=3.0.0.%20%20MODELO%20UNAD%20V3.0.%20(ajustado).xlsm&amp;action=default&amp;mobileredirect=true</v>
      </c>
      <c r="AH698" s="78">
        <v>1</v>
      </c>
      <c r="AI698" s="78">
        <v>1</v>
      </c>
      <c r="AJ698" s="78"/>
      <c r="AK698" s="78" t="s">
        <v>319</v>
      </c>
    </row>
    <row r="699" spans="1:37" ht="18.75" customHeight="1" x14ac:dyDescent="0.25">
      <c r="A699" s="64">
        <v>2025</v>
      </c>
      <c r="B699" s="65" t="s">
        <v>56</v>
      </c>
      <c r="C699" s="66" t="s">
        <v>389</v>
      </c>
      <c r="D699" s="67">
        <v>45979.725087650462</v>
      </c>
      <c r="E699" s="66" t="s">
        <v>390</v>
      </c>
      <c r="F699" s="66" t="s">
        <v>391</v>
      </c>
      <c r="G699" s="66" t="s">
        <v>392</v>
      </c>
      <c r="H699" s="66" t="s">
        <v>393</v>
      </c>
      <c r="I699" s="66" t="s">
        <v>43</v>
      </c>
      <c r="J699" s="66" t="s">
        <v>394</v>
      </c>
      <c r="K699" s="66" t="s">
        <v>291</v>
      </c>
      <c r="L699" s="68">
        <f>VLOOKUP(E699,[1]Diccionario!C$2:AC$150,22,0)</f>
        <v>836827348</v>
      </c>
      <c r="M699" s="69">
        <f>VLOOKUP(E699,[1]Diccionario!C$2:AC$150,24,0)</f>
        <v>45962</v>
      </c>
      <c r="N699" s="70">
        <f>VLOOKUP(E699,[1]Diccionario!C$2:AC$150,25,0)</f>
        <v>46111</v>
      </c>
      <c r="O699" s="71">
        <f>VLOOKUP(E699,[1]Diccionario!C$2:AC$150,26,0)</f>
        <v>4.97</v>
      </c>
      <c r="P699" s="71">
        <f t="shared" si="120"/>
        <v>-3.9699999999999998</v>
      </c>
      <c r="Q699" s="71">
        <v>1</v>
      </c>
      <c r="R699" s="66">
        <v>5</v>
      </c>
      <c r="S699" s="72">
        <v>0.25</v>
      </c>
      <c r="T699" s="72">
        <v>0.25</v>
      </c>
      <c r="U699" s="79">
        <v>0</v>
      </c>
      <c r="V699" s="73">
        <v>0</v>
      </c>
      <c r="W699" s="73">
        <f t="shared" si="121"/>
        <v>209206837</v>
      </c>
      <c r="X699" s="73">
        <f t="shared" si="122"/>
        <v>209206837</v>
      </c>
      <c r="Y699" s="73">
        <f t="shared" si="123"/>
        <v>209206837</v>
      </c>
      <c r="Z699" s="73">
        <f t="shared" si="124"/>
        <v>0</v>
      </c>
      <c r="AA699" s="75" t="str">
        <f t="shared" si="125"/>
        <v>No se realizó gasto en este corte</v>
      </c>
      <c r="AB699" s="76" t="str">
        <f t="shared" si="126"/>
        <v>Costo eficiente: se está gastando menos de lo presupuestado</v>
      </c>
      <c r="AC699" s="76">
        <f t="shared" si="127"/>
        <v>1</v>
      </c>
      <c r="AD699" s="76" t="str">
        <f t="shared" si="128"/>
        <v>Proyecto a tiempo según lo planificado</v>
      </c>
      <c r="AE699" s="77">
        <f t="shared" si="129"/>
        <v>0</v>
      </c>
      <c r="AF699" s="77">
        <f t="shared" si="130"/>
        <v>-836827348</v>
      </c>
      <c r="AG699" s="78" t="str">
        <f>VLOOKUP(Indicador!E684,[1]Diccionario!C$1:AC$150,27,0)</f>
        <v>https://growdatasas.sharepoint.com/:x:/r/sites/Gestiondocumental/Administrativa/GD/Financiera/_layouts/15/Doc.aspx?sourcedoc=%7BBF6E8538-B113-45FF-83F6-596104EC0C59%7D&amp;file=3.0.0.%20%20MODELO%20UNAD%20V3.0.%20(ajustado).xlsm&amp;action=default&amp;mobileredirect=true</v>
      </c>
      <c r="AH699" s="78">
        <v>1</v>
      </c>
      <c r="AI699" s="78">
        <v>1</v>
      </c>
      <c r="AJ699" s="78"/>
      <c r="AK699" s="78" t="s">
        <v>319</v>
      </c>
    </row>
    <row r="700" spans="1:37" ht="18.75" customHeight="1" x14ac:dyDescent="0.25">
      <c r="A700" s="64">
        <v>2025</v>
      </c>
      <c r="B700" s="65" t="s">
        <v>57</v>
      </c>
      <c r="C700" s="66" t="s">
        <v>389</v>
      </c>
      <c r="D700" s="67">
        <v>45979.725087650462</v>
      </c>
      <c r="E700" s="66" t="s">
        <v>390</v>
      </c>
      <c r="F700" s="66" t="s">
        <v>391</v>
      </c>
      <c r="G700" s="66" t="s">
        <v>392</v>
      </c>
      <c r="H700" s="66" t="s">
        <v>393</v>
      </c>
      <c r="I700" s="66" t="s">
        <v>43</v>
      </c>
      <c r="J700" s="66" t="s">
        <v>394</v>
      </c>
      <c r="K700" s="66" t="s">
        <v>291</v>
      </c>
      <c r="L700" s="68">
        <f>VLOOKUP(E700,[1]Diccionario!C$2:AC$150,22,0)</f>
        <v>836827348</v>
      </c>
      <c r="M700" s="69">
        <f>VLOOKUP(E700,[1]Diccionario!C$2:AC$150,24,0)</f>
        <v>45962</v>
      </c>
      <c r="N700" s="70">
        <f>VLOOKUP(E700,[1]Diccionario!C$2:AC$150,25,0)</f>
        <v>46111</v>
      </c>
      <c r="O700" s="71">
        <f>VLOOKUP(E700,[1]Diccionario!C$2:AC$150,26,0)</f>
        <v>4.97</v>
      </c>
      <c r="P700" s="71">
        <f t="shared" si="120"/>
        <v>-2.9699999999999998</v>
      </c>
      <c r="Q700" s="71">
        <v>2</v>
      </c>
      <c r="R700" s="66">
        <v>5</v>
      </c>
      <c r="S700" s="72">
        <v>0.45</v>
      </c>
      <c r="T700" s="72">
        <v>0.45</v>
      </c>
      <c r="U700" s="79">
        <f>U699+TablaIndicador[[#This Row],[Costo Mensual]]</f>
        <v>121427440.68000001</v>
      </c>
      <c r="V700" s="79">
        <v>121427440.68000001</v>
      </c>
      <c r="W700" s="73">
        <f t="shared" si="121"/>
        <v>376572306.60000002</v>
      </c>
      <c r="X700" s="73">
        <f t="shared" si="122"/>
        <v>376572306.60000002</v>
      </c>
      <c r="Y700" s="73">
        <f t="shared" si="123"/>
        <v>255144865.92000002</v>
      </c>
      <c r="Z700" s="73">
        <f t="shared" si="124"/>
        <v>0</v>
      </c>
      <c r="AA700" s="75">
        <f t="shared" si="125"/>
        <v>3.1012125800492494</v>
      </c>
      <c r="AB700" s="76" t="str">
        <f t="shared" si="126"/>
        <v>Costo eficiente: se está gastando menos de lo presupuestado</v>
      </c>
      <c r="AC700" s="76">
        <f t="shared" si="127"/>
        <v>1</v>
      </c>
      <c r="AD700" s="76" t="str">
        <f t="shared" si="128"/>
        <v>Proyecto a tiempo según lo planificado</v>
      </c>
      <c r="AE700" s="77">
        <f t="shared" si="129"/>
        <v>269838757.06666666</v>
      </c>
      <c r="AF700" s="77">
        <f t="shared" si="130"/>
        <v>-566988590.9333334</v>
      </c>
      <c r="AG700" s="78" t="str">
        <f>VLOOKUP(Indicador!E685,[1]Diccionario!C$1:AC$150,27,0)</f>
        <v>https://growdatasas.sharepoint.com/:x:/r/sites/Gestiondocumental/Administrativa/GD/Financiera/_layouts/15/Doc.aspx?sourcedoc=%7BBF6E8538-B113-45FF-83F6-596104EC0C59%7D&amp;file=3.0.0.%20%20MODELO%20UNAD%20V3.0.%20(ajustado).xlsm&amp;action=default&amp;mobileredirect=true</v>
      </c>
      <c r="AH700" s="78">
        <v>1</v>
      </c>
      <c r="AI700" s="78">
        <v>1</v>
      </c>
      <c r="AJ700" s="78"/>
      <c r="AK700" s="78" t="s">
        <v>319</v>
      </c>
    </row>
    <row r="701" spans="1:37" ht="18.75" customHeight="1" x14ac:dyDescent="0.25">
      <c r="A701" s="64">
        <v>2026</v>
      </c>
      <c r="B701" s="65" t="s">
        <v>37</v>
      </c>
      <c r="C701" s="66" t="s">
        <v>389</v>
      </c>
      <c r="D701" s="67">
        <v>45979.725087650462</v>
      </c>
      <c r="E701" s="66" t="s">
        <v>390</v>
      </c>
      <c r="F701" s="66" t="s">
        <v>391</v>
      </c>
      <c r="G701" s="66" t="s">
        <v>392</v>
      </c>
      <c r="H701" s="66" t="s">
        <v>393</v>
      </c>
      <c r="I701" s="66" t="s">
        <v>43</v>
      </c>
      <c r="J701" s="66" t="s">
        <v>394</v>
      </c>
      <c r="K701" s="66" t="s">
        <v>291</v>
      </c>
      <c r="L701" s="68">
        <f>VLOOKUP(E701,[1]Diccionario!C$2:AC$150,22,0)</f>
        <v>836827348</v>
      </c>
      <c r="M701" s="69">
        <f>VLOOKUP(E701,[1]Diccionario!C$2:AC$150,24,0)</f>
        <v>45962</v>
      </c>
      <c r="N701" s="70">
        <f>VLOOKUP(E701,[1]Diccionario!C$2:AC$150,25,0)</f>
        <v>46111</v>
      </c>
      <c r="O701" s="71">
        <f>VLOOKUP(E701,[1]Diccionario!C$2:AC$150,26,0)</f>
        <v>4.97</v>
      </c>
      <c r="P701" s="71">
        <f t="shared" si="120"/>
        <v>-1.9699999999999998</v>
      </c>
      <c r="Q701" s="71">
        <v>3</v>
      </c>
      <c r="R701" s="66">
        <v>5</v>
      </c>
      <c r="S701" s="72">
        <v>0.75</v>
      </c>
      <c r="T701" s="72">
        <v>0.75</v>
      </c>
      <c r="U701" s="79">
        <f>U700+TablaIndicador[[#This Row],[Costo Mensual]]</f>
        <v>156101732.68000001</v>
      </c>
      <c r="V701" s="79">
        <v>34674292</v>
      </c>
      <c r="W701" s="73">
        <f t="shared" si="121"/>
        <v>627620511</v>
      </c>
      <c r="X701" s="73">
        <f t="shared" si="122"/>
        <v>627620511</v>
      </c>
      <c r="Y701" s="73">
        <f t="shared" si="123"/>
        <v>471518778.31999999</v>
      </c>
      <c r="Z701" s="73">
        <f t="shared" si="124"/>
        <v>0</v>
      </c>
      <c r="AA701" s="75">
        <f t="shared" si="125"/>
        <v>4.0205864484962994</v>
      </c>
      <c r="AB701" s="76" t="str">
        <f t="shared" si="126"/>
        <v>Costo eficiente: se está gastando menos de lo presupuestado</v>
      </c>
      <c r="AC701" s="76">
        <f t="shared" si="127"/>
        <v>1</v>
      </c>
      <c r="AD701" s="76" t="str">
        <f t="shared" si="128"/>
        <v>Proyecto a tiempo según lo planificado</v>
      </c>
      <c r="AE701" s="77">
        <f t="shared" si="129"/>
        <v>208135643.57333335</v>
      </c>
      <c r="AF701" s="77">
        <f t="shared" si="130"/>
        <v>-628691704.42666662</v>
      </c>
      <c r="AG701" s="78" t="str">
        <f>VLOOKUP(Indicador!E686,[1]Diccionario!C$1:AC$150,27,0)</f>
        <v>https://growdatasas.sharepoint.com/:x:/r/sites/Gestiondocumental/Administrativa/GD/Financiera/_layouts/15/Doc.aspx?sourcedoc=%7BBF6E8538-B113-45FF-83F6-596104EC0C59%7D&amp;file=3.0.0.%20%20MODELO%20UNAD%20V3.0.%20(ajustado).xlsm&amp;action=default&amp;mobileredirect=true</v>
      </c>
      <c r="AH701" s="78">
        <v>1</v>
      </c>
      <c r="AI701" s="78">
        <v>1</v>
      </c>
      <c r="AJ701" s="78"/>
      <c r="AK701" s="78" t="s">
        <v>319</v>
      </c>
    </row>
    <row r="702" spans="1:37" ht="18.75" customHeight="1" x14ac:dyDescent="0.25">
      <c r="A702" s="64">
        <v>2026</v>
      </c>
      <c r="B702" s="65" t="s">
        <v>47</v>
      </c>
      <c r="C702" s="66" t="s">
        <v>389</v>
      </c>
      <c r="D702" s="67">
        <v>45979.725087650462</v>
      </c>
      <c r="E702" s="66" t="s">
        <v>390</v>
      </c>
      <c r="F702" s="66" t="s">
        <v>391</v>
      </c>
      <c r="G702" s="66" t="s">
        <v>392</v>
      </c>
      <c r="H702" s="66" t="s">
        <v>393</v>
      </c>
      <c r="I702" s="66" t="s">
        <v>43</v>
      </c>
      <c r="J702" s="66" t="s">
        <v>394</v>
      </c>
      <c r="K702" s="66" t="s">
        <v>291</v>
      </c>
      <c r="L702" s="68">
        <f>VLOOKUP(E702,[1]Diccionario!C$2:AC$150,22,0)</f>
        <v>836827348</v>
      </c>
      <c r="M702" s="69">
        <f>VLOOKUP(E702,[1]Diccionario!C$2:AC$150,24,0)</f>
        <v>45962</v>
      </c>
      <c r="N702" s="70">
        <f>VLOOKUP(E702,[1]Diccionario!C$2:AC$150,25,0)</f>
        <v>46111</v>
      </c>
      <c r="O702" s="71">
        <f>VLOOKUP(E702,[1]Diccionario!C$2:AC$150,26,0)</f>
        <v>4.97</v>
      </c>
      <c r="P702" s="71">
        <f t="shared" si="120"/>
        <v>-0.96999999999999975</v>
      </c>
      <c r="Q702" s="71">
        <v>4</v>
      </c>
      <c r="R702" s="66">
        <v>5</v>
      </c>
      <c r="S702" s="72">
        <v>0.92</v>
      </c>
      <c r="T702" s="72">
        <v>0.8</v>
      </c>
      <c r="U702" s="79">
        <f>U701+TablaIndicador[[#This Row],[Costo Mensual]]</f>
        <v>156101732.68000001</v>
      </c>
      <c r="V702" s="79">
        <v>0</v>
      </c>
      <c r="W702" s="73">
        <f t="shared" si="121"/>
        <v>669461878.4000001</v>
      </c>
      <c r="X702" s="73">
        <f t="shared" si="122"/>
        <v>769881160.16000009</v>
      </c>
      <c r="Y702" s="73">
        <f t="shared" si="123"/>
        <v>513360145.72000009</v>
      </c>
      <c r="Z702" s="73">
        <f t="shared" si="124"/>
        <v>-100419281.75999999</v>
      </c>
      <c r="AA702" s="75">
        <f t="shared" si="125"/>
        <v>4.28862554506272</v>
      </c>
      <c r="AB702" s="76" t="str">
        <f t="shared" si="126"/>
        <v>Costo eficiente: se está gastando menos de lo presupuestado</v>
      </c>
      <c r="AC702" s="76">
        <f t="shared" si="127"/>
        <v>0.86956521739130432</v>
      </c>
      <c r="AD702" s="76" t="str">
        <f t="shared" si="128"/>
        <v>Proyecto atrasado con respecto al cronograma</v>
      </c>
      <c r="AE702" s="77">
        <f t="shared" si="129"/>
        <v>195127165.84999999</v>
      </c>
      <c r="AF702" s="77">
        <f t="shared" si="130"/>
        <v>-641700182.14999998</v>
      </c>
      <c r="AG702" s="78" t="str">
        <f>VLOOKUP(Indicador!E687,[1]Diccionario!C$1:AC$150,27,0)</f>
        <v>https://growdatasas.sharepoint.com/:x:/r/sites/Gestiondocumental/Administrativa/GD/Financiera/_layouts/15/Doc.aspx?sourcedoc=%7BBF6E8538-B113-45FF-83F6-596104EC0C59%7D&amp;file=3.0.0.%20%20MODELO%20UNAD%20V3.0.%20(ajustado).xlsm&amp;action=default&amp;mobileredirect=true</v>
      </c>
      <c r="AH702" s="78">
        <v>1</v>
      </c>
      <c r="AI702" s="78">
        <v>1</v>
      </c>
      <c r="AJ702" s="78"/>
      <c r="AK702" s="78" t="s">
        <v>319</v>
      </c>
    </row>
    <row r="703" spans="1:37" ht="18.75" customHeight="1" x14ac:dyDescent="0.25">
      <c r="A703" s="64">
        <v>2026</v>
      </c>
      <c r="B703" s="65" t="s">
        <v>48</v>
      </c>
      <c r="C703" s="66" t="s">
        <v>389</v>
      </c>
      <c r="D703" s="67">
        <v>45979.725087650462</v>
      </c>
      <c r="E703" s="66" t="s">
        <v>390</v>
      </c>
      <c r="F703" s="66" t="s">
        <v>391</v>
      </c>
      <c r="G703" s="66" t="s">
        <v>392</v>
      </c>
      <c r="H703" s="66" t="s">
        <v>393</v>
      </c>
      <c r="I703" s="66" t="s">
        <v>43</v>
      </c>
      <c r="J703" s="66" t="s">
        <v>394</v>
      </c>
      <c r="K703" s="66" t="s">
        <v>291</v>
      </c>
      <c r="L703" s="68">
        <f>VLOOKUP(E703,[1]Diccionario!C$2:AC$150,22,0)</f>
        <v>836827348</v>
      </c>
      <c r="M703" s="69">
        <f>VLOOKUP(E703,[1]Diccionario!C$2:AC$150,24,0)</f>
        <v>45962</v>
      </c>
      <c r="N703" s="70">
        <f>VLOOKUP(E703,[1]Diccionario!C$2:AC$150,25,0)</f>
        <v>46111</v>
      </c>
      <c r="O703" s="71">
        <f>VLOOKUP(E703,[1]Diccionario!C$2:AC$150,26,0)</f>
        <v>4.97</v>
      </c>
      <c r="P703" s="71">
        <f t="shared" ref="P703:P766" si="131">Q703-O703</f>
        <v>3.0000000000000249E-2</v>
      </c>
      <c r="Q703" s="71">
        <v>5</v>
      </c>
      <c r="R703" s="66">
        <v>5</v>
      </c>
      <c r="S703" s="72">
        <v>1</v>
      </c>
      <c r="T703" s="72">
        <v>0.95</v>
      </c>
      <c r="U703" s="79">
        <f>U702+TablaIndicador[[#This Row],[Costo Mensual]]</f>
        <v>175351732.68000001</v>
      </c>
      <c r="V703" s="79">
        <v>19250000</v>
      </c>
      <c r="W703" s="73">
        <f t="shared" si="121"/>
        <v>794985980.5999999</v>
      </c>
      <c r="X703" s="73">
        <f t="shared" si="122"/>
        <v>836827348</v>
      </c>
      <c r="Y703" s="73">
        <f t="shared" si="123"/>
        <v>619634247.91999984</v>
      </c>
      <c r="Z703" s="73">
        <f t="shared" si="124"/>
        <v>-41841367.400000095</v>
      </c>
      <c r="AA703" s="75">
        <f t="shared" si="125"/>
        <v>4.5336648144262854</v>
      </c>
      <c r="AB703" s="76" t="str">
        <f t="shared" si="126"/>
        <v>Costo eficiente: se está gastando menos de lo presupuestado</v>
      </c>
      <c r="AC703" s="76">
        <f t="shared" si="127"/>
        <v>0.94999999999999984</v>
      </c>
      <c r="AD703" s="76" t="str">
        <f t="shared" si="128"/>
        <v>Proyecto atrasado con respecto al cronograma</v>
      </c>
      <c r="AE703" s="77">
        <f t="shared" si="129"/>
        <v>184580771.24210531</v>
      </c>
      <c r="AF703" s="77">
        <f t="shared" si="130"/>
        <v>-652246576.75789475</v>
      </c>
      <c r="AG703" s="78" t="str">
        <f>VLOOKUP(Indicador!E688,[1]Diccionario!C$1:AC$150,27,0)</f>
        <v>https://growdatasas.sharepoint.com/:x:/r/sites/Gestiondocumental/Administrativa/GD/Financiera/_layouts/15/Doc.aspx?sourcedoc=%7BBF6E8538-B113-45FF-83F6-596104EC0C59%7D&amp;file=3.0.0.%20%20MODELO%20UNAD%20V3.0.%20(ajustado).xlsm&amp;action=default&amp;mobileredirect=true</v>
      </c>
      <c r="AH703" s="78">
        <v>1</v>
      </c>
      <c r="AI703" s="78">
        <v>1</v>
      </c>
      <c r="AJ703" s="78"/>
      <c r="AK703" s="78" t="s">
        <v>319</v>
      </c>
    </row>
    <row r="704" spans="1:37" ht="18.75" customHeight="1" x14ac:dyDescent="0.25">
      <c r="A704" s="64">
        <v>2025</v>
      </c>
      <c r="B704" s="65" t="s">
        <v>56</v>
      </c>
      <c r="C704" s="66" t="s">
        <v>395</v>
      </c>
      <c r="D704" s="67">
        <v>45979.833136423615</v>
      </c>
      <c r="E704" s="66" t="s">
        <v>396</v>
      </c>
      <c r="F704" s="66" t="s">
        <v>397</v>
      </c>
      <c r="G704" s="66" t="s">
        <v>398</v>
      </c>
      <c r="H704" s="66" t="s">
        <v>399</v>
      </c>
      <c r="I704" s="66" t="s">
        <v>43</v>
      </c>
      <c r="J704" s="66" t="s">
        <v>400</v>
      </c>
      <c r="K704" s="66" t="s">
        <v>291</v>
      </c>
      <c r="L704" s="68">
        <f>VLOOKUP(E704,[1]Diccionario!C$2:AC$150,22,0)</f>
        <v>3898829550</v>
      </c>
      <c r="M704" s="69">
        <f>VLOOKUP(E704,[1]Diccionario!C$2:AC$150,24,0)</f>
        <v>45962</v>
      </c>
      <c r="N704" s="70">
        <f>VLOOKUP(E704,[1]Diccionario!C$2:AC$150,25,0)</f>
        <v>46264</v>
      </c>
      <c r="O704" s="71">
        <f>VLOOKUP(E704,[1]Diccionario!C$2:AC$150,26,0)</f>
        <v>9.9700000000000006</v>
      </c>
      <c r="P704" s="71">
        <f t="shared" ca="1" si="131"/>
        <v>-4.9700000000000006</v>
      </c>
      <c r="Q704" s="71">
        <f t="shared" ref="Q704:Q713" ca="1" si="132">DATEDIF(M704,TODAY(),"m")</f>
        <v>5</v>
      </c>
      <c r="R704" s="66"/>
      <c r="S704" s="72">
        <v>0.1</v>
      </c>
      <c r="T704" s="72">
        <v>0.1</v>
      </c>
      <c r="U704" s="79">
        <f>TablaIndicador[[#This Row],[Costo Mensual]]</f>
        <v>21963961</v>
      </c>
      <c r="V704" s="74">
        <v>21963961</v>
      </c>
      <c r="W704" s="73">
        <f t="shared" si="121"/>
        <v>389882955</v>
      </c>
      <c r="X704" s="73">
        <f t="shared" si="122"/>
        <v>389882955</v>
      </c>
      <c r="Y704" s="73">
        <f t="shared" si="123"/>
        <v>367918994</v>
      </c>
      <c r="Z704" s="73">
        <f t="shared" si="124"/>
        <v>0</v>
      </c>
      <c r="AA704" s="75">
        <f t="shared" si="125"/>
        <v>17.751031109552599</v>
      </c>
      <c r="AB704" s="76" t="str">
        <f t="shared" si="126"/>
        <v>Costo eficiente: se está gastando menos de lo presupuestado</v>
      </c>
      <c r="AC704" s="76">
        <f t="shared" si="127"/>
        <v>1</v>
      </c>
      <c r="AD704" s="76" t="str">
        <f t="shared" si="128"/>
        <v>Proyecto a tiempo según lo planificado</v>
      </c>
      <c r="AE704" s="77">
        <f t="shared" si="129"/>
        <v>219639610</v>
      </c>
      <c r="AF704" s="77">
        <f t="shared" si="130"/>
        <v>-3679189940</v>
      </c>
      <c r="AG704" s="78" t="str">
        <f>VLOOKUP(Indicador!E674,[1]Diccionario!C$1:AC$150,27,0)</f>
        <v>https://growdatasas.sharepoint.com/:x:/r/sites/Gestiondocumental/Administrativa/GD/Financiera/_layouts/15/Doc.aspx?sourcedoc=%7BBF6E8538-B113-45FF-83F6-596104EC0C59%7D&amp;file=3.0.0.%20%20MODELO%20UNAD%20V3.0.%20(ajustado).xlsm&amp;action=default&amp;mobileredirect=true</v>
      </c>
      <c r="AH704" s="78">
        <v>1</v>
      </c>
      <c r="AI704" s="78">
        <v>1</v>
      </c>
      <c r="AJ704" s="78"/>
      <c r="AK704" s="78" t="s">
        <v>319</v>
      </c>
    </row>
    <row r="705" spans="1:37" ht="18.75" customHeight="1" x14ac:dyDescent="0.25">
      <c r="A705" s="64">
        <v>2025</v>
      </c>
      <c r="B705" s="65" t="s">
        <v>57</v>
      </c>
      <c r="C705" s="66" t="s">
        <v>395</v>
      </c>
      <c r="D705" s="67">
        <v>45979.833136423615</v>
      </c>
      <c r="E705" s="66" t="s">
        <v>396</v>
      </c>
      <c r="F705" s="66" t="s">
        <v>397</v>
      </c>
      <c r="G705" s="66" t="s">
        <v>398</v>
      </c>
      <c r="H705" s="66" t="s">
        <v>399</v>
      </c>
      <c r="I705" s="66" t="s">
        <v>43</v>
      </c>
      <c r="J705" s="66" t="s">
        <v>400</v>
      </c>
      <c r="K705" s="66" t="s">
        <v>291</v>
      </c>
      <c r="L705" s="68">
        <f>VLOOKUP(E705,[1]Diccionario!C$2:AC$150,22,0)</f>
        <v>3898829550</v>
      </c>
      <c r="M705" s="69">
        <f>VLOOKUP(E705,[1]Diccionario!C$2:AC$150,24,0)</f>
        <v>45962</v>
      </c>
      <c r="N705" s="70">
        <f>VLOOKUP(E705,[1]Diccionario!C$2:AC$150,25,0)</f>
        <v>46264</v>
      </c>
      <c r="O705" s="71">
        <f>VLOOKUP(E705,[1]Diccionario!C$2:AC$150,26,0)</f>
        <v>9.9700000000000006</v>
      </c>
      <c r="P705" s="71">
        <f t="shared" ca="1" si="131"/>
        <v>-4.9700000000000006</v>
      </c>
      <c r="Q705" s="71">
        <f t="shared" ca="1" si="132"/>
        <v>5</v>
      </c>
      <c r="R705" s="66"/>
      <c r="S705" s="72">
        <v>0.2</v>
      </c>
      <c r="T705" s="72">
        <v>0.2</v>
      </c>
      <c r="U705" s="79">
        <f>U704+TablaIndicador[[#This Row],[Costo Mensual]]</f>
        <v>403963218</v>
      </c>
      <c r="V705" s="74">
        <v>381999257</v>
      </c>
      <c r="W705" s="73">
        <f t="shared" si="121"/>
        <v>779765910</v>
      </c>
      <c r="X705" s="73">
        <f t="shared" si="122"/>
        <v>779765910</v>
      </c>
      <c r="Y705" s="73">
        <f t="shared" si="123"/>
        <v>375802692</v>
      </c>
      <c r="Z705" s="73">
        <f t="shared" si="124"/>
        <v>0</v>
      </c>
      <c r="AA705" s="75">
        <f t="shared" si="125"/>
        <v>1.9302893809505202</v>
      </c>
      <c r="AB705" s="76" t="str">
        <f t="shared" si="126"/>
        <v>Costo eficiente: se está gastando menos de lo presupuestado</v>
      </c>
      <c r="AC705" s="76">
        <f t="shared" si="127"/>
        <v>1</v>
      </c>
      <c r="AD705" s="76" t="str">
        <f t="shared" si="128"/>
        <v>Proyecto a tiempo según lo planificado</v>
      </c>
      <c r="AE705" s="77">
        <f t="shared" si="129"/>
        <v>2019816090</v>
      </c>
      <c r="AF705" s="77">
        <f t="shared" si="130"/>
        <v>-1879013460</v>
      </c>
      <c r="AG705" s="78" t="str">
        <f>VLOOKUP(Indicador!E675,[1]Diccionario!C$1:AC$150,27,0)</f>
        <v>https://growdatasas.sharepoint.com/:x:/r/sites/Gestiondocumental/Administrativa/GD/Financiera/_layouts/15/Doc.aspx?sourcedoc=%7BBF6E8538-B113-45FF-83F6-596104EC0C59%7D&amp;file=3.0.0.%20%20MODELO%20UNAD%20V3.0.%20(ajustado).xlsm&amp;action=default&amp;mobileredirect=true</v>
      </c>
      <c r="AH705" s="78">
        <v>1</v>
      </c>
      <c r="AI705" s="78">
        <v>1</v>
      </c>
      <c r="AJ705" s="78"/>
      <c r="AK705" s="78" t="s">
        <v>319</v>
      </c>
    </row>
    <row r="706" spans="1:37" ht="18.75" customHeight="1" x14ac:dyDescent="0.25">
      <c r="A706" s="64">
        <v>2026</v>
      </c>
      <c r="B706" s="65" t="s">
        <v>37</v>
      </c>
      <c r="C706" s="66" t="s">
        <v>395</v>
      </c>
      <c r="D706" s="67">
        <v>45979.833136423615</v>
      </c>
      <c r="E706" s="66" t="s">
        <v>396</v>
      </c>
      <c r="F706" s="66" t="s">
        <v>397</v>
      </c>
      <c r="G706" s="66" t="s">
        <v>398</v>
      </c>
      <c r="H706" s="66" t="s">
        <v>399</v>
      </c>
      <c r="I706" s="66" t="s">
        <v>43</v>
      </c>
      <c r="J706" s="66" t="s">
        <v>400</v>
      </c>
      <c r="K706" s="66" t="s">
        <v>291</v>
      </c>
      <c r="L706" s="68">
        <f>VLOOKUP(E706,[1]Diccionario!C$2:AC$150,22,0)</f>
        <v>3898829550</v>
      </c>
      <c r="M706" s="69">
        <f>VLOOKUP(E706,[1]Diccionario!C$2:AC$150,24,0)</f>
        <v>45962</v>
      </c>
      <c r="N706" s="70">
        <f>VLOOKUP(E706,[1]Diccionario!C$2:AC$150,25,0)</f>
        <v>46264</v>
      </c>
      <c r="O706" s="71">
        <f>VLOOKUP(E706,[1]Diccionario!C$2:AC$150,26,0)</f>
        <v>9.9700000000000006</v>
      </c>
      <c r="P706" s="71">
        <f t="shared" ca="1" si="131"/>
        <v>-4.9700000000000006</v>
      </c>
      <c r="Q706" s="71">
        <f t="shared" ca="1" si="132"/>
        <v>5</v>
      </c>
      <c r="R706" s="66"/>
      <c r="S706" s="72">
        <v>0.3</v>
      </c>
      <c r="T706" s="72">
        <v>0.3</v>
      </c>
      <c r="U706" s="79">
        <f>U705+TablaIndicador[[#This Row],[Costo Mensual]]</f>
        <v>510319884</v>
      </c>
      <c r="V706" s="74">
        <v>106356666</v>
      </c>
      <c r="W706" s="73">
        <f t="shared" ref="W706:W769" si="133">IFERROR(T706*L706,0)</f>
        <v>1169648865</v>
      </c>
      <c r="X706" s="73">
        <f t="shared" ref="X706:X769" si="134">S706*L706</f>
        <v>1169648865</v>
      </c>
      <c r="Y706" s="73">
        <f t="shared" ref="Y706:Y769" si="135">IFERROR(W706-U706,0)</f>
        <v>659328981</v>
      </c>
      <c r="Z706" s="73">
        <f t="shared" ref="Z706:Z769" si="136">W706-X706</f>
        <v>0</v>
      </c>
      <c r="AA706" s="75">
        <f t="shared" ref="AA706:AA769" si="137">IFERROR(W706/U706,"No se realizó gasto en este corte")</f>
        <v>2.2919915560256712</v>
      </c>
      <c r="AB706" s="76" t="str">
        <f t="shared" ref="AB706:AB769" si="138">IFERROR(
  IF(OR(AA706="",AA706=0),
    "No calculado",
    IF(AA706&gt;1,"Costo eficiente: se está gastando menos de lo presupuestado",
      IF(AA706=1,"Costo según lo presupuestado",
        "Costo ineficiente: se está gastando más de lo presupuestado"))),
"No calculado")</f>
        <v>Costo eficiente: se está gastando menos de lo presupuestado</v>
      </c>
      <c r="AC706" s="76">
        <f t="shared" ref="AC706:AC769" si="139">IFERROR(W706/X706,0)</f>
        <v>1</v>
      </c>
      <c r="AD706" s="76" t="str">
        <f t="shared" ref="AD706:AD769" si="140">IF(OR(AC706="",AC706=0),"Sin Línea Base",
IF(AC706&gt;1,"Proyecto adelantado respecto al cronograma",
IF(AC706=1,"Proyecto a tiempo según lo planificado",
IF(AC706&lt;1,"Proyecto atrasado con respecto al cronograma",
"No calculado"))))</f>
        <v>Proyecto a tiempo según lo planificado</v>
      </c>
      <c r="AE706" s="77">
        <f t="shared" ref="AE706:AE769" si="141">IFERROR(L706/AA706,0)</f>
        <v>1701066280</v>
      </c>
      <c r="AF706" s="77">
        <f t="shared" ref="AF706:AF769" si="142">IFERROR(AE706-L706,0)</f>
        <v>-2197763270</v>
      </c>
      <c r="AG706" s="78" t="str">
        <f>VLOOKUP(Indicador!E676,[1]Diccionario!C$1:AC$150,27,0)</f>
        <v>https://growdatasas.sharepoint.com/:x:/r/sites/Gestiondocumental/Administrativa/GD/Financiera/_layouts/15/Doc.aspx?sourcedoc=%7BBF6E8538-B113-45FF-83F6-596104EC0C59%7D&amp;file=3.0.0.%20%20MODELO%20UNAD%20V3.0.%20(ajustado).xlsm&amp;action=default&amp;mobileredirect=true</v>
      </c>
      <c r="AH706" s="78">
        <v>1</v>
      </c>
      <c r="AI706" s="78">
        <v>1</v>
      </c>
      <c r="AJ706" s="78"/>
      <c r="AK706" s="78" t="s">
        <v>319</v>
      </c>
    </row>
    <row r="707" spans="1:37" ht="18.75" customHeight="1" x14ac:dyDescent="0.25">
      <c r="A707" s="64">
        <v>2026</v>
      </c>
      <c r="B707" s="65" t="s">
        <v>47</v>
      </c>
      <c r="C707" s="66" t="s">
        <v>395</v>
      </c>
      <c r="D707" s="67">
        <v>45979.833136423615</v>
      </c>
      <c r="E707" s="66" t="s">
        <v>396</v>
      </c>
      <c r="F707" s="66" t="s">
        <v>397</v>
      </c>
      <c r="G707" s="66" t="s">
        <v>398</v>
      </c>
      <c r="H707" s="66" t="s">
        <v>399</v>
      </c>
      <c r="I707" s="66" t="s">
        <v>43</v>
      </c>
      <c r="J707" s="66" t="s">
        <v>400</v>
      </c>
      <c r="K707" s="66" t="s">
        <v>291</v>
      </c>
      <c r="L707" s="68">
        <f>VLOOKUP(E707,[1]Diccionario!C$2:AC$150,22,0)</f>
        <v>3898829550</v>
      </c>
      <c r="M707" s="69">
        <f>VLOOKUP(E707,[1]Diccionario!C$2:AC$150,24,0)</f>
        <v>45962</v>
      </c>
      <c r="N707" s="70">
        <f>VLOOKUP(E707,[1]Diccionario!C$2:AC$150,25,0)</f>
        <v>46264</v>
      </c>
      <c r="O707" s="71">
        <f>VLOOKUP(E707,[1]Diccionario!C$2:AC$150,26,0)</f>
        <v>9.9700000000000006</v>
      </c>
      <c r="P707" s="71">
        <f t="shared" ca="1" si="131"/>
        <v>-4.9700000000000006</v>
      </c>
      <c r="Q707" s="71">
        <f t="shared" ca="1" si="132"/>
        <v>5</v>
      </c>
      <c r="R707" s="66"/>
      <c r="S707" s="72">
        <v>0.4</v>
      </c>
      <c r="T707" s="72">
        <v>0.4</v>
      </c>
      <c r="U707" s="79">
        <f>U706+TablaIndicador[[#This Row],[Costo Mensual]]</f>
        <v>954109884</v>
      </c>
      <c r="V707" s="74">
        <v>443790000</v>
      </c>
      <c r="W707" s="73">
        <f t="shared" si="133"/>
        <v>1559531820</v>
      </c>
      <c r="X707" s="73">
        <f t="shared" si="134"/>
        <v>1559531820</v>
      </c>
      <c r="Y707" s="73">
        <f t="shared" si="135"/>
        <v>605421936</v>
      </c>
      <c r="Z707" s="73">
        <f t="shared" si="136"/>
        <v>0</v>
      </c>
      <c r="AA707" s="75">
        <f t="shared" si="137"/>
        <v>1.6345411007187511</v>
      </c>
      <c r="AB707" s="76" t="str">
        <f t="shared" si="138"/>
        <v>Costo eficiente: se está gastando menos de lo presupuestado</v>
      </c>
      <c r="AC707" s="76">
        <f t="shared" si="139"/>
        <v>1</v>
      </c>
      <c r="AD707" s="76" t="str">
        <f t="shared" si="140"/>
        <v>Proyecto a tiempo según lo planificado</v>
      </c>
      <c r="AE707" s="77">
        <f t="shared" si="141"/>
        <v>2385274710</v>
      </c>
      <c r="AF707" s="77">
        <f t="shared" si="142"/>
        <v>-1513554840</v>
      </c>
      <c r="AG707" s="78" t="str">
        <f>VLOOKUP(Indicador!E677,[1]Diccionario!C$1:AC$150,27,0)</f>
        <v>https://growdatasas.sharepoint.com/:x:/r/sites/Gestiondocumental/Administrativa/GD/Financiera/_layouts/15/Doc.aspx?sourcedoc=%7BBF6E8538-B113-45FF-83F6-596104EC0C59%7D&amp;file=3.0.0.%20%20MODELO%20UNAD%20V3.0.%20(ajustado).xlsm&amp;action=default&amp;mobileredirect=true</v>
      </c>
      <c r="AH707" s="78">
        <v>1</v>
      </c>
      <c r="AI707" s="78">
        <v>1</v>
      </c>
      <c r="AJ707" s="78"/>
      <c r="AK707" s="78" t="s">
        <v>319</v>
      </c>
    </row>
    <row r="708" spans="1:37" ht="18.75" customHeight="1" x14ac:dyDescent="0.25">
      <c r="A708" s="64">
        <v>2026</v>
      </c>
      <c r="B708" s="65" t="s">
        <v>48</v>
      </c>
      <c r="C708" s="66" t="s">
        <v>395</v>
      </c>
      <c r="D708" s="67">
        <v>45979.833136423615</v>
      </c>
      <c r="E708" s="66" t="s">
        <v>396</v>
      </c>
      <c r="F708" s="66" t="s">
        <v>397</v>
      </c>
      <c r="G708" s="66" t="s">
        <v>398</v>
      </c>
      <c r="H708" s="66" t="s">
        <v>399</v>
      </c>
      <c r="I708" s="66" t="s">
        <v>43</v>
      </c>
      <c r="J708" s="66" t="s">
        <v>400</v>
      </c>
      <c r="K708" s="66" t="s">
        <v>291</v>
      </c>
      <c r="L708" s="68">
        <f>VLOOKUP(E708,[1]Diccionario!C$2:AC$150,22,0)</f>
        <v>3898829550</v>
      </c>
      <c r="M708" s="69">
        <f>VLOOKUP(E708,[1]Diccionario!C$2:AC$150,24,0)</f>
        <v>45962</v>
      </c>
      <c r="N708" s="70">
        <f>VLOOKUP(E708,[1]Diccionario!C$2:AC$150,25,0)</f>
        <v>46264</v>
      </c>
      <c r="O708" s="71">
        <f>VLOOKUP(E708,[1]Diccionario!C$2:AC$150,26,0)</f>
        <v>9.9700000000000006</v>
      </c>
      <c r="P708" s="71">
        <f t="shared" ca="1" si="131"/>
        <v>-4.9700000000000006</v>
      </c>
      <c r="Q708" s="71">
        <f t="shared" ca="1" si="132"/>
        <v>5</v>
      </c>
      <c r="R708" s="66"/>
      <c r="S708" s="72">
        <v>0.5</v>
      </c>
      <c r="T708" s="72"/>
      <c r="U708" s="79">
        <f>U707+TablaIndicador[[#This Row],[Costo Mensual]]</f>
        <v>954109884</v>
      </c>
      <c r="V708" s="73"/>
      <c r="W708" s="73">
        <f t="shared" si="133"/>
        <v>0</v>
      </c>
      <c r="X708" s="73">
        <f t="shared" si="134"/>
        <v>1949414775</v>
      </c>
      <c r="Y708" s="73">
        <f t="shared" si="135"/>
        <v>-954109884</v>
      </c>
      <c r="Z708" s="73">
        <f t="shared" si="136"/>
        <v>-1949414775</v>
      </c>
      <c r="AA708" s="75">
        <f t="shared" si="137"/>
        <v>0</v>
      </c>
      <c r="AB708" s="76" t="str">
        <f t="shared" si="138"/>
        <v>No calculado</v>
      </c>
      <c r="AC708" s="76">
        <f t="shared" si="139"/>
        <v>0</v>
      </c>
      <c r="AD708" s="76" t="str">
        <f t="shared" si="140"/>
        <v>Sin Línea Base</v>
      </c>
      <c r="AE708" s="77">
        <f t="shared" si="141"/>
        <v>0</v>
      </c>
      <c r="AF708" s="77">
        <f t="shared" si="142"/>
        <v>-3898829550</v>
      </c>
      <c r="AG708" s="78" t="str">
        <f>VLOOKUP(Indicador!E678,[1]Diccionario!C$1:AC$150,27,0)</f>
        <v>https://growdatasas.sharepoint.com/:x:/r/sites/Gestiondocumental/Administrativa/GD/Financiera/_layouts/15/Doc.aspx?sourcedoc=%7BBF6E8538-B113-45FF-83F6-596104EC0C59%7D&amp;file=3.0.0.%20%20MODELO%20UNAD%20V3.0.%20(ajustado).xlsm&amp;action=default&amp;mobileredirect=true</v>
      </c>
      <c r="AH708" s="78">
        <v>1</v>
      </c>
      <c r="AI708" s="78">
        <v>1</v>
      </c>
      <c r="AJ708" s="78"/>
      <c r="AK708" s="78" t="s">
        <v>319</v>
      </c>
    </row>
    <row r="709" spans="1:37" ht="18.75" customHeight="1" x14ac:dyDescent="0.25">
      <c r="A709" s="64">
        <v>2026</v>
      </c>
      <c r="B709" s="65" t="s">
        <v>49</v>
      </c>
      <c r="C709" s="66" t="s">
        <v>395</v>
      </c>
      <c r="D709" s="67">
        <v>45979.833136423615</v>
      </c>
      <c r="E709" s="66" t="s">
        <v>396</v>
      </c>
      <c r="F709" s="66" t="s">
        <v>397</v>
      </c>
      <c r="G709" s="66" t="s">
        <v>398</v>
      </c>
      <c r="H709" s="66" t="s">
        <v>399</v>
      </c>
      <c r="I709" s="66" t="s">
        <v>43</v>
      </c>
      <c r="J709" s="66" t="s">
        <v>400</v>
      </c>
      <c r="K709" s="66" t="s">
        <v>291</v>
      </c>
      <c r="L709" s="68">
        <f>VLOOKUP(E709,[1]Diccionario!C$2:AC$150,22,0)</f>
        <v>3898829550</v>
      </c>
      <c r="M709" s="69">
        <f>VLOOKUP(E709,[1]Diccionario!C$2:AC$150,24,0)</f>
        <v>45962</v>
      </c>
      <c r="N709" s="70">
        <f>VLOOKUP(E709,[1]Diccionario!C$2:AC$150,25,0)</f>
        <v>46264</v>
      </c>
      <c r="O709" s="71">
        <f>VLOOKUP(E709,[1]Diccionario!C$2:AC$150,26,0)</f>
        <v>9.9700000000000006</v>
      </c>
      <c r="P709" s="71">
        <f t="shared" ca="1" si="131"/>
        <v>-4.9700000000000006</v>
      </c>
      <c r="Q709" s="71">
        <f t="shared" ca="1" si="132"/>
        <v>5</v>
      </c>
      <c r="R709" s="66"/>
      <c r="S709" s="72">
        <v>0.6</v>
      </c>
      <c r="T709" s="72"/>
      <c r="U709" s="79">
        <f>U708+TablaIndicador[[#This Row],[Costo Mensual]]</f>
        <v>954109884</v>
      </c>
      <c r="V709" s="73"/>
      <c r="W709" s="73">
        <f t="shared" si="133"/>
        <v>0</v>
      </c>
      <c r="X709" s="73">
        <f t="shared" si="134"/>
        <v>2339297730</v>
      </c>
      <c r="Y709" s="73">
        <f t="shared" si="135"/>
        <v>-954109884</v>
      </c>
      <c r="Z709" s="73">
        <f t="shared" si="136"/>
        <v>-2339297730</v>
      </c>
      <c r="AA709" s="75">
        <f t="shared" si="137"/>
        <v>0</v>
      </c>
      <c r="AB709" s="76" t="str">
        <f t="shared" si="138"/>
        <v>No calculado</v>
      </c>
      <c r="AC709" s="76">
        <f t="shared" si="139"/>
        <v>0</v>
      </c>
      <c r="AD709" s="76" t="str">
        <f t="shared" si="140"/>
        <v>Sin Línea Base</v>
      </c>
      <c r="AE709" s="77">
        <f t="shared" si="141"/>
        <v>0</v>
      </c>
      <c r="AF709" s="77">
        <f t="shared" si="142"/>
        <v>-3898829550</v>
      </c>
      <c r="AG709" s="78" t="str">
        <f>VLOOKUP(Indicador!E679,[1]Diccionario!C$1:AC$150,27,0)</f>
        <v>https://growdatasas.sharepoint.com/:x:/r/sites/Gestiondocumental/Administrativa/GD/Financiera/_layouts/15/Doc.aspx?sourcedoc=%7BBF6E8538-B113-45FF-83F6-596104EC0C59%7D&amp;file=3.0.0.%20%20MODELO%20UNAD%20V3.0.%20(ajustado).xlsm&amp;action=default&amp;mobileredirect=true</v>
      </c>
      <c r="AH709" s="78">
        <v>1</v>
      </c>
      <c r="AI709" s="78">
        <v>1</v>
      </c>
      <c r="AJ709" s="78"/>
      <c r="AK709" s="78" t="s">
        <v>319</v>
      </c>
    </row>
    <row r="710" spans="1:37" ht="18.75" customHeight="1" x14ac:dyDescent="0.25">
      <c r="A710" s="64">
        <v>2026</v>
      </c>
      <c r="B710" s="65" t="s">
        <v>50</v>
      </c>
      <c r="C710" s="66" t="s">
        <v>395</v>
      </c>
      <c r="D710" s="67">
        <v>45979.833136423615</v>
      </c>
      <c r="E710" s="66" t="s">
        <v>396</v>
      </c>
      <c r="F710" s="66" t="s">
        <v>397</v>
      </c>
      <c r="G710" s="66" t="s">
        <v>398</v>
      </c>
      <c r="H710" s="66" t="s">
        <v>399</v>
      </c>
      <c r="I710" s="66" t="s">
        <v>43</v>
      </c>
      <c r="J710" s="66" t="s">
        <v>400</v>
      </c>
      <c r="K710" s="66" t="s">
        <v>291</v>
      </c>
      <c r="L710" s="68">
        <f>VLOOKUP(E710,[1]Diccionario!C$2:AC$150,22,0)</f>
        <v>3898829550</v>
      </c>
      <c r="M710" s="69">
        <f>VLOOKUP(E710,[1]Diccionario!C$2:AC$150,24,0)</f>
        <v>45962</v>
      </c>
      <c r="N710" s="70">
        <f>VLOOKUP(E710,[1]Diccionario!C$2:AC$150,25,0)</f>
        <v>46264</v>
      </c>
      <c r="O710" s="71">
        <f>VLOOKUP(E710,[1]Diccionario!C$2:AC$150,26,0)</f>
        <v>9.9700000000000006</v>
      </c>
      <c r="P710" s="71">
        <f t="shared" ca="1" si="131"/>
        <v>-4.9700000000000006</v>
      </c>
      <c r="Q710" s="71">
        <f t="shared" ca="1" si="132"/>
        <v>5</v>
      </c>
      <c r="R710" s="66"/>
      <c r="S710" s="72">
        <v>0.7</v>
      </c>
      <c r="T710" s="72"/>
      <c r="U710" s="79">
        <f>U709+TablaIndicador[[#This Row],[Costo Mensual]]</f>
        <v>954109884</v>
      </c>
      <c r="V710" s="73"/>
      <c r="W710" s="73">
        <f t="shared" si="133"/>
        <v>0</v>
      </c>
      <c r="X710" s="73">
        <f t="shared" si="134"/>
        <v>2729180685</v>
      </c>
      <c r="Y710" s="73">
        <f t="shared" si="135"/>
        <v>-954109884</v>
      </c>
      <c r="Z710" s="73">
        <f t="shared" si="136"/>
        <v>-2729180685</v>
      </c>
      <c r="AA710" s="75">
        <f t="shared" si="137"/>
        <v>0</v>
      </c>
      <c r="AB710" s="76" t="str">
        <f t="shared" si="138"/>
        <v>No calculado</v>
      </c>
      <c r="AC710" s="76">
        <f t="shared" si="139"/>
        <v>0</v>
      </c>
      <c r="AD710" s="76" t="str">
        <f t="shared" si="140"/>
        <v>Sin Línea Base</v>
      </c>
      <c r="AE710" s="77">
        <f t="shared" si="141"/>
        <v>0</v>
      </c>
      <c r="AF710" s="77">
        <f t="shared" si="142"/>
        <v>-3898829550</v>
      </c>
      <c r="AG710" s="78" t="str">
        <f>VLOOKUP(Indicador!E680,[1]Diccionario!C$1:AC$150,27,0)</f>
        <v>https://growdatasas.sharepoint.com/:x:/r/sites/Gestiondocumental/Administrativa/GD/Financiera/_layouts/15/Doc.aspx?sourcedoc=%7BBF6E8538-B113-45FF-83F6-596104EC0C59%7D&amp;file=3.0.0.%20%20MODELO%20UNAD%20V3.0.%20(ajustado).xlsm&amp;action=default&amp;mobileredirect=true</v>
      </c>
      <c r="AH710" s="78">
        <v>1</v>
      </c>
      <c r="AI710" s="78">
        <v>1</v>
      </c>
      <c r="AJ710" s="78"/>
      <c r="AK710" s="78" t="s">
        <v>319</v>
      </c>
    </row>
    <row r="711" spans="1:37" ht="18.75" customHeight="1" x14ac:dyDescent="0.25">
      <c r="A711" s="64">
        <v>2026</v>
      </c>
      <c r="B711" s="65" t="s">
        <v>51</v>
      </c>
      <c r="C711" s="66" t="s">
        <v>395</v>
      </c>
      <c r="D711" s="67">
        <v>45979.833136423615</v>
      </c>
      <c r="E711" s="66" t="s">
        <v>396</v>
      </c>
      <c r="F711" s="66" t="s">
        <v>397</v>
      </c>
      <c r="G711" s="66" t="s">
        <v>398</v>
      </c>
      <c r="H711" s="66" t="s">
        <v>399</v>
      </c>
      <c r="I711" s="66" t="s">
        <v>43</v>
      </c>
      <c r="J711" s="66" t="s">
        <v>400</v>
      </c>
      <c r="K711" s="66" t="s">
        <v>291</v>
      </c>
      <c r="L711" s="68">
        <f>VLOOKUP(E711,[1]Diccionario!C$2:AC$150,22,0)</f>
        <v>3898829550</v>
      </c>
      <c r="M711" s="69">
        <f>VLOOKUP(E711,[1]Diccionario!C$2:AC$150,24,0)</f>
        <v>45962</v>
      </c>
      <c r="N711" s="70">
        <f>VLOOKUP(E711,[1]Diccionario!C$2:AC$150,25,0)</f>
        <v>46264</v>
      </c>
      <c r="O711" s="71">
        <f>VLOOKUP(E711,[1]Diccionario!C$2:AC$150,26,0)</f>
        <v>9.9700000000000006</v>
      </c>
      <c r="P711" s="71">
        <f t="shared" ca="1" si="131"/>
        <v>-4.9700000000000006</v>
      </c>
      <c r="Q711" s="71">
        <f t="shared" ca="1" si="132"/>
        <v>5</v>
      </c>
      <c r="R711" s="66"/>
      <c r="S711" s="72">
        <v>0.8</v>
      </c>
      <c r="T711" s="72"/>
      <c r="U711" s="79">
        <f>U710+TablaIndicador[[#This Row],[Costo Mensual]]</f>
        <v>954109884</v>
      </c>
      <c r="V711" s="73"/>
      <c r="W711" s="73">
        <f t="shared" si="133"/>
        <v>0</v>
      </c>
      <c r="X711" s="73">
        <f t="shared" si="134"/>
        <v>3119063640</v>
      </c>
      <c r="Y711" s="73">
        <f t="shared" si="135"/>
        <v>-954109884</v>
      </c>
      <c r="Z711" s="73">
        <f t="shared" si="136"/>
        <v>-3119063640</v>
      </c>
      <c r="AA711" s="75">
        <f t="shared" si="137"/>
        <v>0</v>
      </c>
      <c r="AB711" s="76" t="str">
        <f t="shared" si="138"/>
        <v>No calculado</v>
      </c>
      <c r="AC711" s="76">
        <f t="shared" si="139"/>
        <v>0</v>
      </c>
      <c r="AD711" s="76" t="str">
        <f t="shared" si="140"/>
        <v>Sin Línea Base</v>
      </c>
      <c r="AE711" s="77">
        <f t="shared" si="141"/>
        <v>0</v>
      </c>
      <c r="AF711" s="77">
        <f t="shared" si="142"/>
        <v>-3898829550</v>
      </c>
      <c r="AG711" s="78" t="str">
        <f>VLOOKUP(Indicador!E681,[1]Diccionario!C$1:AC$150,27,0)</f>
        <v>https://growdatasas.sharepoint.com/:x:/r/sites/Gestiondocumental/Administrativa/GD/Financiera/_layouts/15/Doc.aspx?sourcedoc=%7BBF6E8538-B113-45FF-83F6-596104EC0C59%7D&amp;file=3.0.0.%20%20MODELO%20UNAD%20V3.0.%20(ajustado).xlsm&amp;action=default&amp;mobileredirect=true</v>
      </c>
      <c r="AH711" s="78">
        <v>1</v>
      </c>
      <c r="AI711" s="78">
        <v>1</v>
      </c>
      <c r="AJ711" s="78"/>
      <c r="AK711" s="78" t="s">
        <v>319</v>
      </c>
    </row>
    <row r="712" spans="1:37" ht="18.75" customHeight="1" x14ac:dyDescent="0.25">
      <c r="A712" s="64">
        <v>2026</v>
      </c>
      <c r="B712" s="65" t="s">
        <v>52</v>
      </c>
      <c r="C712" s="66" t="s">
        <v>395</v>
      </c>
      <c r="D712" s="67">
        <v>45979.833136423615</v>
      </c>
      <c r="E712" s="66" t="s">
        <v>396</v>
      </c>
      <c r="F712" s="66" t="s">
        <v>397</v>
      </c>
      <c r="G712" s="66" t="s">
        <v>398</v>
      </c>
      <c r="H712" s="66" t="s">
        <v>399</v>
      </c>
      <c r="I712" s="66" t="s">
        <v>43</v>
      </c>
      <c r="J712" s="66" t="s">
        <v>400</v>
      </c>
      <c r="K712" s="66" t="s">
        <v>291</v>
      </c>
      <c r="L712" s="68">
        <f>VLOOKUP(E712,[1]Diccionario!C$2:AC$150,22,0)</f>
        <v>3898829550</v>
      </c>
      <c r="M712" s="69">
        <f>VLOOKUP(E712,[1]Diccionario!C$2:AC$150,24,0)</f>
        <v>45962</v>
      </c>
      <c r="N712" s="70">
        <f>VLOOKUP(E712,[1]Diccionario!C$2:AC$150,25,0)</f>
        <v>46264</v>
      </c>
      <c r="O712" s="71">
        <f>VLOOKUP(E712,[1]Diccionario!C$2:AC$150,26,0)</f>
        <v>9.9700000000000006</v>
      </c>
      <c r="P712" s="71">
        <f t="shared" ca="1" si="131"/>
        <v>-4.9700000000000006</v>
      </c>
      <c r="Q712" s="71">
        <f t="shared" ca="1" si="132"/>
        <v>5</v>
      </c>
      <c r="R712" s="66"/>
      <c r="S712" s="72">
        <v>0.9</v>
      </c>
      <c r="T712" s="72"/>
      <c r="U712" s="79">
        <f>U711+TablaIndicador[[#This Row],[Costo Mensual]]</f>
        <v>954109884</v>
      </c>
      <c r="V712" s="73"/>
      <c r="W712" s="73">
        <f t="shared" si="133"/>
        <v>0</v>
      </c>
      <c r="X712" s="73">
        <f t="shared" si="134"/>
        <v>3508946595</v>
      </c>
      <c r="Y712" s="73">
        <f t="shared" si="135"/>
        <v>-954109884</v>
      </c>
      <c r="Z712" s="73">
        <f t="shared" si="136"/>
        <v>-3508946595</v>
      </c>
      <c r="AA712" s="75">
        <f t="shared" si="137"/>
        <v>0</v>
      </c>
      <c r="AB712" s="76" t="str">
        <f t="shared" si="138"/>
        <v>No calculado</v>
      </c>
      <c r="AC712" s="76">
        <f t="shared" si="139"/>
        <v>0</v>
      </c>
      <c r="AD712" s="76" t="str">
        <f t="shared" si="140"/>
        <v>Sin Línea Base</v>
      </c>
      <c r="AE712" s="77">
        <f t="shared" si="141"/>
        <v>0</v>
      </c>
      <c r="AF712" s="77">
        <f t="shared" si="142"/>
        <v>-3898829550</v>
      </c>
      <c r="AG712" s="78" t="str">
        <f>VLOOKUP(Indicador!E682,[1]Diccionario!C$1:AC$150,27,0)</f>
        <v>https://growdatasas.sharepoint.com/:x:/r/sites/Gestiondocumental/Administrativa/GD/Financiera/_layouts/15/Doc.aspx?sourcedoc=%7BBF6E8538-B113-45FF-83F6-596104EC0C59%7D&amp;file=3.0.0.%20%20MODELO%20UNAD%20V3.0.%20(ajustado).xlsm&amp;action=default&amp;mobileredirect=true</v>
      </c>
      <c r="AH712" s="78">
        <v>1</v>
      </c>
      <c r="AI712" s="78">
        <v>1</v>
      </c>
      <c r="AJ712" s="78"/>
      <c r="AK712" s="78" t="s">
        <v>319</v>
      </c>
    </row>
    <row r="713" spans="1:37" ht="18.75" customHeight="1" x14ac:dyDescent="0.25">
      <c r="A713" s="64">
        <v>2026</v>
      </c>
      <c r="B713" s="65" t="s">
        <v>53</v>
      </c>
      <c r="C713" s="66" t="s">
        <v>395</v>
      </c>
      <c r="D713" s="67">
        <v>45979.833136423615</v>
      </c>
      <c r="E713" s="66" t="s">
        <v>396</v>
      </c>
      <c r="F713" s="66" t="s">
        <v>397</v>
      </c>
      <c r="G713" s="66" t="s">
        <v>398</v>
      </c>
      <c r="H713" s="66" t="s">
        <v>399</v>
      </c>
      <c r="I713" s="66" t="s">
        <v>43</v>
      </c>
      <c r="J713" s="66" t="s">
        <v>400</v>
      </c>
      <c r="K713" s="66" t="s">
        <v>291</v>
      </c>
      <c r="L713" s="68">
        <f>VLOOKUP(E713,[1]Diccionario!C$2:AC$150,22,0)</f>
        <v>3898829550</v>
      </c>
      <c r="M713" s="69">
        <f>VLOOKUP(E713,[1]Diccionario!C$2:AC$150,24,0)</f>
        <v>45962</v>
      </c>
      <c r="N713" s="70">
        <f>VLOOKUP(E713,[1]Diccionario!C$2:AC$150,25,0)</f>
        <v>46264</v>
      </c>
      <c r="O713" s="71">
        <f>VLOOKUP(E713,[1]Diccionario!C$2:AC$150,26,0)</f>
        <v>9.9700000000000006</v>
      </c>
      <c r="P713" s="71">
        <f t="shared" ca="1" si="131"/>
        <v>-4.9700000000000006</v>
      </c>
      <c r="Q713" s="71">
        <f t="shared" ca="1" si="132"/>
        <v>5</v>
      </c>
      <c r="R713" s="66"/>
      <c r="S713" s="72">
        <v>1</v>
      </c>
      <c r="T713" s="72"/>
      <c r="U713" s="79">
        <f>U712+TablaIndicador[[#This Row],[Costo Mensual]]</f>
        <v>954109884</v>
      </c>
      <c r="V713" s="73"/>
      <c r="W713" s="73">
        <f t="shared" si="133"/>
        <v>0</v>
      </c>
      <c r="X713" s="73">
        <f t="shared" si="134"/>
        <v>3898829550</v>
      </c>
      <c r="Y713" s="73">
        <f t="shared" si="135"/>
        <v>-954109884</v>
      </c>
      <c r="Z713" s="73">
        <f t="shared" si="136"/>
        <v>-3898829550</v>
      </c>
      <c r="AA713" s="75">
        <f t="shared" si="137"/>
        <v>0</v>
      </c>
      <c r="AB713" s="76" t="str">
        <f t="shared" si="138"/>
        <v>No calculado</v>
      </c>
      <c r="AC713" s="76">
        <f t="shared" si="139"/>
        <v>0</v>
      </c>
      <c r="AD713" s="76" t="str">
        <f t="shared" si="140"/>
        <v>Sin Línea Base</v>
      </c>
      <c r="AE713" s="77">
        <f t="shared" si="141"/>
        <v>0</v>
      </c>
      <c r="AF713" s="77">
        <f t="shared" si="142"/>
        <v>-3898829550</v>
      </c>
      <c r="AG713" s="78" t="str">
        <f>VLOOKUP(Indicador!E683,[1]Diccionario!C$1:AC$150,27,0)</f>
        <v>https://growdatasas.sharepoint.com/:x:/r/sites/Gestiondocumental/Administrativa/GD/Financiera/_layouts/15/Doc.aspx?sourcedoc=%7BBF6E8538-B113-45FF-83F6-596104EC0C59%7D&amp;file=3.0.0.%20%20MODELO%20UNAD%20V3.0.%20(ajustado).xlsm&amp;action=default&amp;mobileredirect=true</v>
      </c>
      <c r="AH713" s="78">
        <v>1</v>
      </c>
      <c r="AI713" s="78">
        <v>1</v>
      </c>
      <c r="AJ713" s="78"/>
      <c r="AK713" s="78" t="s">
        <v>319</v>
      </c>
    </row>
    <row r="714" spans="1:37" ht="18.75" customHeight="1" x14ac:dyDescent="0.25">
      <c r="A714" s="64">
        <v>2025</v>
      </c>
      <c r="B714" s="65" t="s">
        <v>55</v>
      </c>
      <c r="C714" s="66" t="s">
        <v>401</v>
      </c>
      <c r="D714" s="67">
        <v>45979.850120914351</v>
      </c>
      <c r="E714" s="66" t="s">
        <v>402</v>
      </c>
      <c r="F714" s="66" t="s">
        <v>397</v>
      </c>
      <c r="G714" s="66" t="s">
        <v>403</v>
      </c>
      <c r="H714" s="66" t="s">
        <v>404</v>
      </c>
      <c r="I714" s="66" t="s">
        <v>43</v>
      </c>
      <c r="J714" s="66" t="s">
        <v>405</v>
      </c>
      <c r="K714" s="66" t="s">
        <v>291</v>
      </c>
      <c r="L714" s="68">
        <f>VLOOKUP(E714,[1]Diccionario!C$2:AC$150,22,0)</f>
        <v>4749361914</v>
      </c>
      <c r="M714" s="69">
        <f>VLOOKUP(E714,[1]Diccionario!C$2:AC$150,24,0)</f>
        <v>45976</v>
      </c>
      <c r="N714" s="70">
        <f>VLOOKUP(E714,[1]Diccionario!C$2:AC$150,25,0)</f>
        <v>46142</v>
      </c>
      <c r="O714" s="71">
        <f>VLOOKUP(E714,[1]Diccionario!C$2:AC$150,26,0)</f>
        <v>5.5</v>
      </c>
      <c r="P714" s="71">
        <f t="shared" si="131"/>
        <v>-4.5</v>
      </c>
      <c r="Q714" s="71">
        <v>1</v>
      </c>
      <c r="R714" s="66">
        <v>6</v>
      </c>
      <c r="S714" s="72">
        <v>0.01</v>
      </c>
      <c r="T714" s="72">
        <v>0.01</v>
      </c>
      <c r="U714" s="73">
        <f>TablaIndicador[[#This Row],[Costo Mensual]]</f>
        <v>0</v>
      </c>
      <c r="V714" s="73">
        <v>0</v>
      </c>
      <c r="W714" s="73">
        <f t="shared" si="133"/>
        <v>47493619.140000001</v>
      </c>
      <c r="X714" s="73">
        <f t="shared" si="134"/>
        <v>47493619.140000001</v>
      </c>
      <c r="Y714" s="73">
        <f t="shared" si="135"/>
        <v>47493619.140000001</v>
      </c>
      <c r="Z714" s="73">
        <f t="shared" si="136"/>
        <v>0</v>
      </c>
      <c r="AA714" s="75" t="str">
        <f t="shared" si="137"/>
        <v>No se realizó gasto en este corte</v>
      </c>
      <c r="AB714" s="76" t="str">
        <f t="shared" si="138"/>
        <v>Costo eficiente: se está gastando menos de lo presupuestado</v>
      </c>
      <c r="AC714" s="76">
        <f t="shared" si="139"/>
        <v>1</v>
      </c>
      <c r="AD714" s="76" t="str">
        <f t="shared" si="140"/>
        <v>Proyecto a tiempo según lo planificado</v>
      </c>
      <c r="AE714" s="77">
        <f t="shared" si="141"/>
        <v>0</v>
      </c>
      <c r="AF714" s="77">
        <f t="shared" si="142"/>
        <v>-4749361914</v>
      </c>
      <c r="AG714" s="78" t="str">
        <f>VLOOKUP(Indicador!E782,[1]Diccionario!C$1:AC$150,27,0)</f>
        <v>https://growdatasas.sharepoint.com/:x:/r/sites/Gestiondocumental/Administrativa/GD/Financiera/_layouts/15/Doc.aspx?sourcedoc=%7BEE2DBDF3-CCDC-4051-9840-1FAD6578D68D%7D&amp;file=MODELO%20MINVIVIENDA%20V1.4.%20(aprobado).xlsm&amp;action=default&amp;mobileredirect=true</v>
      </c>
      <c r="AH714" s="78">
        <v>1</v>
      </c>
      <c r="AI714" s="78">
        <v>1</v>
      </c>
      <c r="AJ714" s="78"/>
      <c r="AK714" s="78" t="s">
        <v>319</v>
      </c>
    </row>
    <row r="715" spans="1:37" ht="18.75" customHeight="1" x14ac:dyDescent="0.25">
      <c r="A715" s="64">
        <v>2025</v>
      </c>
      <c r="B715" s="65" t="s">
        <v>56</v>
      </c>
      <c r="C715" s="66" t="s">
        <v>401</v>
      </c>
      <c r="D715" s="67">
        <v>45979.850120914351</v>
      </c>
      <c r="E715" s="66" t="s">
        <v>402</v>
      </c>
      <c r="F715" s="66" t="s">
        <v>397</v>
      </c>
      <c r="G715" s="66" t="s">
        <v>403</v>
      </c>
      <c r="H715" s="66" t="s">
        <v>404</v>
      </c>
      <c r="I715" s="66" t="s">
        <v>43</v>
      </c>
      <c r="J715" s="66" t="s">
        <v>405</v>
      </c>
      <c r="K715" s="66" t="s">
        <v>291</v>
      </c>
      <c r="L715" s="68">
        <f>VLOOKUP(E715,[1]Diccionario!C$2:AC$150,22,0)</f>
        <v>4749361914</v>
      </c>
      <c r="M715" s="69">
        <f>VLOOKUP(E715,[1]Diccionario!C$2:AC$150,24,0)</f>
        <v>45976</v>
      </c>
      <c r="N715" s="70">
        <f>VLOOKUP(E715,[1]Diccionario!C$2:AC$150,25,0)</f>
        <v>46142</v>
      </c>
      <c r="O715" s="71">
        <f>VLOOKUP(E715,[1]Diccionario!C$2:AC$150,26,0)</f>
        <v>5.5</v>
      </c>
      <c r="P715" s="71">
        <f t="shared" si="131"/>
        <v>-4.5</v>
      </c>
      <c r="Q715" s="71">
        <v>1</v>
      </c>
      <c r="R715" s="66">
        <v>6</v>
      </c>
      <c r="S715" s="72">
        <v>0.1</v>
      </c>
      <c r="T715" s="72">
        <v>0.1</v>
      </c>
      <c r="U715" s="73">
        <f>U714+TablaIndicador[[#This Row],[Costo Mensual]]</f>
        <v>7333334</v>
      </c>
      <c r="V715" s="74">
        <v>7333334</v>
      </c>
      <c r="W715" s="73">
        <f t="shared" si="133"/>
        <v>474936191.40000004</v>
      </c>
      <c r="X715" s="73">
        <f t="shared" si="134"/>
        <v>474936191.40000004</v>
      </c>
      <c r="Y715" s="73">
        <f t="shared" si="135"/>
        <v>467602857.40000004</v>
      </c>
      <c r="Z715" s="73">
        <f t="shared" si="136"/>
        <v>0</v>
      </c>
      <c r="AA715" s="75">
        <f t="shared" si="137"/>
        <v>64.7640202123618</v>
      </c>
      <c r="AB715" s="76" t="str">
        <f t="shared" si="138"/>
        <v>Costo eficiente: se está gastando menos de lo presupuestado</v>
      </c>
      <c r="AC715" s="76">
        <f t="shared" si="139"/>
        <v>1</v>
      </c>
      <c r="AD715" s="76" t="str">
        <f t="shared" si="140"/>
        <v>Proyecto a tiempo según lo planificado</v>
      </c>
      <c r="AE715" s="77">
        <f t="shared" si="141"/>
        <v>73333340</v>
      </c>
      <c r="AF715" s="77">
        <f t="shared" si="142"/>
        <v>-4676028574</v>
      </c>
      <c r="AG715" s="78" t="str">
        <f>VLOOKUP(Indicador!E783,[1]Diccionario!C$1:AC$150,27,0)</f>
        <v>https://growdatasas.sharepoint.com/:x:/r/sites/Gestiondocumental/Administrativa/GD/Financiera/_layouts/15/Doc.aspx?sourcedoc=%7BEE2DBDF3-CCDC-4051-9840-1FAD6578D68D%7D&amp;file=MODELO%20MINVIVIENDA%20V1.4.%20(aprobado).xlsm&amp;action=default&amp;mobileredirect=true</v>
      </c>
      <c r="AH715" s="78">
        <v>1</v>
      </c>
      <c r="AI715" s="78">
        <v>1</v>
      </c>
      <c r="AJ715" s="78"/>
      <c r="AK715" s="78" t="s">
        <v>319</v>
      </c>
    </row>
    <row r="716" spans="1:37" ht="18.75" customHeight="1" x14ac:dyDescent="0.25">
      <c r="A716" s="64">
        <v>2025</v>
      </c>
      <c r="B716" s="65" t="s">
        <v>57</v>
      </c>
      <c r="C716" s="66" t="s">
        <v>401</v>
      </c>
      <c r="D716" s="67">
        <v>45979.850120914351</v>
      </c>
      <c r="E716" s="66" t="s">
        <v>402</v>
      </c>
      <c r="F716" s="66" t="s">
        <v>397</v>
      </c>
      <c r="G716" s="66" t="s">
        <v>403</v>
      </c>
      <c r="H716" s="66" t="s">
        <v>404</v>
      </c>
      <c r="I716" s="66" t="s">
        <v>43</v>
      </c>
      <c r="J716" s="66" t="s">
        <v>405</v>
      </c>
      <c r="K716" s="66" t="s">
        <v>291</v>
      </c>
      <c r="L716" s="68">
        <f>VLOOKUP(E716,[1]Diccionario!C$2:AC$150,22,0)</f>
        <v>4749361914</v>
      </c>
      <c r="M716" s="69">
        <f>VLOOKUP(E716,[1]Diccionario!C$2:AC$150,24,0)</f>
        <v>45976</v>
      </c>
      <c r="N716" s="70">
        <f>VLOOKUP(E716,[1]Diccionario!C$2:AC$150,25,0)</f>
        <v>46142</v>
      </c>
      <c r="O716" s="71">
        <f>VLOOKUP(E716,[1]Diccionario!C$2:AC$150,26,0)</f>
        <v>5.5</v>
      </c>
      <c r="P716" s="71">
        <f t="shared" si="131"/>
        <v>-3.5</v>
      </c>
      <c r="Q716" s="71">
        <v>2</v>
      </c>
      <c r="R716" s="66">
        <v>6</v>
      </c>
      <c r="S716" s="72">
        <v>0.3</v>
      </c>
      <c r="T716" s="72">
        <v>0.25</v>
      </c>
      <c r="U716" s="73">
        <f>U715+TablaIndicador[[#This Row],[Costo Mensual]]</f>
        <v>5656152142.6400003</v>
      </c>
      <c r="V716" s="74">
        <v>5648818808.6400003</v>
      </c>
      <c r="W716" s="73">
        <f t="shared" si="133"/>
        <v>1187340478.5</v>
      </c>
      <c r="X716" s="73">
        <f t="shared" si="134"/>
        <v>1424808574.2</v>
      </c>
      <c r="Y716" s="73">
        <f t="shared" si="135"/>
        <v>-4468811664.1400003</v>
      </c>
      <c r="Z716" s="73">
        <f t="shared" si="136"/>
        <v>-237468095.70000005</v>
      </c>
      <c r="AA716" s="75">
        <f t="shared" si="137"/>
        <v>0.20992018046137823</v>
      </c>
      <c r="AB716" s="76" t="str">
        <f t="shared" si="138"/>
        <v>Costo ineficiente: se está gastando más de lo presupuestado</v>
      </c>
      <c r="AC716" s="76">
        <f t="shared" si="139"/>
        <v>0.83333333333333326</v>
      </c>
      <c r="AD716" s="76" t="str">
        <f t="shared" si="140"/>
        <v>Proyecto atrasado con respecto al cronograma</v>
      </c>
      <c r="AE716" s="77">
        <f t="shared" si="141"/>
        <v>22624608570.560001</v>
      </c>
      <c r="AF716" s="77">
        <f t="shared" si="142"/>
        <v>17875246656.560001</v>
      </c>
      <c r="AG716" s="78" t="str">
        <f>VLOOKUP(Indicador!E784,[1]Diccionario!C$1:AC$150,27,0)</f>
        <v>https://growdatasas.sharepoint.com/:x:/r/sites/Gestiondocumental/Administrativa/GD/Financiera/_layouts/15/Doc.aspx?sourcedoc=%7BEE2DBDF3-CCDC-4051-9840-1FAD6578D68D%7D&amp;file=MODELO%20MINVIVIENDA%20V1.4.%20(aprobado).xlsm&amp;action=default&amp;mobileredirect=true</v>
      </c>
      <c r="AH716" s="78">
        <v>1</v>
      </c>
      <c r="AI716" s="78">
        <v>1</v>
      </c>
      <c r="AJ716" s="78"/>
      <c r="AK716" s="78" t="s">
        <v>319</v>
      </c>
    </row>
    <row r="717" spans="1:37" ht="18.75" customHeight="1" x14ac:dyDescent="0.25">
      <c r="A717" s="64">
        <v>2026</v>
      </c>
      <c r="B717" s="65" t="s">
        <v>37</v>
      </c>
      <c r="C717" s="66" t="s">
        <v>401</v>
      </c>
      <c r="D717" s="67">
        <v>45979.850120914351</v>
      </c>
      <c r="E717" s="66" t="s">
        <v>402</v>
      </c>
      <c r="F717" s="66" t="s">
        <v>397</v>
      </c>
      <c r="G717" s="66" t="s">
        <v>403</v>
      </c>
      <c r="H717" s="66" t="s">
        <v>404</v>
      </c>
      <c r="I717" s="66" t="s">
        <v>43</v>
      </c>
      <c r="J717" s="66" t="s">
        <v>405</v>
      </c>
      <c r="K717" s="66" t="s">
        <v>291</v>
      </c>
      <c r="L717" s="68">
        <f>VLOOKUP(E717,[1]Diccionario!C$2:AC$150,22,0)</f>
        <v>4749361914</v>
      </c>
      <c r="M717" s="69">
        <f>VLOOKUP(E717,[1]Diccionario!C$2:AC$150,24,0)</f>
        <v>45976</v>
      </c>
      <c r="N717" s="70">
        <f>VLOOKUP(E717,[1]Diccionario!C$2:AC$150,25,0)</f>
        <v>46142</v>
      </c>
      <c r="O717" s="71">
        <f>VLOOKUP(E717,[1]Diccionario!C$2:AC$150,26,0)</f>
        <v>5.5</v>
      </c>
      <c r="P717" s="71">
        <f t="shared" si="131"/>
        <v>-2.5</v>
      </c>
      <c r="Q717" s="71">
        <v>3</v>
      </c>
      <c r="R717" s="66">
        <v>6</v>
      </c>
      <c r="S717" s="72">
        <v>0.5</v>
      </c>
      <c r="T717" s="72">
        <v>0.45</v>
      </c>
      <c r="U717" s="73">
        <f>U716+TablaIndicador[[#This Row],[Costo Mensual]]</f>
        <v>5885036883.1000004</v>
      </c>
      <c r="V717" s="74">
        <v>228884740.46000004</v>
      </c>
      <c r="W717" s="73">
        <f t="shared" si="133"/>
        <v>2137212861.3</v>
      </c>
      <c r="X717" s="73">
        <f t="shared" si="134"/>
        <v>2374680957</v>
      </c>
      <c r="Y717" s="73">
        <f t="shared" si="135"/>
        <v>-3747824021.8000002</v>
      </c>
      <c r="Z717" s="73">
        <f t="shared" si="136"/>
        <v>-237468095.70000005</v>
      </c>
      <c r="AA717" s="75">
        <f t="shared" si="137"/>
        <v>0.36316048713941151</v>
      </c>
      <c r="AB717" s="76" t="str">
        <f t="shared" si="138"/>
        <v>Costo ineficiente: se está gastando más de lo presupuestado</v>
      </c>
      <c r="AC717" s="76">
        <f t="shared" si="139"/>
        <v>0.9</v>
      </c>
      <c r="AD717" s="76" t="str">
        <f t="shared" si="140"/>
        <v>Proyecto atrasado con respecto al cronograma</v>
      </c>
      <c r="AE717" s="77">
        <f t="shared" si="141"/>
        <v>13077859740.222223</v>
      </c>
      <c r="AF717" s="77">
        <f t="shared" si="142"/>
        <v>8328497826.2222233</v>
      </c>
      <c r="AG717" s="78" t="str">
        <f>VLOOKUP(Indicador!E785,[1]Diccionario!C$1:AC$150,27,0)</f>
        <v>https://growdatasas.sharepoint.com/:x:/r/sites/Gestiondocumental/Administrativa/GD/Financiera/_layouts/15/Doc.aspx?sourcedoc=%7BEE2DBDF3-CCDC-4051-9840-1FAD6578D68D%7D&amp;file=MODELO%20MINVIVIENDA%20V1.4.%20(aprobado).xlsm&amp;action=default&amp;mobileredirect=true</v>
      </c>
      <c r="AH717" s="78">
        <v>1</v>
      </c>
      <c r="AI717" s="78">
        <v>1</v>
      </c>
      <c r="AJ717" s="78"/>
      <c r="AK717" s="78" t="s">
        <v>319</v>
      </c>
    </row>
    <row r="718" spans="1:37" ht="18.75" customHeight="1" x14ac:dyDescent="0.25">
      <c r="A718" s="64">
        <v>2026</v>
      </c>
      <c r="B718" s="65" t="s">
        <v>47</v>
      </c>
      <c r="C718" s="66" t="s">
        <v>401</v>
      </c>
      <c r="D718" s="67">
        <v>45979.850120914351</v>
      </c>
      <c r="E718" s="66" t="s">
        <v>402</v>
      </c>
      <c r="F718" s="66" t="s">
        <v>397</v>
      </c>
      <c r="G718" s="66" t="s">
        <v>403</v>
      </c>
      <c r="H718" s="66" t="s">
        <v>404</v>
      </c>
      <c r="I718" s="66" t="s">
        <v>43</v>
      </c>
      <c r="J718" s="66" t="s">
        <v>405</v>
      </c>
      <c r="K718" s="66" t="s">
        <v>291</v>
      </c>
      <c r="L718" s="68">
        <f>VLOOKUP(E718,[1]Diccionario!C$2:AC$150,22,0)</f>
        <v>4749361914</v>
      </c>
      <c r="M718" s="69">
        <f>VLOOKUP(E718,[1]Diccionario!C$2:AC$150,24,0)</f>
        <v>45976</v>
      </c>
      <c r="N718" s="70">
        <f>VLOOKUP(E718,[1]Diccionario!C$2:AC$150,25,0)</f>
        <v>46142</v>
      </c>
      <c r="O718" s="71">
        <f>VLOOKUP(E718,[1]Diccionario!C$2:AC$150,26,0)</f>
        <v>5.5</v>
      </c>
      <c r="P718" s="71">
        <f t="shared" si="131"/>
        <v>-1.5</v>
      </c>
      <c r="Q718" s="71">
        <v>4</v>
      </c>
      <c r="R718" s="66">
        <v>6</v>
      </c>
      <c r="S718" s="72">
        <v>0.7</v>
      </c>
      <c r="T718" s="72">
        <v>0.68</v>
      </c>
      <c r="U718" s="73">
        <f>U717+TablaIndicador[[#This Row],[Costo Mensual]]</f>
        <v>5931276695.1000004</v>
      </c>
      <c r="V718" s="74">
        <v>46239812</v>
      </c>
      <c r="W718" s="73">
        <f t="shared" si="133"/>
        <v>3229566101.5200005</v>
      </c>
      <c r="X718" s="73">
        <f t="shared" si="134"/>
        <v>3324553339.7999997</v>
      </c>
      <c r="Y718" s="73">
        <f t="shared" si="135"/>
        <v>-2701710593.5799999</v>
      </c>
      <c r="Z718" s="73">
        <f t="shared" si="136"/>
        <v>-94987238.279999256</v>
      </c>
      <c r="AA718" s="75">
        <f t="shared" si="137"/>
        <v>0.5444976296904237</v>
      </c>
      <c r="AB718" s="76" t="str">
        <f t="shared" si="138"/>
        <v>Costo ineficiente: se está gastando más de lo presupuestado</v>
      </c>
      <c r="AC718" s="76">
        <f t="shared" si="139"/>
        <v>0.97142857142857164</v>
      </c>
      <c r="AD718" s="76" t="str">
        <f t="shared" si="140"/>
        <v>Proyecto atrasado con respecto al cronograma</v>
      </c>
      <c r="AE718" s="77">
        <f t="shared" si="141"/>
        <v>8722465728.0882359</v>
      </c>
      <c r="AF718" s="77">
        <f t="shared" si="142"/>
        <v>3973103814.0882359</v>
      </c>
      <c r="AG718" s="78" t="str">
        <f>VLOOKUP(Indicador!E786,[1]Diccionario!C$1:AC$150,27,0)</f>
        <v>https://growdatasas.sharepoint.com/:x:/r/sites/Gestiondocumental/Administrativa/GD/Financiera/_layouts/15/Doc.aspx?sourcedoc=%7BEE2DBDF3-CCDC-4051-9840-1FAD6578D68D%7D&amp;file=MODELO%20MINVIVIENDA%20V1.4.%20(aprobado).xlsm&amp;action=default&amp;mobileredirect=true</v>
      </c>
      <c r="AH718" s="78">
        <v>1</v>
      </c>
      <c r="AI718" s="78">
        <v>1</v>
      </c>
      <c r="AJ718" s="78"/>
      <c r="AK718" s="78" t="s">
        <v>319</v>
      </c>
    </row>
    <row r="719" spans="1:37" ht="18.75" customHeight="1" x14ac:dyDescent="0.25">
      <c r="A719" s="64">
        <v>2026</v>
      </c>
      <c r="B719" s="65" t="s">
        <v>48</v>
      </c>
      <c r="C719" s="66" t="s">
        <v>401</v>
      </c>
      <c r="D719" s="67">
        <v>45979.850120914351</v>
      </c>
      <c r="E719" s="66" t="s">
        <v>402</v>
      </c>
      <c r="F719" s="66" t="s">
        <v>397</v>
      </c>
      <c r="G719" s="66" t="s">
        <v>403</v>
      </c>
      <c r="H719" s="66" t="s">
        <v>404</v>
      </c>
      <c r="I719" s="66" t="s">
        <v>43</v>
      </c>
      <c r="J719" s="66" t="s">
        <v>405</v>
      </c>
      <c r="K719" s="66" t="s">
        <v>291</v>
      </c>
      <c r="L719" s="68">
        <f>VLOOKUP(E719,[1]Diccionario!C$2:AC$150,22,0)</f>
        <v>4749361914</v>
      </c>
      <c r="M719" s="69">
        <f>VLOOKUP(E719,[1]Diccionario!C$2:AC$150,24,0)</f>
        <v>45976</v>
      </c>
      <c r="N719" s="70">
        <f>VLOOKUP(E719,[1]Diccionario!C$2:AC$150,25,0)</f>
        <v>46142</v>
      </c>
      <c r="O719" s="71">
        <f>VLOOKUP(E719,[1]Diccionario!C$2:AC$150,26,0)</f>
        <v>5.5</v>
      </c>
      <c r="P719" s="71">
        <f t="shared" si="131"/>
        <v>-0.5</v>
      </c>
      <c r="Q719" s="71">
        <v>5</v>
      </c>
      <c r="R719" s="66">
        <v>6</v>
      </c>
      <c r="S719" s="72">
        <v>0.8</v>
      </c>
      <c r="T719" s="72"/>
      <c r="U719" s="73">
        <f>U718+TablaIndicador[[#This Row],[Costo Mensual]]</f>
        <v>5931276695.1000004</v>
      </c>
      <c r="V719" s="73">
        <v>0</v>
      </c>
      <c r="W719" s="73">
        <f t="shared" si="133"/>
        <v>0</v>
      </c>
      <c r="X719" s="73">
        <f t="shared" si="134"/>
        <v>3799489531.2000003</v>
      </c>
      <c r="Y719" s="73">
        <f t="shared" si="135"/>
        <v>-5931276695.1000004</v>
      </c>
      <c r="Z719" s="73">
        <f t="shared" si="136"/>
        <v>-3799489531.2000003</v>
      </c>
      <c r="AA719" s="75">
        <f t="shared" si="137"/>
        <v>0</v>
      </c>
      <c r="AB719" s="76" t="str">
        <f t="shared" si="138"/>
        <v>No calculado</v>
      </c>
      <c r="AC719" s="76">
        <f t="shared" si="139"/>
        <v>0</v>
      </c>
      <c r="AD719" s="76" t="str">
        <f t="shared" si="140"/>
        <v>Sin Línea Base</v>
      </c>
      <c r="AE719" s="77">
        <f t="shared" si="141"/>
        <v>0</v>
      </c>
      <c r="AF719" s="77">
        <f t="shared" si="142"/>
        <v>-4749361914</v>
      </c>
      <c r="AG719" s="78" t="str">
        <f>VLOOKUP(Indicador!E787,[1]Diccionario!C$1:AC$150,27,0)</f>
        <v>https://growdatasas.sharepoint.com/:x:/r/sites/Gestiondocumental/Administrativa/GD/Financiera/_layouts/15/Doc.aspx?sourcedoc=%7BEE2DBDF3-CCDC-4051-9840-1FAD6578D68D%7D&amp;file=MODELO%20MINVIVIENDA%20V1.4.%20(aprobado).xlsm&amp;action=default&amp;mobileredirect=true</v>
      </c>
      <c r="AH719" s="78">
        <v>1</v>
      </c>
      <c r="AI719" s="78">
        <v>1</v>
      </c>
      <c r="AJ719" s="78"/>
      <c r="AK719" s="78" t="s">
        <v>319</v>
      </c>
    </row>
    <row r="720" spans="1:37" ht="18.75" customHeight="1" x14ac:dyDescent="0.25">
      <c r="A720" s="64">
        <v>2026</v>
      </c>
      <c r="B720" s="65" t="s">
        <v>49</v>
      </c>
      <c r="C720" s="66" t="s">
        <v>401</v>
      </c>
      <c r="D720" s="67">
        <v>45979.850120914351</v>
      </c>
      <c r="E720" s="66" t="s">
        <v>402</v>
      </c>
      <c r="F720" s="66" t="s">
        <v>397</v>
      </c>
      <c r="G720" s="66" t="s">
        <v>403</v>
      </c>
      <c r="H720" s="66" t="s">
        <v>404</v>
      </c>
      <c r="I720" s="66" t="s">
        <v>43</v>
      </c>
      <c r="J720" s="66" t="s">
        <v>405</v>
      </c>
      <c r="K720" s="66" t="s">
        <v>291</v>
      </c>
      <c r="L720" s="68">
        <f>VLOOKUP(E720,[1]Diccionario!C$2:AC$150,22,0)</f>
        <v>4749361914</v>
      </c>
      <c r="M720" s="69">
        <f>VLOOKUP(E720,[1]Diccionario!C$2:AC$150,24,0)</f>
        <v>45976</v>
      </c>
      <c r="N720" s="70">
        <f>VLOOKUP(E720,[1]Diccionario!C$2:AC$150,25,0)</f>
        <v>46142</v>
      </c>
      <c r="O720" s="71">
        <f>VLOOKUP(E720,[1]Diccionario!C$2:AC$150,26,0)</f>
        <v>5.5</v>
      </c>
      <c r="P720" s="71">
        <f t="shared" si="131"/>
        <v>0.5</v>
      </c>
      <c r="Q720" s="71">
        <v>6</v>
      </c>
      <c r="R720" s="66">
        <v>6</v>
      </c>
      <c r="S720" s="72">
        <v>1</v>
      </c>
      <c r="T720" s="72"/>
      <c r="U720" s="73">
        <f>U719+TablaIndicador[[#This Row],[Costo Mensual]]</f>
        <v>5931276695.1000004</v>
      </c>
      <c r="V720" s="73">
        <v>0</v>
      </c>
      <c r="W720" s="73">
        <f t="shared" si="133"/>
        <v>0</v>
      </c>
      <c r="X720" s="73">
        <f t="shared" si="134"/>
        <v>4749361914</v>
      </c>
      <c r="Y720" s="73">
        <f t="shared" si="135"/>
        <v>-5931276695.1000004</v>
      </c>
      <c r="Z720" s="73">
        <f t="shared" si="136"/>
        <v>-4749361914</v>
      </c>
      <c r="AA720" s="75">
        <f t="shared" si="137"/>
        <v>0</v>
      </c>
      <c r="AB720" s="76" t="str">
        <f t="shared" si="138"/>
        <v>No calculado</v>
      </c>
      <c r="AC720" s="76">
        <f t="shared" si="139"/>
        <v>0</v>
      </c>
      <c r="AD720" s="76" t="str">
        <f t="shared" si="140"/>
        <v>Sin Línea Base</v>
      </c>
      <c r="AE720" s="77">
        <f t="shared" si="141"/>
        <v>0</v>
      </c>
      <c r="AF720" s="77">
        <f t="shared" si="142"/>
        <v>-4749361914</v>
      </c>
      <c r="AG720" s="78" t="str">
        <f>VLOOKUP(Indicador!E788,[1]Diccionario!C$1:AC$150,27,0)</f>
        <v>https://growdatasas.sharepoint.com/:x:/r/sites/Gestiondocumental/Administrativa/GD/Financiera/_layouts/15/Doc.aspx?sourcedoc=%7BEE2DBDF3-CCDC-4051-9840-1FAD6578D68D%7D&amp;file=MODELO%20MINVIVIENDA%20V1.4.%20(aprobado).xlsm&amp;action=default&amp;mobileredirect=true</v>
      </c>
      <c r="AH720" s="78">
        <v>1</v>
      </c>
      <c r="AI720" s="78">
        <v>1</v>
      </c>
      <c r="AJ720" s="78"/>
      <c r="AK720" s="78" t="s">
        <v>319</v>
      </c>
    </row>
    <row r="721" spans="1:37" ht="18.75" customHeight="1" x14ac:dyDescent="0.25">
      <c r="A721" s="11">
        <v>2025</v>
      </c>
      <c r="B721" s="12" t="s">
        <v>55</v>
      </c>
      <c r="C721" s="15" t="s">
        <v>406</v>
      </c>
      <c r="D721" s="39">
        <v>45979.862053703706</v>
      </c>
      <c r="E721" s="15" t="s">
        <v>407</v>
      </c>
      <c r="F721" s="15" t="s">
        <v>408</v>
      </c>
      <c r="G721" s="15" t="s">
        <v>409</v>
      </c>
      <c r="H721" s="15" t="s">
        <v>410</v>
      </c>
      <c r="I721" s="15" t="s">
        <v>43</v>
      </c>
      <c r="J721" s="15" t="s">
        <v>411</v>
      </c>
      <c r="K721" s="15" t="s">
        <v>291</v>
      </c>
      <c r="L721" s="17">
        <f>VLOOKUP(E721,[1]Diccionario!C$2:AC$150,22,0)</f>
        <v>7123723941</v>
      </c>
      <c r="M721" s="18">
        <f>VLOOKUP(E721,[1]Diccionario!C$2:AC$150,24,0)</f>
        <v>45950</v>
      </c>
      <c r="N721" s="19">
        <f>VLOOKUP(E721,[1]Diccionario!C$2:AC$150,25,0)</f>
        <v>46387</v>
      </c>
      <c r="O721" s="20">
        <f>VLOOKUP(E721,[1]Diccionario!C$2:AC$150,26,0)</f>
        <v>14.37</v>
      </c>
      <c r="P721" s="20">
        <f t="shared" si="131"/>
        <v>-13.37</v>
      </c>
      <c r="Q721" s="20">
        <v>1</v>
      </c>
      <c r="R721" s="15">
        <v>15</v>
      </c>
      <c r="S721" s="21">
        <v>0.1</v>
      </c>
      <c r="T721" s="21">
        <v>0.1</v>
      </c>
      <c r="U721" s="24">
        <f>TablaIndicador[[#This Row],[Costo Mensual]]</f>
        <v>0</v>
      </c>
      <c r="V721" s="24">
        <v>0</v>
      </c>
      <c r="W721" s="24">
        <f t="shared" si="133"/>
        <v>712372394.10000002</v>
      </c>
      <c r="X721" s="24">
        <f t="shared" si="134"/>
        <v>712372394.10000002</v>
      </c>
      <c r="Y721" s="24">
        <f t="shared" si="135"/>
        <v>712372394.10000002</v>
      </c>
      <c r="Z721" s="24">
        <f t="shared" si="136"/>
        <v>0</v>
      </c>
      <c r="AA721" s="25" t="str">
        <f t="shared" si="137"/>
        <v>No se realizó gasto en este corte</v>
      </c>
      <c r="AB721" s="26" t="str">
        <f t="shared" si="138"/>
        <v>Costo eficiente: se está gastando menos de lo presupuestado</v>
      </c>
      <c r="AC721" s="26">
        <f t="shared" si="139"/>
        <v>1</v>
      </c>
      <c r="AD721" s="26" t="str">
        <f t="shared" si="140"/>
        <v>Proyecto a tiempo según lo planificado</v>
      </c>
      <c r="AE721" s="27">
        <f t="shared" si="141"/>
        <v>0</v>
      </c>
      <c r="AF721" s="27">
        <f t="shared" si="142"/>
        <v>-7123723941</v>
      </c>
      <c r="AG721" s="28" t="str">
        <f>VLOOKUP(Indicador!E647,[1]Diccionario!C$1:AC$150,27,0)</f>
        <v>https://growdatasas.sharepoint.com/:x:/r/sites/Gestiondocumental/Administrativa/GD/Financiera/_layouts/15/Doc.aspx?sourcedoc=%7BBF6E8538-B113-45FF-83F6-596104EC0C59%7D&amp;file=3.0.0.%20%20MODELO%20UNAD%20V3.0.%20(ajustado).xlsm&amp;action=default&amp;mobileredirect=true</v>
      </c>
      <c r="AH721" s="28">
        <v>1</v>
      </c>
      <c r="AI721" s="28">
        <v>1</v>
      </c>
      <c r="AJ721" s="28"/>
      <c r="AK721" s="28"/>
    </row>
    <row r="722" spans="1:37" ht="18.75" customHeight="1" x14ac:dyDescent="0.25">
      <c r="A722" s="11">
        <v>2025</v>
      </c>
      <c r="B722" s="12" t="s">
        <v>56</v>
      </c>
      <c r="C722" s="15" t="s">
        <v>406</v>
      </c>
      <c r="D722" s="39">
        <v>45979.862053703706</v>
      </c>
      <c r="E722" s="15" t="s">
        <v>407</v>
      </c>
      <c r="F722" s="15" t="s">
        <v>408</v>
      </c>
      <c r="G722" s="15" t="s">
        <v>409</v>
      </c>
      <c r="H722" s="15" t="s">
        <v>410</v>
      </c>
      <c r="I722" s="15" t="s">
        <v>43</v>
      </c>
      <c r="J722" s="15" t="s">
        <v>411</v>
      </c>
      <c r="K722" s="15" t="s">
        <v>291</v>
      </c>
      <c r="L722" s="17">
        <f>VLOOKUP(E722,[1]Diccionario!C$2:AC$150,22,0)</f>
        <v>7123723941</v>
      </c>
      <c r="M722" s="18">
        <f>VLOOKUP(E722,[1]Diccionario!C$2:AC$150,24,0)</f>
        <v>45950</v>
      </c>
      <c r="N722" s="19">
        <f>VLOOKUP(E722,[1]Diccionario!C$2:AC$150,25,0)</f>
        <v>46387</v>
      </c>
      <c r="O722" s="20">
        <f>VLOOKUP(E722,[1]Diccionario!C$2:AC$150,26,0)</f>
        <v>14.37</v>
      </c>
      <c r="P722" s="20">
        <f t="shared" si="131"/>
        <v>-12.37</v>
      </c>
      <c r="Q722" s="20">
        <v>2</v>
      </c>
      <c r="R722" s="15">
        <v>15</v>
      </c>
      <c r="S722" s="21">
        <v>0.12</v>
      </c>
      <c r="T722" s="21">
        <v>0.1</v>
      </c>
      <c r="U722" s="24">
        <f>U721+TablaIndicador[[#This Row],[Costo Mensual]]</f>
        <v>0</v>
      </c>
      <c r="V722" s="24">
        <v>0</v>
      </c>
      <c r="W722" s="24">
        <f t="shared" si="133"/>
        <v>712372394.10000002</v>
      </c>
      <c r="X722" s="24">
        <f t="shared" si="134"/>
        <v>854846872.91999996</v>
      </c>
      <c r="Y722" s="24">
        <f t="shared" si="135"/>
        <v>712372394.10000002</v>
      </c>
      <c r="Z722" s="24">
        <f t="shared" si="136"/>
        <v>-142474478.81999993</v>
      </c>
      <c r="AA722" s="25" t="str">
        <f t="shared" si="137"/>
        <v>No se realizó gasto en este corte</v>
      </c>
      <c r="AB722" s="26" t="str">
        <f t="shared" si="138"/>
        <v>Costo eficiente: se está gastando menos de lo presupuestado</v>
      </c>
      <c r="AC722" s="26">
        <f t="shared" si="139"/>
        <v>0.83333333333333337</v>
      </c>
      <c r="AD722" s="26" t="str">
        <f t="shared" si="140"/>
        <v>Proyecto atrasado con respecto al cronograma</v>
      </c>
      <c r="AE722" s="27">
        <f t="shared" si="141"/>
        <v>0</v>
      </c>
      <c r="AF722" s="27">
        <f t="shared" si="142"/>
        <v>-7123723941</v>
      </c>
      <c r="AG722" s="28" t="str">
        <f>VLOOKUP(Indicador!E648,[1]Diccionario!C$1:AC$150,27,0)</f>
        <v>https://growdatasas.sharepoint.com/:x:/r/sites/Gestiondocumental/Administrativa/GD/Financiera/_layouts/15/Doc.aspx?sourcedoc=%7BBF6E8538-B113-45FF-83F6-596104EC0C59%7D&amp;file=3.0.0.%20%20MODELO%20UNAD%20V3.0.%20(ajustado).xlsm&amp;action=default&amp;mobileredirect=true</v>
      </c>
      <c r="AH722" s="28">
        <v>1</v>
      </c>
      <c r="AI722" s="28">
        <v>1</v>
      </c>
      <c r="AJ722" s="28"/>
      <c r="AK722" s="28"/>
    </row>
    <row r="723" spans="1:37" ht="18.75" customHeight="1" x14ac:dyDescent="0.25">
      <c r="A723" s="11">
        <v>2025</v>
      </c>
      <c r="B723" s="12" t="s">
        <v>57</v>
      </c>
      <c r="C723" s="15" t="s">
        <v>406</v>
      </c>
      <c r="D723" s="39">
        <v>45979.862053703706</v>
      </c>
      <c r="E723" s="15" t="s">
        <v>407</v>
      </c>
      <c r="F723" s="15" t="s">
        <v>408</v>
      </c>
      <c r="G723" s="15" t="s">
        <v>409</v>
      </c>
      <c r="H723" s="15" t="s">
        <v>410</v>
      </c>
      <c r="I723" s="15" t="s">
        <v>43</v>
      </c>
      <c r="J723" s="15" t="s">
        <v>411</v>
      </c>
      <c r="K723" s="15" t="s">
        <v>291</v>
      </c>
      <c r="L723" s="17">
        <f>VLOOKUP(E723,[1]Diccionario!C$2:AC$150,22,0)</f>
        <v>7123723941</v>
      </c>
      <c r="M723" s="18">
        <f>VLOOKUP(E723,[1]Diccionario!C$2:AC$150,24,0)</f>
        <v>45950</v>
      </c>
      <c r="N723" s="19">
        <f>VLOOKUP(E723,[1]Diccionario!C$2:AC$150,25,0)</f>
        <v>46387</v>
      </c>
      <c r="O723" s="20">
        <f>VLOOKUP(E723,[1]Diccionario!C$2:AC$150,26,0)</f>
        <v>14.37</v>
      </c>
      <c r="P723" s="20">
        <f t="shared" si="131"/>
        <v>-11.37</v>
      </c>
      <c r="Q723" s="20">
        <v>3</v>
      </c>
      <c r="R723" s="15">
        <v>15</v>
      </c>
      <c r="S723" s="21">
        <v>0.18</v>
      </c>
      <c r="T723" s="21">
        <v>0.1</v>
      </c>
      <c r="U723" s="24">
        <f>U722+TablaIndicador[[#This Row],[Costo Mensual]]</f>
        <v>0</v>
      </c>
      <c r="V723" s="24">
        <v>0</v>
      </c>
      <c r="W723" s="24">
        <f t="shared" si="133"/>
        <v>712372394.10000002</v>
      </c>
      <c r="X723" s="24">
        <f t="shared" si="134"/>
        <v>1282270309.3799999</v>
      </c>
      <c r="Y723" s="24">
        <f t="shared" si="135"/>
        <v>712372394.10000002</v>
      </c>
      <c r="Z723" s="24">
        <f t="shared" si="136"/>
        <v>-569897915.27999985</v>
      </c>
      <c r="AA723" s="25" t="str">
        <f t="shared" si="137"/>
        <v>No se realizó gasto en este corte</v>
      </c>
      <c r="AB723" s="26" t="str">
        <f t="shared" si="138"/>
        <v>Costo eficiente: se está gastando menos de lo presupuestado</v>
      </c>
      <c r="AC723" s="26">
        <f t="shared" si="139"/>
        <v>0.55555555555555558</v>
      </c>
      <c r="AD723" s="26" t="str">
        <f t="shared" si="140"/>
        <v>Proyecto atrasado con respecto al cronograma</v>
      </c>
      <c r="AE723" s="27">
        <f t="shared" si="141"/>
        <v>0</v>
      </c>
      <c r="AF723" s="27">
        <f t="shared" si="142"/>
        <v>-7123723941</v>
      </c>
      <c r="AG723" s="28" t="str">
        <f>VLOOKUP(Indicador!E649,[1]Diccionario!C$1:AC$150,27,0)</f>
        <v>https://growdatasas.sharepoint.com/:x:/r/sites/Gestiondocumental/Administrativa/GD/Financiera/_layouts/15/Doc.aspx?sourcedoc=%7BBF6E8538-B113-45FF-83F6-596104EC0C59%7D&amp;file=3.0.0.%20%20MODELO%20UNAD%20V3.0.%20(ajustado).xlsm&amp;action=default&amp;mobileredirect=true</v>
      </c>
      <c r="AH723" s="28">
        <v>1</v>
      </c>
      <c r="AI723" s="28">
        <v>1</v>
      </c>
      <c r="AJ723" s="28"/>
      <c r="AK723" s="28"/>
    </row>
    <row r="724" spans="1:37" ht="18.75" customHeight="1" x14ac:dyDescent="0.25">
      <c r="A724" s="11">
        <v>2026</v>
      </c>
      <c r="B724" s="12" t="s">
        <v>37</v>
      </c>
      <c r="C724" s="15" t="s">
        <v>406</v>
      </c>
      <c r="D724" s="39">
        <v>45979.862053703706</v>
      </c>
      <c r="E724" s="15" t="s">
        <v>407</v>
      </c>
      <c r="F724" s="15" t="s">
        <v>408</v>
      </c>
      <c r="G724" s="15" t="s">
        <v>409</v>
      </c>
      <c r="H724" s="15" t="s">
        <v>410</v>
      </c>
      <c r="I724" s="15" t="s">
        <v>43</v>
      </c>
      <c r="J724" s="15" t="s">
        <v>411</v>
      </c>
      <c r="K724" s="15" t="s">
        <v>291</v>
      </c>
      <c r="L724" s="17">
        <f>VLOOKUP(E724,[1]Diccionario!C$2:AC$150,22,0)</f>
        <v>7123723941</v>
      </c>
      <c r="M724" s="18">
        <f>VLOOKUP(E724,[1]Diccionario!C$2:AC$150,24,0)</f>
        <v>45950</v>
      </c>
      <c r="N724" s="19">
        <f>VLOOKUP(E724,[1]Diccionario!C$2:AC$150,25,0)</f>
        <v>46387</v>
      </c>
      <c r="O724" s="20">
        <f>VLOOKUP(E724,[1]Diccionario!C$2:AC$150,26,0)</f>
        <v>14.37</v>
      </c>
      <c r="P724" s="20">
        <f t="shared" si="131"/>
        <v>-10.37</v>
      </c>
      <c r="Q724" s="20">
        <v>4</v>
      </c>
      <c r="R724" s="15">
        <v>15</v>
      </c>
      <c r="S724" s="21">
        <v>0.21333333333333299</v>
      </c>
      <c r="T724" s="21">
        <v>0.1</v>
      </c>
      <c r="U724" s="24">
        <f>U723+TablaIndicador[[#This Row],[Costo Mensual]]</f>
        <v>0</v>
      </c>
      <c r="V724" s="24">
        <v>0</v>
      </c>
      <c r="W724" s="24">
        <f t="shared" si="133"/>
        <v>712372394.10000002</v>
      </c>
      <c r="X724" s="24">
        <f t="shared" si="134"/>
        <v>1519727774.0799975</v>
      </c>
      <c r="Y724" s="24">
        <f t="shared" si="135"/>
        <v>712372394.10000002</v>
      </c>
      <c r="Z724" s="24">
        <f t="shared" si="136"/>
        <v>-807355379.97999752</v>
      </c>
      <c r="AA724" s="25" t="str">
        <f t="shared" si="137"/>
        <v>No se realizó gasto en este corte</v>
      </c>
      <c r="AB724" s="26" t="str">
        <f t="shared" si="138"/>
        <v>Costo eficiente: se está gastando menos de lo presupuestado</v>
      </c>
      <c r="AC724" s="26">
        <f t="shared" si="139"/>
        <v>0.46875000000000078</v>
      </c>
      <c r="AD724" s="26" t="str">
        <f t="shared" si="140"/>
        <v>Proyecto atrasado con respecto al cronograma</v>
      </c>
      <c r="AE724" s="27">
        <f t="shared" si="141"/>
        <v>0</v>
      </c>
      <c r="AF724" s="27">
        <f t="shared" si="142"/>
        <v>-7123723941</v>
      </c>
      <c r="AG724" s="28" t="str">
        <f>VLOOKUP(Indicador!E650,[1]Diccionario!C$1:AC$150,27,0)</f>
        <v>https://growdatasas.sharepoint.com/:x:/r/sites/Gestiondocumental/Administrativa/GD/Financiera/_layouts/15/Doc.aspx?sourcedoc=%7BBF6E8538-B113-45FF-83F6-596104EC0C59%7D&amp;file=3.0.0.%20%20MODELO%20UNAD%20V3.0.%20(ajustado).xlsm&amp;action=default&amp;mobileredirect=true</v>
      </c>
      <c r="AH724" s="28">
        <v>1</v>
      </c>
      <c r="AI724" s="28">
        <v>1</v>
      </c>
      <c r="AJ724" s="28"/>
      <c r="AK724" s="28"/>
    </row>
    <row r="725" spans="1:37" ht="18.75" customHeight="1" x14ac:dyDescent="0.25">
      <c r="A725" s="11">
        <v>2026</v>
      </c>
      <c r="B725" s="12" t="s">
        <v>47</v>
      </c>
      <c r="C725" s="15" t="s">
        <v>406</v>
      </c>
      <c r="D725" s="39">
        <v>45979.862053703706</v>
      </c>
      <c r="E725" s="15" t="s">
        <v>407</v>
      </c>
      <c r="F725" s="15" t="s">
        <v>408</v>
      </c>
      <c r="G725" s="15" t="s">
        <v>409</v>
      </c>
      <c r="H725" s="15" t="s">
        <v>410</v>
      </c>
      <c r="I725" s="15" t="s">
        <v>43</v>
      </c>
      <c r="J725" s="15" t="s">
        <v>411</v>
      </c>
      <c r="K725" s="15" t="s">
        <v>291</v>
      </c>
      <c r="L725" s="17">
        <f>VLOOKUP(E725,[1]Diccionario!C$2:AC$150,22,0)</f>
        <v>7123723941</v>
      </c>
      <c r="M725" s="18">
        <f>VLOOKUP(E725,[1]Diccionario!C$2:AC$150,24,0)</f>
        <v>45950</v>
      </c>
      <c r="N725" s="19">
        <f>VLOOKUP(E725,[1]Diccionario!C$2:AC$150,25,0)</f>
        <v>46387</v>
      </c>
      <c r="O725" s="20">
        <f>VLOOKUP(E725,[1]Diccionario!C$2:AC$150,26,0)</f>
        <v>14.37</v>
      </c>
      <c r="P725" s="20">
        <f t="shared" si="131"/>
        <v>-9.3699999999999992</v>
      </c>
      <c r="Q725" s="20">
        <v>5</v>
      </c>
      <c r="R725" s="15"/>
      <c r="S725" s="21">
        <v>0.3</v>
      </c>
      <c r="T725" s="21">
        <v>0.1</v>
      </c>
      <c r="U725" s="24">
        <f>U724+TablaIndicador[[#This Row],[Costo Mensual]]</f>
        <v>0</v>
      </c>
      <c r="V725" s="24">
        <v>0</v>
      </c>
      <c r="W725" s="24">
        <f t="shared" si="133"/>
        <v>712372394.10000002</v>
      </c>
      <c r="X725" s="24">
        <f t="shared" si="134"/>
        <v>2137117182.3</v>
      </c>
      <c r="Y725" s="24">
        <f t="shared" si="135"/>
        <v>712372394.10000002</v>
      </c>
      <c r="Z725" s="24">
        <f t="shared" si="136"/>
        <v>-1424744788.1999998</v>
      </c>
      <c r="AA725" s="25" t="str">
        <f t="shared" si="137"/>
        <v>No se realizó gasto en este corte</v>
      </c>
      <c r="AB725" s="26" t="str">
        <f t="shared" si="138"/>
        <v>Costo eficiente: se está gastando menos de lo presupuestado</v>
      </c>
      <c r="AC725" s="26">
        <f t="shared" si="139"/>
        <v>0.33333333333333337</v>
      </c>
      <c r="AD725" s="26" t="str">
        <f t="shared" si="140"/>
        <v>Proyecto atrasado con respecto al cronograma</v>
      </c>
      <c r="AE725" s="27">
        <f t="shared" si="141"/>
        <v>0</v>
      </c>
      <c r="AF725" s="27">
        <f t="shared" si="142"/>
        <v>-7123723941</v>
      </c>
      <c r="AG725" s="28" t="str">
        <f>VLOOKUP(Indicador!E651,[1]Diccionario!C$1:AC$150,27,0)</f>
        <v>https://growdatasas.sharepoint.com/:x:/r/sites/Gestiondocumental/Administrativa/GD/Financiera/_layouts/15/Doc.aspx?sourcedoc=%7BBF6E8538-B113-45FF-83F6-596104EC0C59%7D&amp;file=3.0.0.%20%20MODELO%20UNAD%20V3.0.%20(ajustado).xlsm&amp;action=default&amp;mobileredirect=true</v>
      </c>
      <c r="AH725" s="28">
        <v>1</v>
      </c>
      <c r="AI725" s="28">
        <v>1</v>
      </c>
      <c r="AJ725" s="28"/>
      <c r="AK725" s="28"/>
    </row>
    <row r="726" spans="1:37" ht="18.75" customHeight="1" x14ac:dyDescent="0.25">
      <c r="A726" s="11">
        <v>2026</v>
      </c>
      <c r="B726" s="12" t="s">
        <v>48</v>
      </c>
      <c r="C726" s="15" t="s">
        <v>406</v>
      </c>
      <c r="D726" s="39">
        <v>45979.862053703706</v>
      </c>
      <c r="E726" s="15" t="s">
        <v>407</v>
      </c>
      <c r="F726" s="15" t="s">
        <v>408</v>
      </c>
      <c r="G726" s="15" t="s">
        <v>409</v>
      </c>
      <c r="H726" s="15" t="s">
        <v>410</v>
      </c>
      <c r="I726" s="15" t="s">
        <v>43</v>
      </c>
      <c r="J726" s="15" t="s">
        <v>411</v>
      </c>
      <c r="K726" s="15" t="s">
        <v>291</v>
      </c>
      <c r="L726" s="17">
        <f>VLOOKUP(E726,[1]Diccionario!C$2:AC$150,22,0)</f>
        <v>7123723941</v>
      </c>
      <c r="M726" s="18">
        <f>VLOOKUP(E726,[1]Diccionario!C$2:AC$150,24,0)</f>
        <v>45950</v>
      </c>
      <c r="N726" s="19">
        <f>VLOOKUP(E726,[1]Diccionario!C$2:AC$150,25,0)</f>
        <v>46387</v>
      </c>
      <c r="O726" s="20">
        <f>VLOOKUP(E726,[1]Diccionario!C$2:AC$150,26,0)</f>
        <v>14.37</v>
      </c>
      <c r="P726" s="20">
        <f t="shared" si="131"/>
        <v>-8.3699999999999992</v>
      </c>
      <c r="Q726" s="20">
        <v>6</v>
      </c>
      <c r="R726" s="15"/>
      <c r="S726" s="21">
        <v>0.35</v>
      </c>
      <c r="T726" s="21">
        <v>0.1</v>
      </c>
      <c r="U726" s="24">
        <f>U725+TablaIndicador[[#This Row],[Costo Mensual]]</f>
        <v>618866543.86000001</v>
      </c>
      <c r="V726" s="92">
        <v>618866543.86000001</v>
      </c>
      <c r="W726" s="24">
        <f t="shared" si="133"/>
        <v>712372394.10000002</v>
      </c>
      <c r="X726" s="24">
        <f t="shared" si="134"/>
        <v>2493303379.3499999</v>
      </c>
      <c r="Y726" s="24">
        <f t="shared" si="135"/>
        <v>93505850.24000001</v>
      </c>
      <c r="Z726" s="24">
        <f t="shared" si="136"/>
        <v>-1780930985.25</v>
      </c>
      <c r="AA726" s="25">
        <f t="shared" si="137"/>
        <v>1.1510921072850124</v>
      </c>
      <c r="AB726" s="26" t="str">
        <f t="shared" si="138"/>
        <v>Costo eficiente: se está gastando menos de lo presupuestado</v>
      </c>
      <c r="AC726" s="26">
        <f t="shared" si="139"/>
        <v>0.28571428571428575</v>
      </c>
      <c r="AD726" s="26" t="str">
        <f t="shared" si="140"/>
        <v>Proyecto atrasado con respecto al cronograma</v>
      </c>
      <c r="AE726" s="27">
        <f t="shared" si="141"/>
        <v>6188665438.6000004</v>
      </c>
      <c r="AF726" s="27">
        <f t="shared" si="142"/>
        <v>-935058502.39999962</v>
      </c>
      <c r="AG726" s="28" t="str">
        <f>VLOOKUP(Indicador!E652,[1]Diccionario!C$1:AC$150,27,0)</f>
        <v>https://growdatasas.sharepoint.com/:x:/r/sites/Gestiondocumental/Administrativa/GD/Financiera/_layouts/15/Doc.aspx?sourcedoc=%7BBF6E8538-B113-45FF-83F6-596104EC0C59%7D&amp;file=3.0.0.%20%20MODELO%20UNAD%20V3.0.%20(ajustado).xlsm&amp;action=default&amp;mobileredirect=true</v>
      </c>
      <c r="AH726" s="28">
        <v>1</v>
      </c>
      <c r="AI726" s="28">
        <v>1</v>
      </c>
      <c r="AJ726" s="28"/>
      <c r="AK726" s="28"/>
    </row>
    <row r="727" spans="1:37" ht="18.75" customHeight="1" x14ac:dyDescent="0.25">
      <c r="A727" s="11">
        <v>2026</v>
      </c>
      <c r="B727" s="12" t="s">
        <v>49</v>
      </c>
      <c r="C727" s="15" t="s">
        <v>406</v>
      </c>
      <c r="D727" s="39">
        <v>45979.862053703706</v>
      </c>
      <c r="E727" s="15" t="s">
        <v>407</v>
      </c>
      <c r="F727" s="15" t="s">
        <v>408</v>
      </c>
      <c r="G727" s="15" t="s">
        <v>409</v>
      </c>
      <c r="H727" s="15" t="s">
        <v>410</v>
      </c>
      <c r="I727" s="15" t="s">
        <v>43</v>
      </c>
      <c r="J727" s="15" t="s">
        <v>411</v>
      </c>
      <c r="K727" s="15" t="s">
        <v>291</v>
      </c>
      <c r="L727" s="17">
        <f>VLOOKUP(E727,[1]Diccionario!C$2:AC$150,22,0)</f>
        <v>7123723941</v>
      </c>
      <c r="M727" s="18">
        <f>VLOOKUP(E727,[1]Diccionario!C$2:AC$150,24,0)</f>
        <v>45950</v>
      </c>
      <c r="N727" s="19">
        <f>VLOOKUP(E727,[1]Diccionario!C$2:AC$150,25,0)</f>
        <v>46387</v>
      </c>
      <c r="O727" s="20">
        <f>VLOOKUP(E727,[1]Diccionario!C$2:AC$150,26,0)</f>
        <v>14.37</v>
      </c>
      <c r="P727" s="20">
        <f t="shared" si="131"/>
        <v>-7.3699999999999992</v>
      </c>
      <c r="Q727" s="20">
        <v>7</v>
      </c>
      <c r="R727" s="15"/>
      <c r="S727" s="21">
        <v>0.4</v>
      </c>
      <c r="T727" s="21"/>
      <c r="U727" s="24">
        <f>U726+TablaIndicador[[#This Row],[Costo Mensual]]</f>
        <v>618866543.86000001</v>
      </c>
      <c r="V727" s="24"/>
      <c r="W727" s="24">
        <f t="shared" si="133"/>
        <v>0</v>
      </c>
      <c r="X727" s="24">
        <f t="shared" si="134"/>
        <v>2849489576.4000001</v>
      </c>
      <c r="Y727" s="24">
        <f t="shared" si="135"/>
        <v>-618866543.86000001</v>
      </c>
      <c r="Z727" s="24">
        <f t="shared" si="136"/>
        <v>-2849489576.4000001</v>
      </c>
      <c r="AA727" s="25">
        <f t="shared" si="137"/>
        <v>0</v>
      </c>
      <c r="AB727" s="26" t="str">
        <f t="shared" si="138"/>
        <v>No calculado</v>
      </c>
      <c r="AC727" s="26">
        <f t="shared" si="139"/>
        <v>0</v>
      </c>
      <c r="AD727" s="26" t="str">
        <f t="shared" si="140"/>
        <v>Sin Línea Base</v>
      </c>
      <c r="AE727" s="27">
        <f t="shared" si="141"/>
        <v>0</v>
      </c>
      <c r="AF727" s="27">
        <f t="shared" si="142"/>
        <v>-7123723941</v>
      </c>
      <c r="AG727" s="28" t="str">
        <f>VLOOKUP(Indicador!E653,[1]Diccionario!C$1:AC$150,27,0)</f>
        <v>https://growdatasas.sharepoint.com/:x:/r/sites/Gestiondocumental/Administrativa/GD/Financiera/_layouts/15/Doc.aspx?sourcedoc=%7BBF6E8538-B113-45FF-83F6-596104EC0C59%7D&amp;file=3.0.0.%20%20MODELO%20UNAD%20V3.0.%20(ajustado).xlsm&amp;action=default&amp;mobileredirect=true</v>
      </c>
      <c r="AH727" s="28">
        <v>1</v>
      </c>
      <c r="AI727" s="28">
        <v>1</v>
      </c>
      <c r="AJ727" s="28"/>
      <c r="AK727" s="28"/>
    </row>
    <row r="728" spans="1:37" ht="18.75" customHeight="1" x14ac:dyDescent="0.25">
      <c r="A728" s="11">
        <v>2026</v>
      </c>
      <c r="B728" s="12" t="s">
        <v>50</v>
      </c>
      <c r="C728" s="15" t="s">
        <v>406</v>
      </c>
      <c r="D728" s="39">
        <v>45979.862053703706</v>
      </c>
      <c r="E728" s="15" t="s">
        <v>407</v>
      </c>
      <c r="F728" s="15" t="s">
        <v>408</v>
      </c>
      <c r="G728" s="15" t="s">
        <v>409</v>
      </c>
      <c r="H728" s="15" t="s">
        <v>410</v>
      </c>
      <c r="I728" s="15" t="s">
        <v>43</v>
      </c>
      <c r="J728" s="15" t="s">
        <v>411</v>
      </c>
      <c r="K728" s="15" t="s">
        <v>291</v>
      </c>
      <c r="L728" s="17">
        <f>VLOOKUP(E728,[1]Diccionario!C$2:AC$150,22,0)</f>
        <v>7123723941</v>
      </c>
      <c r="M728" s="18">
        <f>VLOOKUP(E728,[1]Diccionario!C$2:AC$150,24,0)</f>
        <v>45950</v>
      </c>
      <c r="N728" s="19">
        <f>VLOOKUP(E728,[1]Diccionario!C$2:AC$150,25,0)</f>
        <v>46387</v>
      </c>
      <c r="O728" s="20">
        <f>VLOOKUP(E728,[1]Diccionario!C$2:AC$150,26,0)</f>
        <v>14.37</v>
      </c>
      <c r="P728" s="20">
        <f t="shared" ca="1" si="131"/>
        <v>-9.3699999999999992</v>
      </c>
      <c r="Q728" s="20">
        <f t="shared" ref="Q728:Q735" ca="1" si="143">DATEDIF(M728,TODAY(),"m")</f>
        <v>5</v>
      </c>
      <c r="R728" s="15"/>
      <c r="S728" s="21">
        <v>0.45</v>
      </c>
      <c r="T728" s="21"/>
      <c r="U728" s="24">
        <f>U727+TablaIndicador[[#This Row],[Costo Mensual]]</f>
        <v>618866543.86000001</v>
      </c>
      <c r="V728" s="24"/>
      <c r="W728" s="24">
        <f t="shared" si="133"/>
        <v>0</v>
      </c>
      <c r="X728" s="24">
        <f t="shared" si="134"/>
        <v>3205675773.4500003</v>
      </c>
      <c r="Y728" s="24">
        <f t="shared" si="135"/>
        <v>-618866543.86000001</v>
      </c>
      <c r="Z728" s="24">
        <f t="shared" si="136"/>
        <v>-3205675773.4500003</v>
      </c>
      <c r="AA728" s="25">
        <f t="shared" si="137"/>
        <v>0</v>
      </c>
      <c r="AB728" s="26" t="str">
        <f t="shared" si="138"/>
        <v>No calculado</v>
      </c>
      <c r="AC728" s="26">
        <f t="shared" si="139"/>
        <v>0</v>
      </c>
      <c r="AD728" s="26" t="str">
        <f t="shared" si="140"/>
        <v>Sin Línea Base</v>
      </c>
      <c r="AE728" s="27">
        <f t="shared" si="141"/>
        <v>0</v>
      </c>
      <c r="AF728" s="27">
        <f t="shared" si="142"/>
        <v>-7123723941</v>
      </c>
      <c r="AG728" s="28" t="str">
        <f>VLOOKUP(Indicador!E654,[1]Diccionario!C$1:AC$150,27,0)</f>
        <v>https://growdatasas.sharepoint.com/:x:/r/sites/Gestiondocumental/Administrativa/GD/Financiera/_layouts/15/Doc.aspx?sourcedoc=%7BBF6E8538-B113-45FF-83F6-596104EC0C59%7D&amp;file=3.0.0.%20%20MODELO%20UNAD%20V3.0.%20(ajustado).xlsm&amp;action=default&amp;mobileredirect=true</v>
      </c>
      <c r="AH728" s="28">
        <v>1</v>
      </c>
      <c r="AI728" s="28">
        <v>1</v>
      </c>
      <c r="AJ728" s="28"/>
      <c r="AK728" s="28"/>
    </row>
    <row r="729" spans="1:37" ht="18.75" customHeight="1" x14ac:dyDescent="0.25">
      <c r="A729" s="11">
        <v>2026</v>
      </c>
      <c r="B729" s="12" t="s">
        <v>51</v>
      </c>
      <c r="C729" s="15" t="s">
        <v>406</v>
      </c>
      <c r="D729" s="39">
        <v>45979.862053703706</v>
      </c>
      <c r="E729" s="15" t="s">
        <v>407</v>
      </c>
      <c r="F729" s="15" t="s">
        <v>408</v>
      </c>
      <c r="G729" s="15" t="s">
        <v>409</v>
      </c>
      <c r="H729" s="15" t="s">
        <v>410</v>
      </c>
      <c r="I729" s="15" t="s">
        <v>43</v>
      </c>
      <c r="J729" s="15" t="s">
        <v>411</v>
      </c>
      <c r="K729" s="15" t="s">
        <v>291</v>
      </c>
      <c r="L729" s="17">
        <f>VLOOKUP(E729,[1]Diccionario!C$2:AC$150,22,0)</f>
        <v>7123723941</v>
      </c>
      <c r="M729" s="18">
        <f>VLOOKUP(E729,[1]Diccionario!C$2:AC$150,24,0)</f>
        <v>45950</v>
      </c>
      <c r="N729" s="19">
        <f>VLOOKUP(E729,[1]Diccionario!C$2:AC$150,25,0)</f>
        <v>46387</v>
      </c>
      <c r="O729" s="20">
        <f>VLOOKUP(E729,[1]Diccionario!C$2:AC$150,26,0)</f>
        <v>14.37</v>
      </c>
      <c r="P729" s="20">
        <f t="shared" ca="1" si="131"/>
        <v>-9.3699999999999992</v>
      </c>
      <c r="Q729" s="20">
        <f t="shared" ca="1" si="143"/>
        <v>5</v>
      </c>
      <c r="R729" s="15"/>
      <c r="S729" s="21">
        <v>0.49</v>
      </c>
      <c r="T729" s="21"/>
      <c r="U729" s="24">
        <f>U728+TablaIndicador[[#This Row],[Costo Mensual]]</f>
        <v>618866543.86000001</v>
      </c>
      <c r="V729" s="24"/>
      <c r="W729" s="24">
        <f t="shared" si="133"/>
        <v>0</v>
      </c>
      <c r="X729" s="24">
        <f t="shared" si="134"/>
        <v>3490624731.0900002</v>
      </c>
      <c r="Y729" s="24">
        <f t="shared" si="135"/>
        <v>-618866543.86000001</v>
      </c>
      <c r="Z729" s="24">
        <f t="shared" si="136"/>
        <v>-3490624731.0900002</v>
      </c>
      <c r="AA729" s="25">
        <f t="shared" si="137"/>
        <v>0</v>
      </c>
      <c r="AB729" s="26" t="str">
        <f t="shared" si="138"/>
        <v>No calculado</v>
      </c>
      <c r="AC729" s="26">
        <f t="shared" si="139"/>
        <v>0</v>
      </c>
      <c r="AD729" s="26" t="str">
        <f t="shared" si="140"/>
        <v>Sin Línea Base</v>
      </c>
      <c r="AE729" s="27">
        <f t="shared" si="141"/>
        <v>0</v>
      </c>
      <c r="AF729" s="27">
        <f t="shared" si="142"/>
        <v>-7123723941</v>
      </c>
      <c r="AG729" s="28" t="str">
        <f>VLOOKUP(Indicador!E655,[1]Diccionario!C$1:AC$150,27,0)</f>
        <v>https://growdatasas.sharepoint.com/:x:/r/sites/Gestiondocumental/Administrativa/GD/Financiera/_layouts/15/Doc.aspx?sourcedoc=%7BBF6E8538-B113-45FF-83F6-596104EC0C59%7D&amp;file=3.0.0.%20%20MODELO%20UNAD%20V3.0.%20(ajustado).xlsm&amp;action=default&amp;mobileredirect=true</v>
      </c>
      <c r="AH729" s="28">
        <v>1</v>
      </c>
      <c r="AI729" s="28">
        <v>1</v>
      </c>
      <c r="AJ729" s="28"/>
      <c r="AK729" s="28"/>
    </row>
    <row r="730" spans="1:37" ht="18.75" customHeight="1" x14ac:dyDescent="0.25">
      <c r="A730" s="11">
        <v>2026</v>
      </c>
      <c r="B730" s="12" t="s">
        <v>52</v>
      </c>
      <c r="C730" s="15" t="s">
        <v>406</v>
      </c>
      <c r="D730" s="39">
        <v>45979.862053703706</v>
      </c>
      <c r="E730" s="15" t="s">
        <v>407</v>
      </c>
      <c r="F730" s="15" t="s">
        <v>408</v>
      </c>
      <c r="G730" s="15" t="s">
        <v>409</v>
      </c>
      <c r="H730" s="15" t="s">
        <v>410</v>
      </c>
      <c r="I730" s="15" t="s">
        <v>43</v>
      </c>
      <c r="J730" s="15" t="s">
        <v>411</v>
      </c>
      <c r="K730" s="15" t="s">
        <v>291</v>
      </c>
      <c r="L730" s="17">
        <f>VLOOKUP(E730,[1]Diccionario!C$2:AC$150,22,0)</f>
        <v>7123723941</v>
      </c>
      <c r="M730" s="18">
        <f>VLOOKUP(E730,[1]Diccionario!C$2:AC$150,24,0)</f>
        <v>45950</v>
      </c>
      <c r="N730" s="19">
        <f>VLOOKUP(E730,[1]Diccionario!C$2:AC$150,25,0)</f>
        <v>46387</v>
      </c>
      <c r="O730" s="20">
        <f>VLOOKUP(E730,[1]Diccionario!C$2:AC$150,26,0)</f>
        <v>14.37</v>
      </c>
      <c r="P730" s="20">
        <f t="shared" ca="1" si="131"/>
        <v>-9.3699999999999992</v>
      </c>
      <c r="Q730" s="20">
        <f t="shared" ca="1" si="143"/>
        <v>5</v>
      </c>
      <c r="R730" s="15"/>
      <c r="S730" s="21">
        <v>0.53</v>
      </c>
      <c r="T730" s="21"/>
      <c r="U730" s="24">
        <f>U729+TablaIndicador[[#This Row],[Costo Mensual]]</f>
        <v>618866543.86000001</v>
      </c>
      <c r="V730" s="24"/>
      <c r="W730" s="24">
        <f t="shared" si="133"/>
        <v>0</v>
      </c>
      <c r="X730" s="24">
        <f t="shared" si="134"/>
        <v>3775573688.73</v>
      </c>
      <c r="Y730" s="24">
        <f t="shared" si="135"/>
        <v>-618866543.86000001</v>
      </c>
      <c r="Z730" s="24">
        <f t="shared" si="136"/>
        <v>-3775573688.73</v>
      </c>
      <c r="AA730" s="25">
        <f t="shared" si="137"/>
        <v>0</v>
      </c>
      <c r="AB730" s="26" t="str">
        <f t="shared" si="138"/>
        <v>No calculado</v>
      </c>
      <c r="AC730" s="26">
        <f t="shared" si="139"/>
        <v>0</v>
      </c>
      <c r="AD730" s="26" t="str">
        <f t="shared" si="140"/>
        <v>Sin Línea Base</v>
      </c>
      <c r="AE730" s="27">
        <f t="shared" si="141"/>
        <v>0</v>
      </c>
      <c r="AF730" s="27">
        <f t="shared" si="142"/>
        <v>-7123723941</v>
      </c>
      <c r="AG730" s="28" t="str">
        <f>VLOOKUP(Indicador!E656,[1]Diccionario!C$1:AC$150,27,0)</f>
        <v>https://growdatasas.sharepoint.com/:x:/r/sites/Gestiondocumental/Administrativa/GD/Financiera/_layouts/15/Doc.aspx?sourcedoc=%7BBF6E8538-B113-45FF-83F6-596104EC0C59%7D&amp;file=3.0.0.%20%20MODELO%20UNAD%20V3.0.%20(ajustado).xlsm&amp;action=default&amp;mobileredirect=true</v>
      </c>
      <c r="AH730" s="28">
        <v>1</v>
      </c>
      <c r="AI730" s="28">
        <v>1</v>
      </c>
      <c r="AJ730" s="28"/>
      <c r="AK730" s="28"/>
    </row>
    <row r="731" spans="1:37" ht="18.75" customHeight="1" x14ac:dyDescent="0.25">
      <c r="A731" s="11">
        <v>2026</v>
      </c>
      <c r="B731" s="12" t="s">
        <v>53</v>
      </c>
      <c r="C731" s="15" t="s">
        <v>406</v>
      </c>
      <c r="D731" s="39">
        <v>45979.862053703706</v>
      </c>
      <c r="E731" s="15" t="s">
        <v>407</v>
      </c>
      <c r="F731" s="15" t="s">
        <v>408</v>
      </c>
      <c r="G731" s="15" t="s">
        <v>409</v>
      </c>
      <c r="H731" s="15" t="s">
        <v>410</v>
      </c>
      <c r="I731" s="15" t="s">
        <v>43</v>
      </c>
      <c r="J731" s="15" t="s">
        <v>411</v>
      </c>
      <c r="K731" s="15" t="s">
        <v>291</v>
      </c>
      <c r="L731" s="17">
        <f>VLOOKUP(E731,[1]Diccionario!C$2:AC$150,22,0)</f>
        <v>7123723941</v>
      </c>
      <c r="M731" s="18">
        <f>VLOOKUP(E731,[1]Diccionario!C$2:AC$150,24,0)</f>
        <v>45950</v>
      </c>
      <c r="N731" s="19">
        <f>VLOOKUP(E731,[1]Diccionario!C$2:AC$150,25,0)</f>
        <v>46387</v>
      </c>
      <c r="O731" s="20">
        <f>VLOOKUP(E731,[1]Diccionario!C$2:AC$150,26,0)</f>
        <v>14.37</v>
      </c>
      <c r="P731" s="20">
        <f t="shared" ca="1" si="131"/>
        <v>-9.3699999999999992</v>
      </c>
      <c r="Q731" s="20">
        <f t="shared" ca="1" si="143"/>
        <v>5</v>
      </c>
      <c r="R731" s="15"/>
      <c r="S731" s="21">
        <v>0.59</v>
      </c>
      <c r="T731" s="21"/>
      <c r="U731" s="24">
        <f>U730+TablaIndicador[[#This Row],[Costo Mensual]]</f>
        <v>618866543.86000001</v>
      </c>
      <c r="V731" s="24"/>
      <c r="W731" s="24">
        <f t="shared" si="133"/>
        <v>0</v>
      </c>
      <c r="X731" s="24">
        <f t="shared" si="134"/>
        <v>4202997125.1899996</v>
      </c>
      <c r="Y731" s="24">
        <f t="shared" si="135"/>
        <v>-618866543.86000001</v>
      </c>
      <c r="Z731" s="24">
        <f t="shared" si="136"/>
        <v>-4202997125.1899996</v>
      </c>
      <c r="AA731" s="25">
        <f t="shared" si="137"/>
        <v>0</v>
      </c>
      <c r="AB731" s="26" t="str">
        <f t="shared" si="138"/>
        <v>No calculado</v>
      </c>
      <c r="AC731" s="26">
        <f t="shared" si="139"/>
        <v>0</v>
      </c>
      <c r="AD731" s="26" t="str">
        <f t="shared" si="140"/>
        <v>Sin Línea Base</v>
      </c>
      <c r="AE731" s="27">
        <f t="shared" si="141"/>
        <v>0</v>
      </c>
      <c r="AF731" s="27">
        <f t="shared" si="142"/>
        <v>-7123723941</v>
      </c>
      <c r="AG731" s="28" t="str">
        <f>VLOOKUP(Indicador!E657,[1]Diccionario!C$1:AC$150,27,0)</f>
        <v>https://growdatasas.sharepoint.com/:x:/r/sites/Gestiondocumental/Administrativa/GD/Financiera/_layouts/15/Doc.aspx?sourcedoc=%7BBF6E8538-B113-45FF-83F6-596104EC0C59%7D&amp;file=3.0.0.%20%20MODELO%20UNAD%20V3.0.%20(ajustado).xlsm&amp;action=default&amp;mobileredirect=true</v>
      </c>
      <c r="AH731" s="28">
        <v>1</v>
      </c>
      <c r="AI731" s="28">
        <v>1</v>
      </c>
      <c r="AJ731" s="28"/>
      <c r="AK731" s="28"/>
    </row>
    <row r="732" spans="1:37" ht="18.75" customHeight="1" x14ac:dyDescent="0.25">
      <c r="A732" s="11">
        <v>2026</v>
      </c>
      <c r="B732" s="12" t="s">
        <v>54</v>
      </c>
      <c r="C732" s="15" t="s">
        <v>406</v>
      </c>
      <c r="D732" s="39">
        <v>45979.862053703706</v>
      </c>
      <c r="E732" s="15" t="s">
        <v>407</v>
      </c>
      <c r="F732" s="15" t="s">
        <v>408</v>
      </c>
      <c r="G732" s="15" t="s">
        <v>409</v>
      </c>
      <c r="H732" s="15" t="s">
        <v>410</v>
      </c>
      <c r="I732" s="15" t="s">
        <v>43</v>
      </c>
      <c r="J732" s="15" t="s">
        <v>411</v>
      </c>
      <c r="K732" s="15" t="s">
        <v>291</v>
      </c>
      <c r="L732" s="17">
        <f>VLOOKUP(E732,[1]Diccionario!C$2:AC$150,22,0)</f>
        <v>7123723941</v>
      </c>
      <c r="M732" s="18">
        <f>VLOOKUP(E732,[1]Diccionario!C$2:AC$150,24,0)</f>
        <v>45950</v>
      </c>
      <c r="N732" s="19">
        <f>VLOOKUP(E732,[1]Diccionario!C$2:AC$150,25,0)</f>
        <v>46387</v>
      </c>
      <c r="O732" s="20">
        <f>VLOOKUP(E732,[1]Diccionario!C$2:AC$150,26,0)</f>
        <v>14.37</v>
      </c>
      <c r="P732" s="20">
        <f t="shared" ca="1" si="131"/>
        <v>-9.3699999999999992</v>
      </c>
      <c r="Q732" s="20">
        <f t="shared" ca="1" si="143"/>
        <v>5</v>
      </c>
      <c r="R732" s="15"/>
      <c r="S732" s="21">
        <v>0.72</v>
      </c>
      <c r="T732" s="21"/>
      <c r="U732" s="24">
        <f>U731+TablaIndicador[[#This Row],[Costo Mensual]]</f>
        <v>618866543.86000001</v>
      </c>
      <c r="V732" s="24"/>
      <c r="W732" s="24">
        <f t="shared" si="133"/>
        <v>0</v>
      </c>
      <c r="X732" s="24">
        <f t="shared" si="134"/>
        <v>5129081237.5199995</v>
      </c>
      <c r="Y732" s="24">
        <f t="shared" si="135"/>
        <v>-618866543.86000001</v>
      </c>
      <c r="Z732" s="24">
        <f t="shared" si="136"/>
        <v>-5129081237.5199995</v>
      </c>
      <c r="AA732" s="25">
        <f t="shared" si="137"/>
        <v>0</v>
      </c>
      <c r="AB732" s="26" t="str">
        <f t="shared" si="138"/>
        <v>No calculado</v>
      </c>
      <c r="AC732" s="26">
        <f t="shared" si="139"/>
        <v>0</v>
      </c>
      <c r="AD732" s="26" t="str">
        <f t="shared" si="140"/>
        <v>Sin Línea Base</v>
      </c>
      <c r="AE732" s="27">
        <f t="shared" si="141"/>
        <v>0</v>
      </c>
      <c r="AF732" s="27">
        <f t="shared" si="142"/>
        <v>-7123723941</v>
      </c>
      <c r="AG732" s="28" t="str">
        <f>VLOOKUP(Indicador!E658,[1]Diccionario!C$1:AC$150,27,0)</f>
        <v>https://growdatasas.sharepoint.com/:x:/r/sites/Gestiondocumental/Administrativa/GD/Financiera/_layouts/15/Doc.aspx?sourcedoc=%7BBF6E8538-B113-45FF-83F6-596104EC0C59%7D&amp;file=3.0.0.%20%20MODELO%20UNAD%20V3.0.%20(ajustado).xlsm&amp;action=default&amp;mobileredirect=true</v>
      </c>
      <c r="AH732" s="28">
        <v>1</v>
      </c>
      <c r="AI732" s="28">
        <v>1</v>
      </c>
      <c r="AJ732" s="28"/>
      <c r="AK732" s="28"/>
    </row>
    <row r="733" spans="1:37" ht="18.75" customHeight="1" x14ac:dyDescent="0.25">
      <c r="A733" s="11">
        <v>2026</v>
      </c>
      <c r="B733" s="12" t="s">
        <v>55</v>
      </c>
      <c r="C733" s="15" t="s">
        <v>406</v>
      </c>
      <c r="D733" s="39">
        <v>45979.862053703706</v>
      </c>
      <c r="E733" s="15" t="s">
        <v>407</v>
      </c>
      <c r="F733" s="15" t="s">
        <v>408</v>
      </c>
      <c r="G733" s="15" t="s">
        <v>409</v>
      </c>
      <c r="H733" s="15" t="s">
        <v>410</v>
      </c>
      <c r="I733" s="15" t="s">
        <v>43</v>
      </c>
      <c r="J733" s="15" t="s">
        <v>411</v>
      </c>
      <c r="K733" s="15" t="s">
        <v>291</v>
      </c>
      <c r="L733" s="17">
        <f>VLOOKUP(E733,[1]Diccionario!C$2:AC$150,22,0)</f>
        <v>7123723941</v>
      </c>
      <c r="M733" s="18">
        <f>VLOOKUP(E733,[1]Diccionario!C$2:AC$150,24,0)</f>
        <v>45950</v>
      </c>
      <c r="N733" s="19">
        <f>VLOOKUP(E733,[1]Diccionario!C$2:AC$150,25,0)</f>
        <v>46387</v>
      </c>
      <c r="O733" s="20">
        <f>VLOOKUP(E733,[1]Diccionario!C$2:AC$150,26,0)</f>
        <v>14.37</v>
      </c>
      <c r="P733" s="20">
        <f t="shared" ca="1" si="131"/>
        <v>-9.3699999999999992</v>
      </c>
      <c r="Q733" s="20">
        <f t="shared" ca="1" si="143"/>
        <v>5</v>
      </c>
      <c r="R733" s="15"/>
      <c r="S733" s="21">
        <v>0.88</v>
      </c>
      <c r="T733" s="21"/>
      <c r="U733" s="24">
        <f>U732+TablaIndicador[[#This Row],[Costo Mensual]]</f>
        <v>618866543.86000001</v>
      </c>
      <c r="V733" s="24"/>
      <c r="W733" s="24">
        <f t="shared" si="133"/>
        <v>0</v>
      </c>
      <c r="X733" s="24">
        <f t="shared" si="134"/>
        <v>6268877068.0799999</v>
      </c>
      <c r="Y733" s="24">
        <f t="shared" si="135"/>
        <v>-618866543.86000001</v>
      </c>
      <c r="Z733" s="24">
        <f t="shared" si="136"/>
        <v>-6268877068.0799999</v>
      </c>
      <c r="AA733" s="25">
        <f t="shared" si="137"/>
        <v>0</v>
      </c>
      <c r="AB733" s="26" t="str">
        <f t="shared" si="138"/>
        <v>No calculado</v>
      </c>
      <c r="AC733" s="26">
        <f t="shared" si="139"/>
        <v>0</v>
      </c>
      <c r="AD733" s="26" t="str">
        <f t="shared" si="140"/>
        <v>Sin Línea Base</v>
      </c>
      <c r="AE733" s="27">
        <f t="shared" si="141"/>
        <v>0</v>
      </c>
      <c r="AF733" s="27">
        <f t="shared" si="142"/>
        <v>-7123723941</v>
      </c>
      <c r="AG733" s="28" t="str">
        <f>VLOOKUP(Indicador!E659,[1]Diccionario!C$1:AC$150,27,0)</f>
        <v>https://growdatasas.sharepoint.com/:x:/r/sites/Gestiondocumental/Administrativa/GD/Financiera/_layouts/15/Doc.aspx?sourcedoc=%7BBF6E8538-B113-45FF-83F6-596104EC0C59%7D&amp;file=3.0.0.%20%20MODELO%20UNAD%20V3.0.%20(ajustado).xlsm&amp;action=default&amp;mobileredirect=true</v>
      </c>
      <c r="AH733" s="28">
        <v>1</v>
      </c>
      <c r="AI733" s="28">
        <v>1</v>
      </c>
      <c r="AJ733" s="28"/>
      <c r="AK733" s="28"/>
    </row>
    <row r="734" spans="1:37" ht="18.75" customHeight="1" x14ac:dyDescent="0.25">
      <c r="A734" s="11">
        <v>2026</v>
      </c>
      <c r="B734" s="12" t="s">
        <v>56</v>
      </c>
      <c r="C734" s="15" t="s">
        <v>406</v>
      </c>
      <c r="D734" s="39">
        <v>45979.862053703706</v>
      </c>
      <c r="E734" s="15" t="s">
        <v>407</v>
      </c>
      <c r="F734" s="15" t="s">
        <v>408</v>
      </c>
      <c r="G734" s="15" t="s">
        <v>409</v>
      </c>
      <c r="H734" s="15" t="s">
        <v>410</v>
      </c>
      <c r="I734" s="15" t="s">
        <v>43</v>
      </c>
      <c r="J734" s="15" t="s">
        <v>411</v>
      </c>
      <c r="K734" s="15" t="s">
        <v>291</v>
      </c>
      <c r="L734" s="17">
        <f>VLOOKUP(E734,[1]Diccionario!C$2:AC$150,22,0)</f>
        <v>7123723941</v>
      </c>
      <c r="M734" s="18">
        <f>VLOOKUP(E734,[1]Diccionario!C$2:AC$150,24,0)</f>
        <v>45950</v>
      </c>
      <c r="N734" s="19">
        <f>VLOOKUP(E734,[1]Diccionario!C$2:AC$150,25,0)</f>
        <v>46387</v>
      </c>
      <c r="O734" s="20">
        <f>VLOOKUP(E734,[1]Diccionario!C$2:AC$150,26,0)</f>
        <v>14.37</v>
      </c>
      <c r="P734" s="20">
        <f t="shared" ca="1" si="131"/>
        <v>-9.3699999999999992</v>
      </c>
      <c r="Q734" s="20">
        <f t="shared" ca="1" si="143"/>
        <v>5</v>
      </c>
      <c r="R734" s="15"/>
      <c r="S734" s="21">
        <v>0.92</v>
      </c>
      <c r="T734" s="21"/>
      <c r="U734" s="24">
        <f>U733+TablaIndicador[[#This Row],[Costo Mensual]]</f>
        <v>618866543.86000001</v>
      </c>
      <c r="V734" s="24"/>
      <c r="W734" s="24">
        <f t="shared" si="133"/>
        <v>0</v>
      </c>
      <c r="X734" s="24">
        <f t="shared" si="134"/>
        <v>6553826025.7200003</v>
      </c>
      <c r="Y734" s="24">
        <f t="shared" si="135"/>
        <v>-618866543.86000001</v>
      </c>
      <c r="Z734" s="24">
        <f t="shared" si="136"/>
        <v>-6553826025.7200003</v>
      </c>
      <c r="AA734" s="25">
        <f t="shared" si="137"/>
        <v>0</v>
      </c>
      <c r="AB734" s="26" t="str">
        <f t="shared" si="138"/>
        <v>No calculado</v>
      </c>
      <c r="AC734" s="26">
        <f t="shared" si="139"/>
        <v>0</v>
      </c>
      <c r="AD734" s="26" t="str">
        <f t="shared" si="140"/>
        <v>Sin Línea Base</v>
      </c>
      <c r="AE734" s="27">
        <f t="shared" si="141"/>
        <v>0</v>
      </c>
      <c r="AF734" s="27">
        <f t="shared" si="142"/>
        <v>-7123723941</v>
      </c>
      <c r="AG734" s="28" t="str">
        <f>VLOOKUP(Indicador!E660,[1]Diccionario!C$1:AC$150,27,0)</f>
        <v>https://growdatasas.sharepoint.com/:x:/r/sites/Gestiondocumental/Administrativa/GD/Financiera/_layouts/15/Doc.aspx?sourcedoc=%7BBF6E8538-B113-45FF-83F6-596104EC0C59%7D&amp;file=3.0.0.%20%20MODELO%20UNAD%20V3.0.%20(ajustado).xlsm&amp;action=default&amp;mobileredirect=true</v>
      </c>
      <c r="AH734" s="28">
        <v>1</v>
      </c>
      <c r="AI734" s="28">
        <v>1</v>
      </c>
      <c r="AJ734" s="28"/>
      <c r="AK734" s="28"/>
    </row>
    <row r="735" spans="1:37" ht="18.75" customHeight="1" x14ac:dyDescent="0.25">
      <c r="A735" s="11">
        <v>2026</v>
      </c>
      <c r="B735" s="12" t="s">
        <v>57</v>
      </c>
      <c r="C735" s="15" t="s">
        <v>406</v>
      </c>
      <c r="D735" s="39">
        <v>45979.862053703706</v>
      </c>
      <c r="E735" s="15" t="s">
        <v>407</v>
      </c>
      <c r="F735" s="15" t="s">
        <v>408</v>
      </c>
      <c r="G735" s="15" t="s">
        <v>409</v>
      </c>
      <c r="H735" s="15" t="s">
        <v>410</v>
      </c>
      <c r="I735" s="15" t="s">
        <v>43</v>
      </c>
      <c r="J735" s="15" t="s">
        <v>411</v>
      </c>
      <c r="K735" s="15" t="s">
        <v>291</v>
      </c>
      <c r="L735" s="17">
        <f>VLOOKUP(E735,[1]Diccionario!C$2:AC$150,22,0)</f>
        <v>7123723941</v>
      </c>
      <c r="M735" s="18">
        <f>VLOOKUP(E735,[1]Diccionario!C$2:AC$150,24,0)</f>
        <v>45950</v>
      </c>
      <c r="N735" s="19">
        <f>VLOOKUP(E735,[1]Diccionario!C$2:AC$150,25,0)</f>
        <v>46387</v>
      </c>
      <c r="O735" s="20">
        <f>VLOOKUP(E735,[1]Diccionario!C$2:AC$150,26,0)</f>
        <v>14.37</v>
      </c>
      <c r="P735" s="20">
        <f t="shared" ca="1" si="131"/>
        <v>-9.3699999999999992</v>
      </c>
      <c r="Q735" s="20">
        <f t="shared" ca="1" si="143"/>
        <v>5</v>
      </c>
      <c r="R735" s="15"/>
      <c r="S735" s="21">
        <v>1</v>
      </c>
      <c r="T735" s="21"/>
      <c r="U735" s="24">
        <f>U734+TablaIndicador[[#This Row],[Costo Mensual]]</f>
        <v>618866543.86000001</v>
      </c>
      <c r="V735" s="24"/>
      <c r="W735" s="24">
        <f t="shared" si="133"/>
        <v>0</v>
      </c>
      <c r="X735" s="24">
        <f t="shared" si="134"/>
        <v>7123723941</v>
      </c>
      <c r="Y735" s="24">
        <f t="shared" si="135"/>
        <v>-618866543.86000001</v>
      </c>
      <c r="Z735" s="24">
        <f t="shared" si="136"/>
        <v>-7123723941</v>
      </c>
      <c r="AA735" s="25">
        <f t="shared" si="137"/>
        <v>0</v>
      </c>
      <c r="AB735" s="26" t="str">
        <f t="shared" si="138"/>
        <v>No calculado</v>
      </c>
      <c r="AC735" s="26">
        <f t="shared" si="139"/>
        <v>0</v>
      </c>
      <c r="AD735" s="26" t="str">
        <f t="shared" si="140"/>
        <v>Sin Línea Base</v>
      </c>
      <c r="AE735" s="27">
        <f t="shared" si="141"/>
        <v>0</v>
      </c>
      <c r="AF735" s="27">
        <f t="shared" si="142"/>
        <v>-7123723941</v>
      </c>
      <c r="AG735" s="28" t="str">
        <f>VLOOKUP(Indicador!E661,[1]Diccionario!C$1:AC$150,27,0)</f>
        <v>https://growdatasas.sharepoint.com/:x:/r/sites/Gestiondocumental/Administrativa/GD/Financiera/_layouts/15/Doc.aspx?sourcedoc=%7BBF6E8538-B113-45FF-83F6-596104EC0C59%7D&amp;file=3.0.0.%20%20MODELO%20UNAD%20V3.0.%20(ajustado).xlsm&amp;action=default&amp;mobileredirect=true</v>
      </c>
      <c r="AH735" s="28">
        <v>1</v>
      </c>
      <c r="AI735" s="28">
        <v>1</v>
      </c>
      <c r="AJ735" s="28"/>
      <c r="AK735" s="28"/>
    </row>
    <row r="736" spans="1:37" ht="18.75" customHeight="1" x14ac:dyDescent="0.25">
      <c r="A736" s="64">
        <v>2025</v>
      </c>
      <c r="B736" s="65" t="s">
        <v>56</v>
      </c>
      <c r="C736" s="66" t="s">
        <v>412</v>
      </c>
      <c r="D736" s="67">
        <v>45986.680452627312</v>
      </c>
      <c r="E736" s="66" t="s">
        <v>413</v>
      </c>
      <c r="F736" s="66" t="s">
        <v>277</v>
      </c>
      <c r="G736" s="66" t="s">
        <v>414</v>
      </c>
      <c r="H736" s="66" t="s">
        <v>415</v>
      </c>
      <c r="I736" s="66" t="s">
        <v>43</v>
      </c>
      <c r="J736" s="66" t="s">
        <v>416</v>
      </c>
      <c r="K736" s="66" t="s">
        <v>45</v>
      </c>
      <c r="L736" s="68">
        <f>VLOOKUP(E736,[1]Diccionario!C$2:AC$150,22,0)</f>
        <v>1117759798</v>
      </c>
      <c r="M736" s="69">
        <f>VLOOKUP(E736,[1]Diccionario!C$2:AC$150,24,0)</f>
        <v>45962</v>
      </c>
      <c r="N736" s="70">
        <f>VLOOKUP(E736,[1]Diccionario!C$2:AC$150,25,0)</f>
        <v>46325</v>
      </c>
      <c r="O736" s="71">
        <f>VLOOKUP(E736,[1]Diccionario!C$2:AC$150,26,0)</f>
        <v>11.97</v>
      </c>
      <c r="P736" s="71">
        <f t="shared" si="131"/>
        <v>-10.97</v>
      </c>
      <c r="Q736" s="71">
        <v>1</v>
      </c>
      <c r="R736" s="66">
        <v>12</v>
      </c>
      <c r="S736" s="72">
        <v>0.1</v>
      </c>
      <c r="T736" s="72">
        <v>0.1</v>
      </c>
      <c r="U736" s="79">
        <v>0</v>
      </c>
      <c r="V736" s="73">
        <v>0</v>
      </c>
      <c r="W736" s="73">
        <f t="shared" si="133"/>
        <v>111775979.80000001</v>
      </c>
      <c r="X736" s="73">
        <f t="shared" si="134"/>
        <v>111775979.80000001</v>
      </c>
      <c r="Y736" s="73">
        <f t="shared" si="135"/>
        <v>111775979.80000001</v>
      </c>
      <c r="Z736" s="73">
        <f t="shared" si="136"/>
        <v>0</v>
      </c>
      <c r="AA736" s="75" t="str">
        <f t="shared" si="137"/>
        <v>No se realizó gasto en este corte</v>
      </c>
      <c r="AB736" s="76" t="str">
        <f t="shared" si="138"/>
        <v>Costo eficiente: se está gastando menos de lo presupuestado</v>
      </c>
      <c r="AC736" s="76">
        <f t="shared" si="139"/>
        <v>1</v>
      </c>
      <c r="AD736" s="76" t="str">
        <f t="shared" si="140"/>
        <v>Proyecto a tiempo según lo planificado</v>
      </c>
      <c r="AE736" s="77">
        <f t="shared" si="141"/>
        <v>0</v>
      </c>
      <c r="AF736" s="77">
        <f t="shared" si="142"/>
        <v>-1117759798</v>
      </c>
      <c r="AG736" s="78" t="str">
        <f>VLOOKUP(Indicador!E662,[1]Diccionario!C$1:AC$150,27,0)</f>
        <v>https://growdatasas.sharepoint.com/:x:/r/sites/Gestiondocumental/Administrativa/GD/Financiera/_layouts/15/Doc.aspx?sourcedoc=%7BBF6E8538-B113-45FF-83F6-596104EC0C59%7D&amp;file=3.0.0.%20%20MODELO%20UNAD%20V3.0.%20(ajustado).xlsm&amp;action=default&amp;mobileredirect=true</v>
      </c>
      <c r="AH736" s="78">
        <v>1</v>
      </c>
      <c r="AI736" s="78">
        <v>1</v>
      </c>
      <c r="AJ736" s="78"/>
      <c r="AK736" s="78" t="s">
        <v>319</v>
      </c>
    </row>
    <row r="737" spans="1:37" ht="18.75" customHeight="1" x14ac:dyDescent="0.25">
      <c r="A737" s="64">
        <v>2025</v>
      </c>
      <c r="B737" s="65" t="s">
        <v>57</v>
      </c>
      <c r="C737" s="66" t="s">
        <v>412</v>
      </c>
      <c r="D737" s="67">
        <v>45986.680452627312</v>
      </c>
      <c r="E737" s="66" t="s">
        <v>413</v>
      </c>
      <c r="F737" s="66" t="s">
        <v>277</v>
      </c>
      <c r="G737" s="66" t="s">
        <v>414</v>
      </c>
      <c r="H737" s="66" t="s">
        <v>415</v>
      </c>
      <c r="I737" s="66" t="s">
        <v>43</v>
      </c>
      <c r="J737" s="66" t="s">
        <v>416</v>
      </c>
      <c r="K737" s="66" t="s">
        <v>45</v>
      </c>
      <c r="L737" s="68">
        <f>VLOOKUP(E737,[1]Diccionario!C$2:AC$150,22,0)</f>
        <v>1117759798</v>
      </c>
      <c r="M737" s="69">
        <f>VLOOKUP(E737,[1]Diccionario!C$2:AC$150,24,0)</f>
        <v>45962</v>
      </c>
      <c r="N737" s="70">
        <f>VLOOKUP(E737,[1]Diccionario!C$2:AC$150,25,0)</f>
        <v>46325</v>
      </c>
      <c r="O737" s="71">
        <f>VLOOKUP(E737,[1]Diccionario!C$2:AC$150,26,0)</f>
        <v>11.97</v>
      </c>
      <c r="P737" s="71">
        <f t="shared" si="131"/>
        <v>-9.9700000000000006</v>
      </c>
      <c r="Q737" s="71">
        <v>2</v>
      </c>
      <c r="R737" s="66">
        <v>12</v>
      </c>
      <c r="S737" s="72">
        <v>0.2</v>
      </c>
      <c r="T737" s="72">
        <v>0.15</v>
      </c>
      <c r="U737" s="79">
        <f>U736+TablaIndicador[[#This Row],[Costo Mensual]]</f>
        <v>388455000</v>
      </c>
      <c r="V737" s="73">
        <v>388455000</v>
      </c>
      <c r="W737" s="73">
        <f t="shared" si="133"/>
        <v>167663969.69999999</v>
      </c>
      <c r="X737" s="73">
        <f t="shared" si="134"/>
        <v>223551959.60000002</v>
      </c>
      <c r="Y737" s="73">
        <f t="shared" si="135"/>
        <v>-220791030.30000001</v>
      </c>
      <c r="Z737" s="73">
        <f t="shared" si="136"/>
        <v>-55887989.900000036</v>
      </c>
      <c r="AA737" s="75">
        <f t="shared" si="137"/>
        <v>0.43161748387844151</v>
      </c>
      <c r="AB737" s="76" t="str">
        <f t="shared" si="138"/>
        <v>Costo ineficiente: se está gastando más de lo presupuestado</v>
      </c>
      <c r="AC737" s="76">
        <f t="shared" si="139"/>
        <v>0.74999999999999989</v>
      </c>
      <c r="AD737" s="76" t="str">
        <f t="shared" si="140"/>
        <v>Proyecto atrasado con respecto al cronograma</v>
      </c>
      <c r="AE737" s="77">
        <f t="shared" si="141"/>
        <v>2589700000</v>
      </c>
      <c r="AF737" s="77">
        <f t="shared" si="142"/>
        <v>1471940202</v>
      </c>
      <c r="AG737" s="78" t="str">
        <f>VLOOKUP(Indicador!E663,[1]Diccionario!C$1:AC$150,27,0)</f>
        <v>https://growdatasas.sharepoint.com/:x:/r/sites/Gestiondocumental/Administrativa/GD/Financiera/_layouts/15/Doc.aspx?sourcedoc=%7BBF6E8538-B113-45FF-83F6-596104EC0C59%7D&amp;file=3.0.0.%20%20MODELO%20UNAD%20V3.0.%20(ajustado).xlsm&amp;action=default&amp;mobileredirect=true</v>
      </c>
      <c r="AH737" s="78">
        <v>1</v>
      </c>
      <c r="AI737" s="78">
        <v>1</v>
      </c>
      <c r="AJ737" s="78"/>
      <c r="AK737" s="78" t="s">
        <v>319</v>
      </c>
    </row>
    <row r="738" spans="1:37" ht="18.75" customHeight="1" x14ac:dyDescent="0.25">
      <c r="A738" s="64">
        <v>2026</v>
      </c>
      <c r="B738" s="65" t="s">
        <v>37</v>
      </c>
      <c r="C738" s="66" t="s">
        <v>412</v>
      </c>
      <c r="D738" s="67">
        <v>45986.680452627312</v>
      </c>
      <c r="E738" s="66" t="s">
        <v>413</v>
      </c>
      <c r="F738" s="66" t="s">
        <v>277</v>
      </c>
      <c r="G738" s="66" t="s">
        <v>414</v>
      </c>
      <c r="H738" s="66" t="s">
        <v>415</v>
      </c>
      <c r="I738" s="66" t="s">
        <v>43</v>
      </c>
      <c r="J738" s="66" t="s">
        <v>416</v>
      </c>
      <c r="K738" s="66" t="s">
        <v>45</v>
      </c>
      <c r="L738" s="68">
        <f>VLOOKUP(E738,[1]Diccionario!C$2:AC$150,22,0)</f>
        <v>1117759798</v>
      </c>
      <c r="M738" s="69">
        <f>VLOOKUP(E738,[1]Diccionario!C$2:AC$150,24,0)</f>
        <v>45962</v>
      </c>
      <c r="N738" s="70">
        <f>VLOOKUP(E738,[1]Diccionario!C$2:AC$150,25,0)</f>
        <v>46325</v>
      </c>
      <c r="O738" s="71">
        <f>VLOOKUP(E738,[1]Diccionario!C$2:AC$150,26,0)</f>
        <v>11.97</v>
      </c>
      <c r="P738" s="71">
        <f t="shared" si="131"/>
        <v>-8.9700000000000006</v>
      </c>
      <c r="Q738" s="71">
        <v>3</v>
      </c>
      <c r="R738" s="66">
        <v>12</v>
      </c>
      <c r="S738" s="72">
        <v>0.35</v>
      </c>
      <c r="T738" s="72">
        <v>0.3</v>
      </c>
      <c r="U738" s="79">
        <f>U737+TablaIndicador[[#This Row],[Costo Mensual]]</f>
        <v>388455000</v>
      </c>
      <c r="V738" s="73">
        <v>0</v>
      </c>
      <c r="W738" s="73">
        <f t="shared" si="133"/>
        <v>335327939.39999998</v>
      </c>
      <c r="X738" s="73">
        <f t="shared" si="134"/>
        <v>391215929.29999995</v>
      </c>
      <c r="Y738" s="73">
        <f t="shared" si="135"/>
        <v>-53127060.600000024</v>
      </c>
      <c r="Z738" s="73">
        <f t="shared" si="136"/>
        <v>-55887989.899999976</v>
      </c>
      <c r="AA738" s="75">
        <f t="shared" si="137"/>
        <v>0.86323496775688302</v>
      </c>
      <c r="AB738" s="76" t="str">
        <f t="shared" si="138"/>
        <v>Costo ineficiente: se está gastando más de lo presupuestado</v>
      </c>
      <c r="AC738" s="76">
        <f t="shared" si="139"/>
        <v>0.85714285714285721</v>
      </c>
      <c r="AD738" s="76" t="str">
        <f t="shared" si="140"/>
        <v>Proyecto atrasado con respecto al cronograma</v>
      </c>
      <c r="AE738" s="77">
        <f t="shared" si="141"/>
        <v>1294850000</v>
      </c>
      <c r="AF738" s="77">
        <f t="shared" si="142"/>
        <v>177090202</v>
      </c>
      <c r="AG738" s="78" t="str">
        <f>VLOOKUP(Indicador!E664,[1]Diccionario!C$1:AC$150,27,0)</f>
        <v>https://growdatasas.sharepoint.com/:x:/r/sites/Gestiondocumental/Administrativa/GD/Financiera/_layouts/15/Doc.aspx?sourcedoc=%7BBF6E8538-B113-45FF-83F6-596104EC0C59%7D&amp;file=3.0.0.%20%20MODELO%20UNAD%20V3.0.%20(ajustado).xlsm&amp;action=default&amp;mobileredirect=true</v>
      </c>
      <c r="AH738" s="78">
        <v>1</v>
      </c>
      <c r="AI738" s="78">
        <v>1</v>
      </c>
      <c r="AJ738" s="78"/>
      <c r="AK738" s="78" t="s">
        <v>319</v>
      </c>
    </row>
    <row r="739" spans="1:37" ht="18.75" customHeight="1" x14ac:dyDescent="0.25">
      <c r="A739" s="64">
        <v>2026</v>
      </c>
      <c r="B739" s="65" t="s">
        <v>47</v>
      </c>
      <c r="C739" s="66" t="s">
        <v>412</v>
      </c>
      <c r="D739" s="67">
        <v>45986.680452627312</v>
      </c>
      <c r="E739" s="66" t="s">
        <v>413</v>
      </c>
      <c r="F739" s="66" t="s">
        <v>277</v>
      </c>
      <c r="G739" s="66" t="s">
        <v>414</v>
      </c>
      <c r="H739" s="66" t="s">
        <v>415</v>
      </c>
      <c r="I739" s="66" t="s">
        <v>43</v>
      </c>
      <c r="J739" s="66" t="s">
        <v>416</v>
      </c>
      <c r="K739" s="66" t="s">
        <v>45</v>
      </c>
      <c r="L739" s="68">
        <f>VLOOKUP(E739,[1]Diccionario!C$2:AC$150,22,0)</f>
        <v>1117759798</v>
      </c>
      <c r="M739" s="69">
        <f>VLOOKUP(E739,[1]Diccionario!C$2:AC$150,24,0)</f>
        <v>45962</v>
      </c>
      <c r="N739" s="70">
        <f>VLOOKUP(E739,[1]Diccionario!C$2:AC$150,25,0)</f>
        <v>46325</v>
      </c>
      <c r="O739" s="71">
        <f>VLOOKUP(E739,[1]Diccionario!C$2:AC$150,26,0)</f>
        <v>11.97</v>
      </c>
      <c r="P739" s="71">
        <f t="shared" si="131"/>
        <v>-7.9700000000000006</v>
      </c>
      <c r="Q739" s="71">
        <v>4</v>
      </c>
      <c r="R739" s="66">
        <v>12</v>
      </c>
      <c r="S739" s="72">
        <v>0.4</v>
      </c>
      <c r="T739" s="72">
        <v>0.42</v>
      </c>
      <c r="U739" s="79">
        <f>U738+TablaIndicador[[#This Row],[Costo Mensual]]</f>
        <v>388455000</v>
      </c>
      <c r="V739" s="73">
        <v>0</v>
      </c>
      <c r="W739" s="73">
        <f t="shared" si="133"/>
        <v>469459115.15999997</v>
      </c>
      <c r="X739" s="73">
        <f t="shared" si="134"/>
        <v>447103919.20000005</v>
      </c>
      <c r="Y739" s="73">
        <f t="shared" si="135"/>
        <v>81004115.159999967</v>
      </c>
      <c r="Z739" s="73">
        <f t="shared" si="136"/>
        <v>22355195.959999919</v>
      </c>
      <c r="AA739" s="75">
        <f t="shared" si="137"/>
        <v>1.2085289548596361</v>
      </c>
      <c r="AB739" s="76" t="str">
        <f t="shared" si="138"/>
        <v>Costo eficiente: se está gastando menos de lo presupuestado</v>
      </c>
      <c r="AC739" s="76">
        <f t="shared" si="139"/>
        <v>1.0499999999999998</v>
      </c>
      <c r="AD739" s="76" t="str">
        <f t="shared" si="140"/>
        <v>Proyecto adelantado respecto al cronograma</v>
      </c>
      <c r="AE739" s="77">
        <f t="shared" si="141"/>
        <v>924892857.14285731</v>
      </c>
      <c r="AF739" s="77">
        <f t="shared" si="142"/>
        <v>-192866940.85714269</v>
      </c>
      <c r="AG739" s="78" t="str">
        <f>VLOOKUP(Indicador!E665,[1]Diccionario!C$1:AC$150,27,0)</f>
        <v>https://growdatasas.sharepoint.com/:x:/r/sites/Gestiondocumental/Administrativa/GD/Financiera/_layouts/15/Doc.aspx?sourcedoc=%7BBF6E8538-B113-45FF-83F6-596104EC0C59%7D&amp;file=3.0.0.%20%20MODELO%20UNAD%20V3.0.%20(ajustado).xlsm&amp;action=default&amp;mobileredirect=true</v>
      </c>
      <c r="AH739" s="78">
        <v>1</v>
      </c>
      <c r="AI739" s="78">
        <v>1</v>
      </c>
      <c r="AJ739" s="78"/>
      <c r="AK739" s="78" t="s">
        <v>319</v>
      </c>
    </row>
    <row r="740" spans="1:37" ht="18.75" customHeight="1" x14ac:dyDescent="0.25">
      <c r="A740" s="64">
        <v>2026</v>
      </c>
      <c r="B740" s="65" t="s">
        <v>48</v>
      </c>
      <c r="C740" s="66" t="s">
        <v>412</v>
      </c>
      <c r="D740" s="67">
        <v>45986.680452627312</v>
      </c>
      <c r="E740" s="66" t="s">
        <v>413</v>
      </c>
      <c r="F740" s="66" t="s">
        <v>277</v>
      </c>
      <c r="G740" s="66" t="s">
        <v>414</v>
      </c>
      <c r="H740" s="66" t="s">
        <v>415</v>
      </c>
      <c r="I740" s="66" t="s">
        <v>43</v>
      </c>
      <c r="J740" s="66" t="s">
        <v>416</v>
      </c>
      <c r="K740" s="66" t="s">
        <v>45</v>
      </c>
      <c r="L740" s="68">
        <f>VLOOKUP(E740,[1]Diccionario!C$2:AC$150,22,0)</f>
        <v>1117759798</v>
      </c>
      <c r="M740" s="69">
        <f>VLOOKUP(E740,[1]Diccionario!C$2:AC$150,24,0)</f>
        <v>45962</v>
      </c>
      <c r="N740" s="70">
        <f>VLOOKUP(E740,[1]Diccionario!C$2:AC$150,25,0)</f>
        <v>46325</v>
      </c>
      <c r="O740" s="71">
        <f>VLOOKUP(E740,[1]Diccionario!C$2:AC$150,26,0)</f>
        <v>11.97</v>
      </c>
      <c r="P740" s="71">
        <f t="shared" si="131"/>
        <v>-6.9700000000000006</v>
      </c>
      <c r="Q740" s="71">
        <v>5</v>
      </c>
      <c r="R740" s="66">
        <v>12</v>
      </c>
      <c r="S740" s="72">
        <v>0.45</v>
      </c>
      <c r="T740" s="72">
        <v>0.45</v>
      </c>
      <c r="U740" s="79">
        <f>U739+TablaIndicador[[#This Row],[Costo Mensual]]</f>
        <v>388997471</v>
      </c>
      <c r="V740" s="74">
        <v>542471</v>
      </c>
      <c r="W740" s="73">
        <f t="shared" si="133"/>
        <v>502991909.10000002</v>
      </c>
      <c r="X740" s="73">
        <f t="shared" si="134"/>
        <v>502991909.10000002</v>
      </c>
      <c r="Y740" s="73">
        <f t="shared" si="135"/>
        <v>113994438.10000002</v>
      </c>
      <c r="Z740" s="73">
        <f t="shared" si="136"/>
        <v>0</v>
      </c>
      <c r="AA740" s="75">
        <f t="shared" si="137"/>
        <v>1.2930467332009983</v>
      </c>
      <c r="AB740" s="76" t="str">
        <f t="shared" si="138"/>
        <v>Costo eficiente: se está gastando menos de lo presupuestado</v>
      </c>
      <c r="AC740" s="76">
        <f t="shared" si="139"/>
        <v>1</v>
      </c>
      <c r="AD740" s="76" t="str">
        <f t="shared" si="140"/>
        <v>Proyecto a tiempo según lo planificado</v>
      </c>
      <c r="AE740" s="77">
        <f t="shared" si="141"/>
        <v>864438824.4444443</v>
      </c>
      <c r="AF740" s="77">
        <f t="shared" si="142"/>
        <v>-253320973.5555557</v>
      </c>
      <c r="AG740" s="78" t="str">
        <f>VLOOKUP(Indicador!E666,[1]Diccionario!C$1:AC$150,27,0)</f>
        <v>https://growdatasas.sharepoint.com/:x:/r/sites/Gestiondocumental/Administrativa/GD/Financiera/_layouts/15/Doc.aspx?sourcedoc=%7BBF6E8538-B113-45FF-83F6-596104EC0C59%7D&amp;file=3.0.0.%20%20MODELO%20UNAD%20V3.0.%20(ajustado).xlsm&amp;action=default&amp;mobileredirect=true</v>
      </c>
      <c r="AH740" s="78">
        <v>1</v>
      </c>
      <c r="AI740" s="78">
        <v>1</v>
      </c>
      <c r="AJ740" s="78"/>
      <c r="AK740" s="78" t="s">
        <v>319</v>
      </c>
    </row>
    <row r="741" spans="1:37" ht="18.75" customHeight="1" x14ac:dyDescent="0.25">
      <c r="A741" s="64">
        <v>2026</v>
      </c>
      <c r="B741" s="65" t="s">
        <v>49</v>
      </c>
      <c r="C741" s="66" t="s">
        <v>412</v>
      </c>
      <c r="D741" s="67">
        <v>45986.680452627312</v>
      </c>
      <c r="E741" s="66" t="s">
        <v>413</v>
      </c>
      <c r="F741" s="66" t="s">
        <v>277</v>
      </c>
      <c r="G741" s="66" t="s">
        <v>414</v>
      </c>
      <c r="H741" s="66" t="s">
        <v>415</v>
      </c>
      <c r="I741" s="66" t="s">
        <v>43</v>
      </c>
      <c r="J741" s="66" t="s">
        <v>416</v>
      </c>
      <c r="K741" s="66" t="s">
        <v>45</v>
      </c>
      <c r="L741" s="68">
        <f>VLOOKUP(E741,[1]Diccionario!C$2:AC$150,22,0)</f>
        <v>1117759798</v>
      </c>
      <c r="M741" s="69">
        <f>VLOOKUP(E741,[1]Diccionario!C$2:AC$150,24,0)</f>
        <v>45962</v>
      </c>
      <c r="N741" s="70">
        <f>VLOOKUP(E741,[1]Diccionario!C$2:AC$150,25,0)</f>
        <v>46325</v>
      </c>
      <c r="O741" s="71">
        <f>VLOOKUP(E741,[1]Diccionario!C$2:AC$150,26,0)</f>
        <v>11.97</v>
      </c>
      <c r="P741" s="71">
        <f t="shared" si="131"/>
        <v>-5.9700000000000006</v>
      </c>
      <c r="Q741" s="71">
        <v>6</v>
      </c>
      <c r="R741" s="66">
        <v>12</v>
      </c>
      <c r="S741" s="72">
        <v>0.55000000000000004</v>
      </c>
      <c r="T741" s="72"/>
      <c r="U741" s="79">
        <f>U740+TablaIndicador[[#This Row],[Costo Mensual]]</f>
        <v>388997471</v>
      </c>
      <c r="V741" s="73">
        <v>0</v>
      </c>
      <c r="W741" s="73">
        <f t="shared" si="133"/>
        <v>0</v>
      </c>
      <c r="X741" s="73">
        <f t="shared" si="134"/>
        <v>614767888.9000001</v>
      </c>
      <c r="Y741" s="73">
        <f t="shared" si="135"/>
        <v>-388997471</v>
      </c>
      <c r="Z741" s="73">
        <f t="shared" si="136"/>
        <v>-614767888.9000001</v>
      </c>
      <c r="AA741" s="75">
        <f t="shared" si="137"/>
        <v>0</v>
      </c>
      <c r="AB741" s="76" t="str">
        <f t="shared" si="138"/>
        <v>No calculado</v>
      </c>
      <c r="AC741" s="76">
        <f t="shared" si="139"/>
        <v>0</v>
      </c>
      <c r="AD741" s="76" t="str">
        <f t="shared" si="140"/>
        <v>Sin Línea Base</v>
      </c>
      <c r="AE741" s="77">
        <f t="shared" si="141"/>
        <v>0</v>
      </c>
      <c r="AF741" s="77">
        <f t="shared" si="142"/>
        <v>-1117759798</v>
      </c>
      <c r="AG741" s="78" t="str">
        <f>VLOOKUP(Indicador!E667,[1]Diccionario!C$1:AC$150,27,0)</f>
        <v>https://growdatasas.sharepoint.com/:x:/r/sites/Gestiondocumental/Administrativa/GD/Financiera/_layouts/15/Doc.aspx?sourcedoc=%7BBF6E8538-B113-45FF-83F6-596104EC0C59%7D&amp;file=3.0.0.%20%20MODELO%20UNAD%20V3.0.%20(ajustado).xlsm&amp;action=default&amp;mobileredirect=true</v>
      </c>
      <c r="AH741" s="78">
        <v>1</v>
      </c>
      <c r="AI741" s="78">
        <v>1</v>
      </c>
      <c r="AJ741" s="78"/>
      <c r="AK741" s="78" t="s">
        <v>319</v>
      </c>
    </row>
    <row r="742" spans="1:37" ht="18.75" customHeight="1" x14ac:dyDescent="0.25">
      <c r="A742" s="64">
        <v>2026</v>
      </c>
      <c r="B742" s="65" t="s">
        <v>50</v>
      </c>
      <c r="C742" s="66" t="s">
        <v>412</v>
      </c>
      <c r="D742" s="67">
        <v>45986.680452627312</v>
      </c>
      <c r="E742" s="66" t="s">
        <v>413</v>
      </c>
      <c r="F742" s="66" t="s">
        <v>277</v>
      </c>
      <c r="G742" s="66" t="s">
        <v>414</v>
      </c>
      <c r="H742" s="66" t="s">
        <v>415</v>
      </c>
      <c r="I742" s="66" t="s">
        <v>43</v>
      </c>
      <c r="J742" s="66" t="s">
        <v>416</v>
      </c>
      <c r="K742" s="66" t="s">
        <v>45</v>
      </c>
      <c r="L742" s="68">
        <f>VLOOKUP(E742,[1]Diccionario!C$2:AC$150,22,0)</f>
        <v>1117759798</v>
      </c>
      <c r="M742" s="69">
        <f>VLOOKUP(E742,[1]Diccionario!C$2:AC$150,24,0)</f>
        <v>45962</v>
      </c>
      <c r="N742" s="70">
        <f>VLOOKUP(E742,[1]Diccionario!C$2:AC$150,25,0)</f>
        <v>46325</v>
      </c>
      <c r="O742" s="71">
        <f>VLOOKUP(E742,[1]Diccionario!C$2:AC$150,26,0)</f>
        <v>11.97</v>
      </c>
      <c r="P742" s="71">
        <f t="shared" si="131"/>
        <v>-4.9700000000000006</v>
      </c>
      <c r="Q742" s="71">
        <v>7</v>
      </c>
      <c r="R742" s="66">
        <v>12</v>
      </c>
      <c r="S742" s="72">
        <v>0.64</v>
      </c>
      <c r="T742" s="72"/>
      <c r="U742" s="79">
        <f>U741+TablaIndicador[[#This Row],[Costo Mensual]]</f>
        <v>388997471</v>
      </c>
      <c r="V742" s="73">
        <v>0</v>
      </c>
      <c r="W742" s="73">
        <f t="shared" si="133"/>
        <v>0</v>
      </c>
      <c r="X742" s="73">
        <f t="shared" si="134"/>
        <v>715366270.72000003</v>
      </c>
      <c r="Y742" s="73">
        <f t="shared" si="135"/>
        <v>-388997471</v>
      </c>
      <c r="Z742" s="73">
        <f t="shared" si="136"/>
        <v>-715366270.72000003</v>
      </c>
      <c r="AA742" s="75">
        <f t="shared" si="137"/>
        <v>0</v>
      </c>
      <c r="AB742" s="76" t="str">
        <f t="shared" si="138"/>
        <v>No calculado</v>
      </c>
      <c r="AC742" s="76">
        <f t="shared" si="139"/>
        <v>0</v>
      </c>
      <c r="AD742" s="76" t="str">
        <f t="shared" si="140"/>
        <v>Sin Línea Base</v>
      </c>
      <c r="AE742" s="77">
        <f t="shared" si="141"/>
        <v>0</v>
      </c>
      <c r="AF742" s="77">
        <f t="shared" si="142"/>
        <v>-1117759798</v>
      </c>
      <c r="AG742" s="78" t="str">
        <f>VLOOKUP(Indicador!E668,[1]Diccionario!C$1:AC$150,27,0)</f>
        <v>https://growdatasas.sharepoint.com/:x:/r/sites/Gestiondocumental/Administrativa/GD/Financiera/_layouts/15/Doc.aspx?sourcedoc=%7BBF6E8538-B113-45FF-83F6-596104EC0C59%7D&amp;file=3.0.0.%20%20MODELO%20UNAD%20V3.0.%20(ajustado).xlsm&amp;action=default&amp;mobileredirect=true</v>
      </c>
      <c r="AH742" s="78">
        <v>1</v>
      </c>
      <c r="AI742" s="78">
        <v>1</v>
      </c>
      <c r="AJ742" s="78"/>
      <c r="AK742" s="78" t="s">
        <v>319</v>
      </c>
    </row>
    <row r="743" spans="1:37" ht="18.75" customHeight="1" x14ac:dyDescent="0.25">
      <c r="A743" s="64">
        <v>2026</v>
      </c>
      <c r="B743" s="65" t="s">
        <v>51</v>
      </c>
      <c r="C743" s="66" t="s">
        <v>412</v>
      </c>
      <c r="D743" s="67">
        <v>45986.680452627312</v>
      </c>
      <c r="E743" s="66" t="s">
        <v>413</v>
      </c>
      <c r="F743" s="66" t="s">
        <v>277</v>
      </c>
      <c r="G743" s="66" t="s">
        <v>414</v>
      </c>
      <c r="H743" s="66" t="s">
        <v>415</v>
      </c>
      <c r="I743" s="66" t="s">
        <v>43</v>
      </c>
      <c r="J743" s="66" t="s">
        <v>416</v>
      </c>
      <c r="K743" s="66" t="s">
        <v>45</v>
      </c>
      <c r="L743" s="68">
        <f>VLOOKUP(E743,[1]Diccionario!C$2:AC$150,22,0)</f>
        <v>1117759798</v>
      </c>
      <c r="M743" s="69">
        <f>VLOOKUP(E743,[1]Diccionario!C$2:AC$150,24,0)</f>
        <v>45962</v>
      </c>
      <c r="N743" s="70">
        <f>VLOOKUP(E743,[1]Diccionario!C$2:AC$150,25,0)</f>
        <v>46325</v>
      </c>
      <c r="O743" s="71">
        <f>VLOOKUP(E743,[1]Diccionario!C$2:AC$150,26,0)</f>
        <v>11.97</v>
      </c>
      <c r="P743" s="71">
        <f t="shared" si="131"/>
        <v>-3.9700000000000006</v>
      </c>
      <c r="Q743" s="71">
        <v>8</v>
      </c>
      <c r="R743" s="66">
        <v>12</v>
      </c>
      <c r="S743" s="72">
        <v>0.7</v>
      </c>
      <c r="T743" s="72"/>
      <c r="U743" s="79">
        <f>U742+TablaIndicador[[#This Row],[Costo Mensual]]</f>
        <v>388997471</v>
      </c>
      <c r="V743" s="73">
        <v>0</v>
      </c>
      <c r="W743" s="73">
        <f t="shared" si="133"/>
        <v>0</v>
      </c>
      <c r="X743" s="73">
        <f t="shared" si="134"/>
        <v>782431858.5999999</v>
      </c>
      <c r="Y743" s="73">
        <f t="shared" si="135"/>
        <v>-388997471</v>
      </c>
      <c r="Z743" s="73">
        <f t="shared" si="136"/>
        <v>-782431858.5999999</v>
      </c>
      <c r="AA743" s="75">
        <f t="shared" si="137"/>
        <v>0</v>
      </c>
      <c r="AB743" s="76" t="str">
        <f t="shared" si="138"/>
        <v>No calculado</v>
      </c>
      <c r="AC743" s="76">
        <f t="shared" si="139"/>
        <v>0</v>
      </c>
      <c r="AD743" s="76" t="str">
        <f t="shared" si="140"/>
        <v>Sin Línea Base</v>
      </c>
      <c r="AE743" s="77">
        <f t="shared" si="141"/>
        <v>0</v>
      </c>
      <c r="AF743" s="77">
        <f t="shared" si="142"/>
        <v>-1117759798</v>
      </c>
      <c r="AG743" s="78" t="str">
        <f>VLOOKUP(Indicador!E669,[1]Diccionario!C$1:AC$150,27,0)</f>
        <v>https://growdatasas.sharepoint.com/:x:/r/sites/Gestiondocumental/Administrativa/GD/Financiera/_layouts/15/Doc.aspx?sourcedoc=%7BBF6E8538-B113-45FF-83F6-596104EC0C59%7D&amp;file=3.0.0.%20%20MODELO%20UNAD%20V3.0.%20(ajustado).xlsm&amp;action=default&amp;mobileredirect=true</v>
      </c>
      <c r="AH743" s="78">
        <v>1</v>
      </c>
      <c r="AI743" s="78">
        <v>1</v>
      </c>
      <c r="AJ743" s="78"/>
      <c r="AK743" s="78" t="s">
        <v>319</v>
      </c>
    </row>
    <row r="744" spans="1:37" ht="18.75" customHeight="1" x14ac:dyDescent="0.25">
      <c r="A744" s="64">
        <v>2026</v>
      </c>
      <c r="B744" s="65" t="s">
        <v>52</v>
      </c>
      <c r="C744" s="66" t="s">
        <v>412</v>
      </c>
      <c r="D744" s="67">
        <v>45986.680452627312</v>
      </c>
      <c r="E744" s="66" t="s">
        <v>413</v>
      </c>
      <c r="F744" s="66" t="s">
        <v>277</v>
      </c>
      <c r="G744" s="66" t="s">
        <v>414</v>
      </c>
      <c r="H744" s="66" t="s">
        <v>415</v>
      </c>
      <c r="I744" s="66" t="s">
        <v>43</v>
      </c>
      <c r="J744" s="66" t="s">
        <v>416</v>
      </c>
      <c r="K744" s="66" t="s">
        <v>45</v>
      </c>
      <c r="L744" s="68">
        <f>VLOOKUP(E744,[1]Diccionario!C$2:AC$150,22,0)</f>
        <v>1117759798</v>
      </c>
      <c r="M744" s="69">
        <f>VLOOKUP(E744,[1]Diccionario!C$2:AC$150,24,0)</f>
        <v>45962</v>
      </c>
      <c r="N744" s="70">
        <f>VLOOKUP(E744,[1]Diccionario!C$2:AC$150,25,0)</f>
        <v>46325</v>
      </c>
      <c r="O744" s="71">
        <f>VLOOKUP(E744,[1]Diccionario!C$2:AC$150,26,0)</f>
        <v>11.97</v>
      </c>
      <c r="P744" s="71">
        <f t="shared" si="131"/>
        <v>-2.9700000000000006</v>
      </c>
      <c r="Q744" s="71">
        <v>9</v>
      </c>
      <c r="R744" s="66">
        <v>12</v>
      </c>
      <c r="S744" s="72">
        <v>0.85</v>
      </c>
      <c r="T744" s="72"/>
      <c r="U744" s="79">
        <f>U743+TablaIndicador[[#This Row],[Costo Mensual]]</f>
        <v>388997471</v>
      </c>
      <c r="V744" s="73">
        <v>0</v>
      </c>
      <c r="W744" s="73">
        <f t="shared" si="133"/>
        <v>0</v>
      </c>
      <c r="X744" s="73">
        <f t="shared" si="134"/>
        <v>950095828.29999995</v>
      </c>
      <c r="Y744" s="73">
        <f t="shared" si="135"/>
        <v>-388997471</v>
      </c>
      <c r="Z744" s="73">
        <f t="shared" si="136"/>
        <v>-950095828.29999995</v>
      </c>
      <c r="AA744" s="75">
        <f t="shared" si="137"/>
        <v>0</v>
      </c>
      <c r="AB744" s="76" t="str">
        <f t="shared" si="138"/>
        <v>No calculado</v>
      </c>
      <c r="AC744" s="76">
        <f t="shared" si="139"/>
        <v>0</v>
      </c>
      <c r="AD744" s="76" t="str">
        <f t="shared" si="140"/>
        <v>Sin Línea Base</v>
      </c>
      <c r="AE744" s="77">
        <f t="shared" si="141"/>
        <v>0</v>
      </c>
      <c r="AF744" s="77">
        <f t="shared" si="142"/>
        <v>-1117759798</v>
      </c>
      <c r="AG744" s="78" t="str">
        <f>VLOOKUP(Indicador!E670,[1]Diccionario!C$1:AC$150,27,0)</f>
        <v>https://growdatasas.sharepoint.com/:x:/r/sites/Gestiondocumental/Administrativa/GD/Financiera/_layouts/15/Doc.aspx?sourcedoc=%7BBF6E8538-B113-45FF-83F6-596104EC0C59%7D&amp;file=3.0.0.%20%20MODELO%20UNAD%20V3.0.%20(ajustado).xlsm&amp;action=default&amp;mobileredirect=true</v>
      </c>
      <c r="AH744" s="78">
        <v>1</v>
      </c>
      <c r="AI744" s="78">
        <v>1</v>
      </c>
      <c r="AJ744" s="78"/>
      <c r="AK744" s="78" t="s">
        <v>319</v>
      </c>
    </row>
    <row r="745" spans="1:37" ht="18.75" customHeight="1" x14ac:dyDescent="0.25">
      <c r="A745" s="64">
        <v>2026</v>
      </c>
      <c r="B745" s="65" t="s">
        <v>53</v>
      </c>
      <c r="C745" s="66" t="s">
        <v>412</v>
      </c>
      <c r="D745" s="67">
        <v>45986.680452627312</v>
      </c>
      <c r="E745" s="66" t="s">
        <v>413</v>
      </c>
      <c r="F745" s="66" t="s">
        <v>277</v>
      </c>
      <c r="G745" s="66" t="s">
        <v>414</v>
      </c>
      <c r="H745" s="66" t="s">
        <v>415</v>
      </c>
      <c r="I745" s="66" t="s">
        <v>43</v>
      </c>
      <c r="J745" s="66" t="s">
        <v>416</v>
      </c>
      <c r="K745" s="66" t="s">
        <v>45</v>
      </c>
      <c r="L745" s="68">
        <f>VLOOKUP(E745,[1]Diccionario!C$2:AC$150,22,0)</f>
        <v>1117759798</v>
      </c>
      <c r="M745" s="69">
        <f>VLOOKUP(E745,[1]Diccionario!C$2:AC$150,24,0)</f>
        <v>45962</v>
      </c>
      <c r="N745" s="70">
        <f>VLOOKUP(E745,[1]Diccionario!C$2:AC$150,25,0)</f>
        <v>46325</v>
      </c>
      <c r="O745" s="71">
        <f>VLOOKUP(E745,[1]Diccionario!C$2:AC$150,26,0)</f>
        <v>11.97</v>
      </c>
      <c r="P745" s="71">
        <f t="shared" si="131"/>
        <v>-1.9700000000000006</v>
      </c>
      <c r="Q745" s="71">
        <v>10</v>
      </c>
      <c r="R745" s="66">
        <v>12</v>
      </c>
      <c r="S745" s="72">
        <v>0.9</v>
      </c>
      <c r="T745" s="72"/>
      <c r="U745" s="79">
        <f>U744+TablaIndicador[[#This Row],[Costo Mensual]]</f>
        <v>388997471</v>
      </c>
      <c r="V745" s="73">
        <v>0</v>
      </c>
      <c r="W745" s="73">
        <f t="shared" si="133"/>
        <v>0</v>
      </c>
      <c r="X745" s="73">
        <f t="shared" si="134"/>
        <v>1005983818.2</v>
      </c>
      <c r="Y745" s="73">
        <f t="shared" si="135"/>
        <v>-388997471</v>
      </c>
      <c r="Z745" s="73">
        <f t="shared" si="136"/>
        <v>-1005983818.2</v>
      </c>
      <c r="AA745" s="75">
        <f t="shared" si="137"/>
        <v>0</v>
      </c>
      <c r="AB745" s="76" t="str">
        <f t="shared" si="138"/>
        <v>No calculado</v>
      </c>
      <c r="AC745" s="76">
        <f t="shared" si="139"/>
        <v>0</v>
      </c>
      <c r="AD745" s="76" t="str">
        <f t="shared" si="140"/>
        <v>Sin Línea Base</v>
      </c>
      <c r="AE745" s="77">
        <f t="shared" si="141"/>
        <v>0</v>
      </c>
      <c r="AF745" s="77">
        <f t="shared" si="142"/>
        <v>-1117759798</v>
      </c>
      <c r="AG745" s="78" t="str">
        <f>VLOOKUP(Indicador!E671,[1]Diccionario!C$1:AC$150,27,0)</f>
        <v>https://growdatasas.sharepoint.com/:x:/r/sites/Gestiondocumental/Administrativa/GD/Financiera/_layouts/15/Doc.aspx?sourcedoc=%7BBF6E8538-B113-45FF-83F6-596104EC0C59%7D&amp;file=3.0.0.%20%20MODELO%20UNAD%20V3.0.%20(ajustado).xlsm&amp;action=default&amp;mobileredirect=true</v>
      </c>
      <c r="AH745" s="78">
        <v>1</v>
      </c>
      <c r="AI745" s="78">
        <v>1</v>
      </c>
      <c r="AJ745" s="78"/>
      <c r="AK745" s="78" t="s">
        <v>319</v>
      </c>
    </row>
    <row r="746" spans="1:37" ht="18.75" customHeight="1" x14ac:dyDescent="0.25">
      <c r="A746" s="64">
        <v>2026</v>
      </c>
      <c r="B746" s="65" t="s">
        <v>54</v>
      </c>
      <c r="C746" s="66" t="s">
        <v>412</v>
      </c>
      <c r="D746" s="67">
        <v>45986.680452627312</v>
      </c>
      <c r="E746" s="66" t="s">
        <v>413</v>
      </c>
      <c r="F746" s="66" t="s">
        <v>277</v>
      </c>
      <c r="G746" s="66" t="s">
        <v>414</v>
      </c>
      <c r="H746" s="66" t="s">
        <v>415</v>
      </c>
      <c r="I746" s="66" t="s">
        <v>43</v>
      </c>
      <c r="J746" s="66" t="s">
        <v>416</v>
      </c>
      <c r="K746" s="66" t="s">
        <v>45</v>
      </c>
      <c r="L746" s="68">
        <f>VLOOKUP(E746,[1]Diccionario!C$2:AC$150,22,0)</f>
        <v>1117759798</v>
      </c>
      <c r="M746" s="69">
        <f>VLOOKUP(E746,[1]Diccionario!C$2:AC$150,24,0)</f>
        <v>45962</v>
      </c>
      <c r="N746" s="70">
        <f>VLOOKUP(E746,[1]Diccionario!C$2:AC$150,25,0)</f>
        <v>46325</v>
      </c>
      <c r="O746" s="71">
        <f>VLOOKUP(E746,[1]Diccionario!C$2:AC$150,26,0)</f>
        <v>11.97</v>
      </c>
      <c r="P746" s="71">
        <f t="shared" si="131"/>
        <v>-0.97000000000000064</v>
      </c>
      <c r="Q746" s="71">
        <v>11</v>
      </c>
      <c r="R746" s="66">
        <v>12</v>
      </c>
      <c r="S746" s="72">
        <v>0.95</v>
      </c>
      <c r="T746" s="72"/>
      <c r="U746" s="79">
        <f>U745+TablaIndicador[[#This Row],[Costo Mensual]]</f>
        <v>388997471</v>
      </c>
      <c r="V746" s="73">
        <v>0</v>
      </c>
      <c r="W746" s="73">
        <f t="shared" si="133"/>
        <v>0</v>
      </c>
      <c r="X746" s="73">
        <f t="shared" si="134"/>
        <v>1061871808.0999999</v>
      </c>
      <c r="Y746" s="73">
        <f t="shared" si="135"/>
        <v>-388997471</v>
      </c>
      <c r="Z746" s="73">
        <f t="shared" si="136"/>
        <v>-1061871808.0999999</v>
      </c>
      <c r="AA746" s="75">
        <f t="shared" si="137"/>
        <v>0</v>
      </c>
      <c r="AB746" s="76" t="str">
        <f t="shared" si="138"/>
        <v>No calculado</v>
      </c>
      <c r="AC746" s="76">
        <f t="shared" si="139"/>
        <v>0</v>
      </c>
      <c r="AD746" s="76" t="str">
        <f t="shared" si="140"/>
        <v>Sin Línea Base</v>
      </c>
      <c r="AE746" s="77">
        <f t="shared" si="141"/>
        <v>0</v>
      </c>
      <c r="AF746" s="77">
        <f t="shared" si="142"/>
        <v>-1117759798</v>
      </c>
      <c r="AG746" s="78" t="str">
        <f>VLOOKUP(Indicador!E672,[1]Diccionario!C$1:AC$150,27,0)</f>
        <v>https://growdatasas.sharepoint.com/:x:/r/sites/Gestiondocumental/Administrativa/GD/Financiera/_layouts/15/Doc.aspx?sourcedoc=%7BBF6E8538-B113-45FF-83F6-596104EC0C59%7D&amp;file=3.0.0.%20%20MODELO%20UNAD%20V3.0.%20(ajustado).xlsm&amp;action=default&amp;mobileredirect=true</v>
      </c>
      <c r="AH746" s="78">
        <v>1</v>
      </c>
      <c r="AI746" s="78">
        <v>1</v>
      </c>
      <c r="AJ746" s="78"/>
      <c r="AK746" s="78" t="s">
        <v>319</v>
      </c>
    </row>
    <row r="747" spans="1:37" ht="18.75" customHeight="1" x14ac:dyDescent="0.25">
      <c r="A747" s="64">
        <v>2026</v>
      </c>
      <c r="B747" s="65" t="s">
        <v>55</v>
      </c>
      <c r="C747" s="66" t="s">
        <v>412</v>
      </c>
      <c r="D747" s="67">
        <v>45986.680452627312</v>
      </c>
      <c r="E747" s="66" t="s">
        <v>413</v>
      </c>
      <c r="F747" s="66" t="s">
        <v>277</v>
      </c>
      <c r="G747" s="66" t="s">
        <v>414</v>
      </c>
      <c r="H747" s="66" t="s">
        <v>415</v>
      </c>
      <c r="I747" s="66" t="s">
        <v>43</v>
      </c>
      <c r="J747" s="66" t="s">
        <v>416</v>
      </c>
      <c r="K747" s="66" t="s">
        <v>45</v>
      </c>
      <c r="L747" s="68">
        <f>VLOOKUP(E747,[1]Diccionario!C$2:AC$150,22,0)</f>
        <v>1117759798</v>
      </c>
      <c r="M747" s="69">
        <f>VLOOKUP(E747,[1]Diccionario!C$2:AC$150,24,0)</f>
        <v>45962</v>
      </c>
      <c r="N747" s="70">
        <f>VLOOKUP(E747,[1]Diccionario!C$2:AC$150,25,0)</f>
        <v>46325</v>
      </c>
      <c r="O747" s="71">
        <f>VLOOKUP(E747,[1]Diccionario!C$2:AC$150,26,0)</f>
        <v>11.97</v>
      </c>
      <c r="P747" s="71">
        <f t="shared" si="131"/>
        <v>2.9999999999999361E-2</v>
      </c>
      <c r="Q747" s="71">
        <v>12</v>
      </c>
      <c r="R747" s="66">
        <v>12</v>
      </c>
      <c r="S747" s="72">
        <v>1</v>
      </c>
      <c r="T747" s="72"/>
      <c r="U747" s="79">
        <f>U746+TablaIndicador[[#This Row],[Costo Mensual]]</f>
        <v>388997471</v>
      </c>
      <c r="V747" s="73">
        <v>0</v>
      </c>
      <c r="W747" s="73">
        <f t="shared" si="133"/>
        <v>0</v>
      </c>
      <c r="X747" s="73">
        <f t="shared" si="134"/>
        <v>1117759798</v>
      </c>
      <c r="Y747" s="73">
        <f t="shared" si="135"/>
        <v>-388997471</v>
      </c>
      <c r="Z747" s="73">
        <f t="shared" si="136"/>
        <v>-1117759798</v>
      </c>
      <c r="AA747" s="75">
        <f t="shared" si="137"/>
        <v>0</v>
      </c>
      <c r="AB747" s="76" t="str">
        <f t="shared" si="138"/>
        <v>No calculado</v>
      </c>
      <c r="AC747" s="76">
        <f t="shared" si="139"/>
        <v>0</v>
      </c>
      <c r="AD747" s="76" t="str">
        <f t="shared" si="140"/>
        <v>Sin Línea Base</v>
      </c>
      <c r="AE747" s="77">
        <f t="shared" si="141"/>
        <v>0</v>
      </c>
      <c r="AF747" s="77">
        <f t="shared" si="142"/>
        <v>-1117759798</v>
      </c>
      <c r="AG747" s="78" t="str">
        <f>VLOOKUP(Indicador!E673,[1]Diccionario!C$1:AC$150,27,0)</f>
        <v>https://growdatasas.sharepoint.com/:x:/r/sites/Gestiondocumental/Administrativa/GD/Financiera/_layouts/15/Doc.aspx?sourcedoc=%7BBF6E8538-B113-45FF-83F6-596104EC0C59%7D&amp;file=3.0.0.%20%20MODELO%20UNAD%20V3.0.%20(ajustado).xlsm&amp;action=default&amp;mobileredirect=true</v>
      </c>
      <c r="AH747" s="78">
        <v>1</v>
      </c>
      <c r="AI747" s="78">
        <v>1</v>
      </c>
      <c r="AJ747" s="78"/>
      <c r="AK747" s="78" t="s">
        <v>319</v>
      </c>
    </row>
    <row r="748" spans="1:37" ht="18.75" customHeight="1" x14ac:dyDescent="0.25">
      <c r="A748" s="64">
        <v>2025</v>
      </c>
      <c r="B748" s="65" t="s">
        <v>55</v>
      </c>
      <c r="C748" s="66" t="s">
        <v>417</v>
      </c>
      <c r="D748" s="67">
        <v>45986.738573726849</v>
      </c>
      <c r="E748" s="66" t="s">
        <v>418</v>
      </c>
      <c r="F748" s="66" t="s">
        <v>40</v>
      </c>
      <c r="G748" s="66" t="s">
        <v>419</v>
      </c>
      <c r="H748" s="66" t="s">
        <v>420</v>
      </c>
      <c r="I748" s="66" t="s">
        <v>78</v>
      </c>
      <c r="J748" s="66" t="s">
        <v>421</v>
      </c>
      <c r="K748" s="66" t="s">
        <v>45</v>
      </c>
      <c r="L748" s="68">
        <f>VLOOKUP(E748,[1]Diccionario!C$2:AC$150,22,0)</f>
        <v>772840336</v>
      </c>
      <c r="M748" s="69">
        <f>VLOOKUP(E748,[1]Diccionario!C$2:AC$150,24,0)</f>
        <v>45945</v>
      </c>
      <c r="N748" s="70">
        <f>VLOOKUP(E748,[1]Diccionario!C$2:AC$150,25,0)</f>
        <v>46022</v>
      </c>
      <c r="O748" s="71">
        <f>VLOOKUP(E748,[1]Diccionario!C$2:AC$150,26,0)</f>
        <v>2.5299999999999998</v>
      </c>
      <c r="P748" s="71">
        <f t="shared" si="131"/>
        <v>-1.5299999999999998</v>
      </c>
      <c r="Q748" s="71">
        <v>1</v>
      </c>
      <c r="R748" s="66">
        <v>3</v>
      </c>
      <c r="S748" s="72">
        <v>0.35</v>
      </c>
      <c r="T748" s="72">
        <v>0.3</v>
      </c>
      <c r="U748" s="73">
        <f>TablaIndicador[[#This Row],[Costo Mensual]]</f>
        <v>0</v>
      </c>
      <c r="V748" s="73">
        <v>0</v>
      </c>
      <c r="W748" s="73">
        <f t="shared" si="133"/>
        <v>231852100.79999998</v>
      </c>
      <c r="X748" s="73">
        <f t="shared" si="134"/>
        <v>270494117.59999996</v>
      </c>
      <c r="Y748" s="73">
        <f t="shared" si="135"/>
        <v>231852100.79999998</v>
      </c>
      <c r="Z748" s="73">
        <f t="shared" si="136"/>
        <v>-38642016.799999982</v>
      </c>
      <c r="AA748" s="75" t="str">
        <f t="shared" si="137"/>
        <v>No se realizó gasto en este corte</v>
      </c>
      <c r="AB748" s="76" t="str">
        <f t="shared" si="138"/>
        <v>Costo eficiente: se está gastando menos de lo presupuestado</v>
      </c>
      <c r="AC748" s="76">
        <f t="shared" si="139"/>
        <v>0.85714285714285721</v>
      </c>
      <c r="AD748" s="76" t="str">
        <f t="shared" si="140"/>
        <v>Proyecto atrasado con respecto al cronograma</v>
      </c>
      <c r="AE748" s="77">
        <f t="shared" si="141"/>
        <v>0</v>
      </c>
      <c r="AF748" s="77">
        <f t="shared" si="142"/>
        <v>-772840336</v>
      </c>
      <c r="AG748" s="78" t="str">
        <f>VLOOKUP(Indicador!E643,[1]Diccionario!C$1:AC$150,27,0)</f>
        <v>https://growdatasas.sharepoint.com/:x:/r/sites/Gestiondocumental/Administrativa/GD/Financiera/_layouts/15/Doc.aspx?sourcedoc=%7BBF6E8538-B113-45FF-83F6-596104EC0C59%7D&amp;file=3.0.0.%20%20MODELO%20UNAD%20V3.0.%20(ajustado).xlsm&amp;action=default&amp;mobileredirect=true</v>
      </c>
      <c r="AH748" s="78">
        <v>1</v>
      </c>
      <c r="AI748" s="78">
        <v>1</v>
      </c>
      <c r="AJ748" s="78"/>
      <c r="AK748" s="78" t="s">
        <v>319</v>
      </c>
    </row>
    <row r="749" spans="1:37" ht="18.75" customHeight="1" x14ac:dyDescent="0.25">
      <c r="A749" s="64">
        <v>2025</v>
      </c>
      <c r="B749" s="65" t="s">
        <v>56</v>
      </c>
      <c r="C749" s="66" t="s">
        <v>417</v>
      </c>
      <c r="D749" s="67">
        <v>45986.738573726849</v>
      </c>
      <c r="E749" s="66" t="s">
        <v>418</v>
      </c>
      <c r="F749" s="66" t="s">
        <v>40</v>
      </c>
      <c r="G749" s="66" t="s">
        <v>419</v>
      </c>
      <c r="H749" s="66" t="s">
        <v>420</v>
      </c>
      <c r="I749" s="66" t="s">
        <v>78</v>
      </c>
      <c r="J749" s="66" t="s">
        <v>421</v>
      </c>
      <c r="K749" s="66" t="s">
        <v>45</v>
      </c>
      <c r="L749" s="68">
        <f>VLOOKUP(E749,[1]Diccionario!C$2:AC$150,22,0)</f>
        <v>772840336</v>
      </c>
      <c r="M749" s="69">
        <f>VLOOKUP(E749,[1]Diccionario!C$2:AC$150,24,0)</f>
        <v>45945</v>
      </c>
      <c r="N749" s="70">
        <f>VLOOKUP(E749,[1]Diccionario!C$2:AC$150,25,0)</f>
        <v>46022</v>
      </c>
      <c r="O749" s="71">
        <f>VLOOKUP(E749,[1]Diccionario!C$2:AC$150,26,0)</f>
        <v>2.5299999999999998</v>
      </c>
      <c r="P749" s="71">
        <f t="shared" si="131"/>
        <v>-0.5299999999999998</v>
      </c>
      <c r="Q749" s="71">
        <v>2</v>
      </c>
      <c r="R749" s="66">
        <v>3</v>
      </c>
      <c r="S749" s="72">
        <v>0.65</v>
      </c>
      <c r="T749" s="72">
        <v>0.57999999999999996</v>
      </c>
      <c r="U749" s="73">
        <f>U748+TablaIndicador[[#This Row],[Costo Mensual]]</f>
        <v>0</v>
      </c>
      <c r="V749" s="73">
        <v>0</v>
      </c>
      <c r="W749" s="73">
        <f t="shared" si="133"/>
        <v>448247394.88</v>
      </c>
      <c r="X749" s="73">
        <f t="shared" si="134"/>
        <v>502346218.40000004</v>
      </c>
      <c r="Y749" s="73">
        <f t="shared" si="135"/>
        <v>448247394.88</v>
      </c>
      <c r="Z749" s="73">
        <f t="shared" si="136"/>
        <v>-54098823.520000041</v>
      </c>
      <c r="AA749" s="75" t="str">
        <f t="shared" si="137"/>
        <v>No se realizó gasto en este corte</v>
      </c>
      <c r="AB749" s="76" t="str">
        <f t="shared" si="138"/>
        <v>Costo eficiente: se está gastando menos de lo presupuestado</v>
      </c>
      <c r="AC749" s="76">
        <f t="shared" si="139"/>
        <v>0.89230769230769225</v>
      </c>
      <c r="AD749" s="76" t="str">
        <f t="shared" si="140"/>
        <v>Proyecto atrasado con respecto al cronograma</v>
      </c>
      <c r="AE749" s="77">
        <f t="shared" si="141"/>
        <v>0</v>
      </c>
      <c r="AF749" s="77">
        <f t="shared" si="142"/>
        <v>-772840336</v>
      </c>
      <c r="AG749" s="78" t="str">
        <f>VLOOKUP(Indicador!E644,[1]Diccionario!C$1:AC$150,27,0)</f>
        <v>https://growdatasas.sharepoint.com/:x:/r/sites/Gestiondocumental/Administrativa/GD/Financiera/_layouts/15/Doc.aspx?sourcedoc=%7BBF6E8538-B113-45FF-83F6-596104EC0C59%7D&amp;file=3.0.0.%20%20MODELO%20UNAD%20V3.0.%20(ajustado).xlsm&amp;action=default&amp;mobileredirect=true</v>
      </c>
      <c r="AH749" s="78">
        <v>1</v>
      </c>
      <c r="AI749" s="78">
        <v>1</v>
      </c>
      <c r="AJ749" s="78"/>
      <c r="AK749" s="78" t="s">
        <v>319</v>
      </c>
    </row>
    <row r="750" spans="1:37" ht="18.75" customHeight="1" x14ac:dyDescent="0.25">
      <c r="A750" s="64">
        <v>2025</v>
      </c>
      <c r="B750" s="65" t="s">
        <v>57</v>
      </c>
      <c r="C750" s="66" t="s">
        <v>417</v>
      </c>
      <c r="D750" s="67">
        <v>45986.738573726849</v>
      </c>
      <c r="E750" s="66" t="s">
        <v>418</v>
      </c>
      <c r="F750" s="66" t="s">
        <v>40</v>
      </c>
      <c r="G750" s="66" t="s">
        <v>419</v>
      </c>
      <c r="H750" s="66" t="s">
        <v>420</v>
      </c>
      <c r="I750" s="66" t="s">
        <v>78</v>
      </c>
      <c r="J750" s="66" t="s">
        <v>421</v>
      </c>
      <c r="K750" s="66" t="s">
        <v>45</v>
      </c>
      <c r="L750" s="68">
        <f>VLOOKUP(E750,[1]Diccionario!C$2:AC$150,22,0)</f>
        <v>772840336</v>
      </c>
      <c r="M750" s="69">
        <f>VLOOKUP(E750,[1]Diccionario!C$2:AC$150,24,0)</f>
        <v>45945</v>
      </c>
      <c r="N750" s="70">
        <f>VLOOKUP(E750,[1]Diccionario!C$2:AC$150,25,0)</f>
        <v>46022</v>
      </c>
      <c r="O750" s="71">
        <f>VLOOKUP(E750,[1]Diccionario!C$2:AC$150,26,0)</f>
        <v>2.5299999999999998</v>
      </c>
      <c r="P750" s="71">
        <f t="shared" ca="1" si="131"/>
        <v>2.4700000000000002</v>
      </c>
      <c r="Q750" s="71">
        <f ca="1">DATEDIF(M750,TODAY(),"m")</f>
        <v>5</v>
      </c>
      <c r="R750" s="66">
        <v>3</v>
      </c>
      <c r="S750" s="72">
        <v>1</v>
      </c>
      <c r="T750" s="72">
        <v>0.7</v>
      </c>
      <c r="U750" s="73">
        <f>U749+TablaIndicador[[#This Row],[Costo Mensual]]</f>
        <v>637000000</v>
      </c>
      <c r="V750" s="81">
        <v>637000000</v>
      </c>
      <c r="W750" s="73">
        <f t="shared" si="133"/>
        <v>540988235.19999993</v>
      </c>
      <c r="X750" s="73">
        <f t="shared" si="134"/>
        <v>772840336</v>
      </c>
      <c r="Y750" s="73">
        <f t="shared" si="135"/>
        <v>-96011764.800000072</v>
      </c>
      <c r="Z750" s="73">
        <f t="shared" si="136"/>
        <v>-231852100.80000007</v>
      </c>
      <c r="AA750" s="75">
        <f t="shared" si="137"/>
        <v>0.84927509450549443</v>
      </c>
      <c r="AB750" s="76" t="str">
        <f t="shared" si="138"/>
        <v>Costo ineficiente: se está gastando más de lo presupuestado</v>
      </c>
      <c r="AC750" s="76">
        <f t="shared" si="139"/>
        <v>0.7</v>
      </c>
      <c r="AD750" s="76" t="str">
        <f t="shared" si="140"/>
        <v>Proyecto atrasado con respecto al cronograma</v>
      </c>
      <c r="AE750" s="77">
        <f t="shared" si="141"/>
        <v>910000000.00000012</v>
      </c>
      <c r="AF750" s="77">
        <f t="shared" si="142"/>
        <v>137159664.00000012</v>
      </c>
      <c r="AG750" s="78" t="str">
        <f>VLOOKUP(Indicador!E645,[1]Diccionario!C$1:AC$150,27,0)</f>
        <v>https://growdatasas.sharepoint.com/:x:/r/sites/Gestiondocumental/Administrativa/GD/Financiera/_layouts/15/Doc.aspx?sourcedoc=%7BBF6E8538-B113-45FF-83F6-596104EC0C59%7D&amp;file=3.0.0.%20%20MODELO%20UNAD%20V3.0.%20(ajustado).xlsm&amp;action=default&amp;mobileredirect=true</v>
      </c>
      <c r="AH750" s="78">
        <v>1</v>
      </c>
      <c r="AI750" s="78">
        <v>1</v>
      </c>
      <c r="AJ750" s="78"/>
      <c r="AK750" s="78" t="s">
        <v>319</v>
      </c>
    </row>
    <row r="751" spans="1:37" ht="18.75" customHeight="1" x14ac:dyDescent="0.25">
      <c r="A751" s="64">
        <v>2026</v>
      </c>
      <c r="B751" s="65" t="s">
        <v>37</v>
      </c>
      <c r="C751" s="66" t="s">
        <v>417</v>
      </c>
      <c r="D751" s="67">
        <v>45986.738573726849</v>
      </c>
      <c r="E751" s="66" t="s">
        <v>418</v>
      </c>
      <c r="F751" s="66" t="s">
        <v>40</v>
      </c>
      <c r="G751" s="66" t="s">
        <v>419</v>
      </c>
      <c r="H751" s="66" t="s">
        <v>420</v>
      </c>
      <c r="I751" s="66" t="s">
        <v>78</v>
      </c>
      <c r="J751" s="66" t="s">
        <v>421</v>
      </c>
      <c r="K751" s="66" t="s">
        <v>45</v>
      </c>
      <c r="L751" s="68">
        <f>VLOOKUP(E751,[1]Diccionario!C$2:AC$150,22,0)</f>
        <v>772840336</v>
      </c>
      <c r="M751" s="69">
        <f>VLOOKUP(E751,[1]Diccionario!C$2:AC$150,24,0)</f>
        <v>45945</v>
      </c>
      <c r="N751" s="70">
        <f>VLOOKUP(E751,[1]Diccionario!C$2:AC$150,25,0)</f>
        <v>46022</v>
      </c>
      <c r="O751" s="71">
        <f>VLOOKUP(E751,[1]Diccionario!C$2:AC$150,26,0)</f>
        <v>2.5299999999999998</v>
      </c>
      <c r="P751" s="71">
        <f t="shared" si="131"/>
        <v>1.4700000000000002</v>
      </c>
      <c r="Q751" s="71">
        <v>4</v>
      </c>
      <c r="R751" s="66">
        <v>3</v>
      </c>
      <c r="S751" s="72">
        <v>1</v>
      </c>
      <c r="T751" s="72">
        <v>1</v>
      </c>
      <c r="U751" s="73">
        <f>U750+TablaIndicador[[#This Row],[Costo Mensual]]</f>
        <v>652600000</v>
      </c>
      <c r="V751" s="81">
        <v>15600000</v>
      </c>
      <c r="W751" s="73">
        <f t="shared" si="133"/>
        <v>772840336</v>
      </c>
      <c r="X751" s="73">
        <f t="shared" si="134"/>
        <v>772840336</v>
      </c>
      <c r="Y751" s="73">
        <f t="shared" si="135"/>
        <v>120240336</v>
      </c>
      <c r="Z751" s="73">
        <f t="shared" si="136"/>
        <v>0</v>
      </c>
      <c r="AA751" s="75">
        <f t="shared" si="137"/>
        <v>1.1842481397486975</v>
      </c>
      <c r="AB751" s="76" t="str">
        <f t="shared" si="138"/>
        <v>Costo eficiente: se está gastando menos de lo presupuestado</v>
      </c>
      <c r="AC751" s="76">
        <f t="shared" si="139"/>
        <v>1</v>
      </c>
      <c r="AD751" s="76" t="str">
        <f t="shared" si="140"/>
        <v>Proyecto a tiempo según lo planificado</v>
      </c>
      <c r="AE751" s="77">
        <f t="shared" si="141"/>
        <v>652600000</v>
      </c>
      <c r="AF751" s="77">
        <f t="shared" si="142"/>
        <v>-120240336</v>
      </c>
      <c r="AG751" s="78" t="str">
        <f>VLOOKUP(Indicador!E646,[1]Diccionario!C$1:AC$150,27,0)</f>
        <v>https://growdatasas.sharepoint.com/:x:/r/sites/Gestiondocumental/Administrativa/GD/Financiera/_layouts/15/Doc.aspx?sourcedoc=%7BBF6E8538-B113-45FF-83F6-596104EC0C59%7D&amp;file=3.0.0.%20%20MODELO%20UNAD%20V3.0.%20(ajustado).xlsm&amp;action=default&amp;mobileredirect=true</v>
      </c>
      <c r="AH751" s="78">
        <v>1</v>
      </c>
      <c r="AI751" s="78">
        <v>1</v>
      </c>
      <c r="AJ751" s="78"/>
      <c r="AK751" s="78" t="s">
        <v>319</v>
      </c>
    </row>
    <row r="752" spans="1:37" ht="18.75" customHeight="1" x14ac:dyDescent="0.25">
      <c r="A752" s="64">
        <v>2025</v>
      </c>
      <c r="B752" s="65" t="s">
        <v>55</v>
      </c>
      <c r="C752" s="66" t="s">
        <v>422</v>
      </c>
      <c r="D752" s="67">
        <v>45987.540494826389</v>
      </c>
      <c r="E752" s="66" t="s">
        <v>423</v>
      </c>
      <c r="F752" s="66" t="s">
        <v>424</v>
      </c>
      <c r="G752" s="66" t="s">
        <v>425</v>
      </c>
      <c r="H752" s="66" t="s">
        <v>426</v>
      </c>
      <c r="I752" s="66" t="s">
        <v>43</v>
      </c>
      <c r="J752" s="66" t="s">
        <v>427</v>
      </c>
      <c r="K752" s="66" t="s">
        <v>45</v>
      </c>
      <c r="L752" s="68">
        <f>VLOOKUP(E752,[1]Diccionario!C$2:AC$150,22,0)</f>
        <v>2207086979</v>
      </c>
      <c r="M752" s="69">
        <f>VLOOKUP(E752,[1]Diccionario!C$2:AC$150,24,0)</f>
        <v>45940</v>
      </c>
      <c r="N752" s="70">
        <f>VLOOKUP(E752,[1]Diccionario!C$2:AC$150,25,0)</f>
        <v>46387</v>
      </c>
      <c r="O752" s="71">
        <f>VLOOKUP(E752,[1]Diccionario!C$2:AC$150,26,0)</f>
        <v>14.7</v>
      </c>
      <c r="P752" s="71">
        <f t="shared" si="131"/>
        <v>-13.7</v>
      </c>
      <c r="Q752" s="71">
        <v>1</v>
      </c>
      <c r="R752" s="66">
        <v>15</v>
      </c>
      <c r="S752" s="72">
        <v>0.05</v>
      </c>
      <c r="T752" s="72">
        <v>0.05</v>
      </c>
      <c r="U752" s="73">
        <f>TablaIndicador[[#This Row],[Costo Mensual]]</f>
        <v>0</v>
      </c>
      <c r="V752" s="73">
        <v>0</v>
      </c>
      <c r="W752" s="73">
        <f t="shared" si="133"/>
        <v>110354348.95</v>
      </c>
      <c r="X752" s="73">
        <f t="shared" si="134"/>
        <v>110354348.95</v>
      </c>
      <c r="Y752" s="73">
        <f t="shared" si="135"/>
        <v>110354348.95</v>
      </c>
      <c r="Z752" s="73">
        <f t="shared" si="136"/>
        <v>0</v>
      </c>
      <c r="AA752" s="75" t="str">
        <f t="shared" si="137"/>
        <v>No se realizó gasto en este corte</v>
      </c>
      <c r="AB752" s="76" t="str">
        <f t="shared" si="138"/>
        <v>Costo eficiente: se está gastando menos de lo presupuestado</v>
      </c>
      <c r="AC752" s="76">
        <f t="shared" si="139"/>
        <v>1</v>
      </c>
      <c r="AD752" s="76" t="str">
        <f t="shared" si="140"/>
        <v>Proyecto a tiempo según lo planificado</v>
      </c>
      <c r="AE752" s="77">
        <f t="shared" si="141"/>
        <v>0</v>
      </c>
      <c r="AF752" s="77">
        <f t="shared" si="142"/>
        <v>-2207086979</v>
      </c>
      <c r="AG752" s="78" t="str">
        <f>VLOOKUP(Indicador!E627,[1]Diccionario!C$1:AC$150,27,0)</f>
        <v>https://growdatasas.sharepoint.com/:x:/r/sites/Gestiondocumental/Administrativa/GD/Financiera/_layouts/15/Doc.aspx?sourcedoc=%7BAAF63AB6-0AC1-49FD-8C96-9D5F6CE441A2%7D&amp;file=10112025%20MODELO%20FINANCIERO%20SUMINISTRO%20INFRESTRUCTURA%20LAN%20CANCILLERIA.xlsm&amp;action=default&amp;mobileredirect=true</v>
      </c>
      <c r="AH752" s="78">
        <v>1</v>
      </c>
      <c r="AI752" s="78">
        <v>1</v>
      </c>
      <c r="AJ752" s="78"/>
      <c r="AK752" s="78" t="s">
        <v>319</v>
      </c>
    </row>
    <row r="753" spans="1:37" ht="18.75" customHeight="1" x14ac:dyDescent="0.25">
      <c r="A753" s="64">
        <v>2025</v>
      </c>
      <c r="B753" s="65" t="s">
        <v>56</v>
      </c>
      <c r="C753" s="66" t="s">
        <v>422</v>
      </c>
      <c r="D753" s="67">
        <v>45987.540494826389</v>
      </c>
      <c r="E753" s="66" t="s">
        <v>423</v>
      </c>
      <c r="F753" s="66" t="s">
        <v>424</v>
      </c>
      <c r="G753" s="66" t="s">
        <v>425</v>
      </c>
      <c r="H753" s="66" t="s">
        <v>426</v>
      </c>
      <c r="I753" s="66" t="s">
        <v>43</v>
      </c>
      <c r="J753" s="66" t="s">
        <v>427</v>
      </c>
      <c r="K753" s="66" t="s">
        <v>45</v>
      </c>
      <c r="L753" s="68">
        <f>VLOOKUP(E753,[1]Diccionario!C$2:AC$150,22,0)</f>
        <v>2207086979</v>
      </c>
      <c r="M753" s="69">
        <f>VLOOKUP(E753,[1]Diccionario!C$2:AC$150,24,0)</f>
        <v>45940</v>
      </c>
      <c r="N753" s="70">
        <f>VLOOKUP(E753,[1]Diccionario!C$2:AC$150,25,0)</f>
        <v>46387</v>
      </c>
      <c r="O753" s="71">
        <f>VLOOKUP(E753,[1]Diccionario!C$2:AC$150,26,0)</f>
        <v>14.7</v>
      </c>
      <c r="P753" s="71">
        <f t="shared" si="131"/>
        <v>-12.7</v>
      </c>
      <c r="Q753" s="71">
        <v>2</v>
      </c>
      <c r="R753" s="66">
        <v>15</v>
      </c>
      <c r="S753" s="72">
        <v>0.1</v>
      </c>
      <c r="T753" s="72">
        <v>0.1</v>
      </c>
      <c r="U753" s="73">
        <f>U752+TablaIndicador[[#This Row],[Costo Mensual]]</f>
        <v>0</v>
      </c>
      <c r="V753" s="73">
        <v>0</v>
      </c>
      <c r="W753" s="73">
        <f t="shared" si="133"/>
        <v>220708697.90000001</v>
      </c>
      <c r="X753" s="73">
        <f t="shared" si="134"/>
        <v>220708697.90000001</v>
      </c>
      <c r="Y753" s="73">
        <f t="shared" si="135"/>
        <v>220708697.90000001</v>
      </c>
      <c r="Z753" s="73">
        <f t="shared" si="136"/>
        <v>0</v>
      </c>
      <c r="AA753" s="75" t="str">
        <f t="shared" si="137"/>
        <v>No se realizó gasto en este corte</v>
      </c>
      <c r="AB753" s="76" t="str">
        <f t="shared" si="138"/>
        <v>Costo eficiente: se está gastando menos de lo presupuestado</v>
      </c>
      <c r="AC753" s="76">
        <f t="shared" si="139"/>
        <v>1</v>
      </c>
      <c r="AD753" s="76" t="str">
        <f t="shared" si="140"/>
        <v>Proyecto a tiempo según lo planificado</v>
      </c>
      <c r="AE753" s="77">
        <f t="shared" si="141"/>
        <v>0</v>
      </c>
      <c r="AF753" s="77">
        <f t="shared" si="142"/>
        <v>-2207086979</v>
      </c>
      <c r="AG753" s="78" t="str">
        <f>VLOOKUP(Indicador!E628,[1]Diccionario!C$1:AC$150,27,0)</f>
        <v>https://growdatasas.sharepoint.com/:x:/r/sites/Gestiondocumental/Administrativa/GD/Financiera/_layouts/15/Doc.aspx?sourcedoc=%7BAAF63AB6-0AC1-49FD-8C96-9D5F6CE441A2%7D&amp;file=10112025%20MODELO%20FINANCIERO%20SUMINISTRO%20INFRESTRUCTURA%20LAN%20CANCILLERIA.xlsm&amp;action=default&amp;mobileredirect=true</v>
      </c>
      <c r="AH753" s="78">
        <v>1</v>
      </c>
      <c r="AI753" s="78">
        <v>1</v>
      </c>
      <c r="AJ753" s="78"/>
      <c r="AK753" s="78" t="s">
        <v>319</v>
      </c>
    </row>
    <row r="754" spans="1:37" ht="18.75" customHeight="1" x14ac:dyDescent="0.25">
      <c r="A754" s="64">
        <v>2025</v>
      </c>
      <c r="B754" s="65" t="s">
        <v>57</v>
      </c>
      <c r="C754" s="66" t="s">
        <v>422</v>
      </c>
      <c r="D754" s="67">
        <v>45987.540494826389</v>
      </c>
      <c r="E754" s="66" t="s">
        <v>423</v>
      </c>
      <c r="F754" s="66" t="s">
        <v>424</v>
      </c>
      <c r="G754" s="66" t="s">
        <v>425</v>
      </c>
      <c r="H754" s="66" t="s">
        <v>426</v>
      </c>
      <c r="I754" s="66" t="s">
        <v>43</v>
      </c>
      <c r="J754" s="66" t="s">
        <v>427</v>
      </c>
      <c r="K754" s="66" t="s">
        <v>45</v>
      </c>
      <c r="L754" s="68">
        <f>VLOOKUP(E754,[1]Diccionario!C$2:AC$150,22,0)</f>
        <v>2207086979</v>
      </c>
      <c r="M754" s="69">
        <f>VLOOKUP(E754,[1]Diccionario!C$2:AC$150,24,0)</f>
        <v>45940</v>
      </c>
      <c r="N754" s="70">
        <f>VLOOKUP(E754,[1]Diccionario!C$2:AC$150,25,0)</f>
        <v>46387</v>
      </c>
      <c r="O754" s="71">
        <f>VLOOKUP(E754,[1]Diccionario!C$2:AC$150,26,0)</f>
        <v>14.7</v>
      </c>
      <c r="P754" s="71">
        <f t="shared" si="131"/>
        <v>-11.7</v>
      </c>
      <c r="Q754" s="71">
        <v>3</v>
      </c>
      <c r="R754" s="66">
        <v>15</v>
      </c>
      <c r="S754" s="72">
        <v>0.15</v>
      </c>
      <c r="T754" s="72">
        <v>0.15</v>
      </c>
      <c r="U754" s="73">
        <f>U753+TablaIndicador[[#This Row],[Costo Mensual]]</f>
        <v>89613000</v>
      </c>
      <c r="V754" s="73">
        <v>89613000</v>
      </c>
      <c r="W754" s="73">
        <f t="shared" si="133"/>
        <v>331063046.84999996</v>
      </c>
      <c r="X754" s="73">
        <f t="shared" si="134"/>
        <v>331063046.84999996</v>
      </c>
      <c r="Y754" s="73">
        <f t="shared" si="135"/>
        <v>241450046.84999996</v>
      </c>
      <c r="Z754" s="73">
        <f t="shared" si="136"/>
        <v>0</v>
      </c>
      <c r="AA754" s="75">
        <f t="shared" si="137"/>
        <v>3.694364063807706</v>
      </c>
      <c r="AB754" s="76" t="str">
        <f t="shared" si="138"/>
        <v>Costo eficiente: se está gastando menos de lo presupuestado</v>
      </c>
      <c r="AC754" s="76">
        <f t="shared" si="139"/>
        <v>1</v>
      </c>
      <c r="AD754" s="76" t="str">
        <f t="shared" si="140"/>
        <v>Proyecto a tiempo según lo planificado</v>
      </c>
      <c r="AE754" s="77">
        <f t="shared" si="141"/>
        <v>597420000.00000012</v>
      </c>
      <c r="AF754" s="77">
        <f t="shared" si="142"/>
        <v>-1609666979</v>
      </c>
      <c r="AG754" s="78" t="str">
        <f>VLOOKUP(Indicador!E629,[1]Diccionario!C$1:AC$150,27,0)</f>
        <v>https://growdatasas.sharepoint.com/:x:/r/sites/Gestiondocumental/Administrativa/GD/Financiera/_layouts/15/Doc.aspx?sourcedoc=%7BAAF63AB6-0AC1-49FD-8C96-9D5F6CE441A2%7D&amp;file=10112025%20MODELO%20FINANCIERO%20SUMINISTRO%20INFRESTRUCTURA%20LAN%20CANCILLERIA.xlsm&amp;action=default&amp;mobileredirect=true</v>
      </c>
      <c r="AH754" s="78">
        <v>1</v>
      </c>
      <c r="AI754" s="78">
        <v>1</v>
      </c>
      <c r="AJ754" s="78"/>
      <c r="AK754" s="78" t="s">
        <v>319</v>
      </c>
    </row>
    <row r="755" spans="1:37" ht="18.75" customHeight="1" x14ac:dyDescent="0.25">
      <c r="A755" s="64">
        <v>2026</v>
      </c>
      <c r="B755" s="65" t="s">
        <v>37</v>
      </c>
      <c r="C755" s="66" t="s">
        <v>422</v>
      </c>
      <c r="D755" s="67">
        <v>45987.540494826389</v>
      </c>
      <c r="E755" s="66" t="s">
        <v>423</v>
      </c>
      <c r="F755" s="66" t="s">
        <v>424</v>
      </c>
      <c r="G755" s="66" t="s">
        <v>425</v>
      </c>
      <c r="H755" s="66" t="s">
        <v>426</v>
      </c>
      <c r="I755" s="66" t="s">
        <v>43</v>
      </c>
      <c r="J755" s="66" t="s">
        <v>427</v>
      </c>
      <c r="K755" s="66" t="s">
        <v>45</v>
      </c>
      <c r="L755" s="68">
        <f>VLOOKUP(E755,[1]Diccionario!C$2:AC$150,22,0)</f>
        <v>2207086979</v>
      </c>
      <c r="M755" s="69">
        <f>VLOOKUP(E755,[1]Diccionario!C$2:AC$150,24,0)</f>
        <v>45940</v>
      </c>
      <c r="N755" s="70">
        <f>VLOOKUP(E755,[1]Diccionario!C$2:AC$150,25,0)</f>
        <v>46387</v>
      </c>
      <c r="O755" s="71">
        <f>VLOOKUP(E755,[1]Diccionario!C$2:AC$150,26,0)</f>
        <v>14.7</v>
      </c>
      <c r="P755" s="71">
        <f t="shared" si="131"/>
        <v>-10.7</v>
      </c>
      <c r="Q755" s="71">
        <v>4</v>
      </c>
      <c r="R755" s="66">
        <v>15</v>
      </c>
      <c r="S755" s="72">
        <v>0.2</v>
      </c>
      <c r="T755" s="72">
        <v>0.2</v>
      </c>
      <c r="U755" s="73">
        <f>U754+TablaIndicador[[#This Row],[Costo Mensual]]</f>
        <v>168545000</v>
      </c>
      <c r="V755" s="73">
        <v>78932000</v>
      </c>
      <c r="W755" s="73">
        <f t="shared" si="133"/>
        <v>441417395.80000001</v>
      </c>
      <c r="X755" s="73">
        <f t="shared" si="134"/>
        <v>441417395.80000001</v>
      </c>
      <c r="Y755" s="73">
        <f t="shared" si="135"/>
        <v>272872395.80000001</v>
      </c>
      <c r="Z755" s="73">
        <f t="shared" si="136"/>
        <v>0</v>
      </c>
      <c r="AA755" s="75">
        <f t="shared" si="137"/>
        <v>2.6189883758046815</v>
      </c>
      <c r="AB755" s="76" t="str">
        <f t="shared" si="138"/>
        <v>Costo eficiente: se está gastando menos de lo presupuestado</v>
      </c>
      <c r="AC755" s="76">
        <f t="shared" si="139"/>
        <v>1</v>
      </c>
      <c r="AD755" s="76" t="str">
        <f t="shared" si="140"/>
        <v>Proyecto a tiempo según lo planificado</v>
      </c>
      <c r="AE755" s="77">
        <f t="shared" si="141"/>
        <v>842724999.99999988</v>
      </c>
      <c r="AF755" s="77">
        <f t="shared" si="142"/>
        <v>-1364361979</v>
      </c>
      <c r="AG755" s="78" t="str">
        <f>VLOOKUP(Indicador!E631,[1]Diccionario!C$1:AC$150,27,0)</f>
        <v>https://growdatasas.sharepoint.com/:x:/r/sites/Gestiondocumental/Administrativa/GD/Financiera/_layouts/15/Doc.aspx?sourcedoc=%7BBF6E8538-B113-45FF-83F6-596104EC0C59%7D&amp;file=3.0.0.%20%20MODELO%20UNAD%20V3.0.%20(ajustado).xlsm&amp;action=default&amp;mobileredirect=true</v>
      </c>
      <c r="AH755" s="78">
        <v>1</v>
      </c>
      <c r="AI755" s="78">
        <v>1</v>
      </c>
      <c r="AJ755" s="78"/>
      <c r="AK755" s="78" t="s">
        <v>319</v>
      </c>
    </row>
    <row r="756" spans="1:37" ht="18.75" customHeight="1" x14ac:dyDescent="0.25">
      <c r="A756" s="64">
        <v>2026</v>
      </c>
      <c r="B756" s="65" t="s">
        <v>47</v>
      </c>
      <c r="C756" s="66" t="s">
        <v>422</v>
      </c>
      <c r="D756" s="67">
        <v>45987.540494826389</v>
      </c>
      <c r="E756" s="66" t="s">
        <v>423</v>
      </c>
      <c r="F756" s="66" t="s">
        <v>424</v>
      </c>
      <c r="G756" s="66" t="s">
        <v>425</v>
      </c>
      <c r="H756" s="66" t="s">
        <v>426</v>
      </c>
      <c r="I756" s="66" t="s">
        <v>43</v>
      </c>
      <c r="J756" s="66" t="s">
        <v>427</v>
      </c>
      <c r="K756" s="66" t="s">
        <v>45</v>
      </c>
      <c r="L756" s="68">
        <f>VLOOKUP(E756,[1]Diccionario!C$2:AC$150,22,0)</f>
        <v>2207086979</v>
      </c>
      <c r="M756" s="69">
        <f>VLOOKUP(E756,[1]Diccionario!C$2:AC$150,24,0)</f>
        <v>45940</v>
      </c>
      <c r="N756" s="70">
        <f>VLOOKUP(E756,[1]Diccionario!C$2:AC$150,25,0)</f>
        <v>46387</v>
      </c>
      <c r="O756" s="71">
        <f>VLOOKUP(E756,[1]Diccionario!C$2:AC$150,26,0)</f>
        <v>14.7</v>
      </c>
      <c r="P756" s="71">
        <f t="shared" si="131"/>
        <v>-9.6999999999999993</v>
      </c>
      <c r="Q756" s="71">
        <v>5</v>
      </c>
      <c r="R756" s="66">
        <v>15</v>
      </c>
      <c r="S756" s="72">
        <v>0.3</v>
      </c>
      <c r="T756" s="72">
        <v>0.32</v>
      </c>
      <c r="U756" s="73">
        <f>U755+TablaIndicador[[#This Row],[Costo Mensual]]</f>
        <v>250650875</v>
      </c>
      <c r="V756" s="73">
        <v>82105875</v>
      </c>
      <c r="W756" s="73">
        <f t="shared" si="133"/>
        <v>706267833.27999997</v>
      </c>
      <c r="X756" s="73">
        <f t="shared" si="134"/>
        <v>662126093.69999993</v>
      </c>
      <c r="Y756" s="73">
        <f t="shared" si="135"/>
        <v>455616958.27999997</v>
      </c>
      <c r="Z756" s="73">
        <f t="shared" si="136"/>
        <v>44141739.580000043</v>
      </c>
      <c r="AA756" s="75">
        <f t="shared" si="137"/>
        <v>2.8177353591125502</v>
      </c>
      <c r="AB756" s="76" t="str">
        <f t="shared" si="138"/>
        <v>Costo eficiente: se está gastando menos de lo presupuestado</v>
      </c>
      <c r="AC756" s="76">
        <f t="shared" si="139"/>
        <v>1.0666666666666667</v>
      </c>
      <c r="AD756" s="76" t="str">
        <f t="shared" si="140"/>
        <v>Proyecto adelantado respecto al cronograma</v>
      </c>
      <c r="AE756" s="77">
        <f t="shared" si="141"/>
        <v>783283984.37500012</v>
      </c>
      <c r="AF756" s="77">
        <f t="shared" si="142"/>
        <v>-1423802994.625</v>
      </c>
      <c r="AG756" s="78" t="str">
        <f>VLOOKUP(Indicador!E632,[1]Diccionario!C$1:AC$150,27,0)</f>
        <v>https://growdatasas.sharepoint.com/:x:/r/sites/Gestiondocumental/Administrativa/GD/Financiera/_layouts/15/Doc.aspx?sourcedoc=%7BBF6E8538-B113-45FF-83F6-596104EC0C59%7D&amp;file=3.0.0.%20%20MODELO%20UNAD%20V3.0.%20(ajustado).xlsm&amp;action=default&amp;mobileredirect=true</v>
      </c>
      <c r="AH756" s="78">
        <v>1</v>
      </c>
      <c r="AI756" s="78">
        <v>1</v>
      </c>
      <c r="AJ756" s="78"/>
      <c r="AK756" s="78" t="s">
        <v>319</v>
      </c>
    </row>
    <row r="757" spans="1:37" ht="18.75" customHeight="1" x14ac:dyDescent="0.25">
      <c r="A757" s="64">
        <v>2026</v>
      </c>
      <c r="B757" s="65" t="s">
        <v>48</v>
      </c>
      <c r="C757" s="66" t="s">
        <v>422</v>
      </c>
      <c r="D757" s="67">
        <v>45987.540494826389</v>
      </c>
      <c r="E757" s="66" t="s">
        <v>423</v>
      </c>
      <c r="F757" s="66" t="s">
        <v>424</v>
      </c>
      <c r="G757" s="66" t="s">
        <v>425</v>
      </c>
      <c r="H757" s="66" t="s">
        <v>426</v>
      </c>
      <c r="I757" s="66" t="s">
        <v>43</v>
      </c>
      <c r="J757" s="66" t="s">
        <v>427</v>
      </c>
      <c r="K757" s="66" t="s">
        <v>45</v>
      </c>
      <c r="L757" s="68">
        <f>VLOOKUP(E757,[1]Diccionario!C$2:AC$150,22,0)</f>
        <v>2207086979</v>
      </c>
      <c r="M757" s="69">
        <f>VLOOKUP(E757,[1]Diccionario!C$2:AC$150,24,0)</f>
        <v>45940</v>
      </c>
      <c r="N757" s="70">
        <f>VLOOKUP(E757,[1]Diccionario!C$2:AC$150,25,0)</f>
        <v>46387</v>
      </c>
      <c r="O757" s="71">
        <f>VLOOKUP(E757,[1]Diccionario!C$2:AC$150,26,0)</f>
        <v>14.7</v>
      </c>
      <c r="P757" s="71">
        <f t="shared" si="131"/>
        <v>-8.6999999999999993</v>
      </c>
      <c r="Q757" s="71">
        <v>6</v>
      </c>
      <c r="R757" s="66">
        <v>15</v>
      </c>
      <c r="S757" s="72">
        <v>0.35</v>
      </c>
      <c r="T757" s="72">
        <v>0.37</v>
      </c>
      <c r="U757" s="73">
        <f>U756+TablaIndicador[[#This Row],[Costo Mensual]]</f>
        <v>365940750</v>
      </c>
      <c r="V757" s="73">
        <v>115289875</v>
      </c>
      <c r="W757" s="73">
        <f t="shared" si="133"/>
        <v>816622182.23000002</v>
      </c>
      <c r="X757" s="73">
        <f t="shared" si="134"/>
        <v>772480442.64999998</v>
      </c>
      <c r="Y757" s="73">
        <f t="shared" si="135"/>
        <v>450681432.23000002</v>
      </c>
      <c r="Z757" s="73">
        <f t="shared" si="136"/>
        <v>44141739.580000043</v>
      </c>
      <c r="AA757" s="75">
        <f t="shared" si="137"/>
        <v>2.2315694063314897</v>
      </c>
      <c r="AB757" s="76" t="str">
        <f t="shared" si="138"/>
        <v>Costo eficiente: se está gastando menos de lo presupuestado</v>
      </c>
      <c r="AC757" s="76">
        <f t="shared" si="139"/>
        <v>1.0571428571428572</v>
      </c>
      <c r="AD757" s="76" t="str">
        <f t="shared" si="140"/>
        <v>Proyecto adelantado respecto al cronograma</v>
      </c>
      <c r="AE757" s="77">
        <f t="shared" si="141"/>
        <v>989029054.0540539</v>
      </c>
      <c r="AF757" s="77">
        <f t="shared" si="142"/>
        <v>-1218057924.9459462</v>
      </c>
      <c r="AG757" s="78" t="str">
        <f>VLOOKUP(Indicador!E633,[1]Diccionario!C$1:AC$150,27,0)</f>
        <v>https://growdatasas.sharepoint.com/:x:/r/sites/Gestiondocumental/Administrativa/GD/Financiera/_layouts/15/Doc.aspx?sourcedoc=%7BBF6E8538-B113-45FF-83F6-596104EC0C59%7D&amp;file=3.0.0.%20%20MODELO%20UNAD%20V3.0.%20(ajustado).xlsm&amp;action=default&amp;mobileredirect=true</v>
      </c>
      <c r="AH757" s="78">
        <v>1</v>
      </c>
      <c r="AI757" s="78">
        <v>1</v>
      </c>
      <c r="AJ757" s="78"/>
      <c r="AK757" s="78" t="s">
        <v>319</v>
      </c>
    </row>
    <row r="758" spans="1:37" ht="18.75" customHeight="1" x14ac:dyDescent="0.25">
      <c r="A758" s="64">
        <v>2026</v>
      </c>
      <c r="B758" s="65" t="s">
        <v>49</v>
      </c>
      <c r="C758" s="66" t="s">
        <v>422</v>
      </c>
      <c r="D758" s="67">
        <v>45987.540494826389</v>
      </c>
      <c r="E758" s="66" t="s">
        <v>423</v>
      </c>
      <c r="F758" s="66" t="s">
        <v>424</v>
      </c>
      <c r="G758" s="66" t="s">
        <v>425</v>
      </c>
      <c r="H758" s="66" t="s">
        <v>426</v>
      </c>
      <c r="I758" s="66" t="s">
        <v>43</v>
      </c>
      <c r="J758" s="66" t="s">
        <v>427</v>
      </c>
      <c r="K758" s="66" t="s">
        <v>45</v>
      </c>
      <c r="L758" s="68">
        <f>VLOOKUP(E758,[1]Diccionario!C$2:AC$150,22,0)</f>
        <v>2207086979</v>
      </c>
      <c r="M758" s="69">
        <f>VLOOKUP(E758,[1]Diccionario!C$2:AC$150,24,0)</f>
        <v>45940</v>
      </c>
      <c r="N758" s="70">
        <f>VLOOKUP(E758,[1]Diccionario!C$2:AC$150,25,0)</f>
        <v>46387</v>
      </c>
      <c r="O758" s="71">
        <f>VLOOKUP(E758,[1]Diccionario!C$2:AC$150,26,0)</f>
        <v>14.7</v>
      </c>
      <c r="P758" s="71">
        <f t="shared" si="131"/>
        <v>-7.6999999999999993</v>
      </c>
      <c r="Q758" s="71">
        <v>7</v>
      </c>
      <c r="R758" s="66">
        <v>15</v>
      </c>
      <c r="S758" s="72">
        <v>0.4</v>
      </c>
      <c r="T758" s="72"/>
      <c r="U758" s="73">
        <f>U757+TablaIndicador[[#This Row],[Costo Mensual]]</f>
        <v>365940750</v>
      </c>
      <c r="V758" s="73">
        <v>0</v>
      </c>
      <c r="W758" s="73">
        <f t="shared" si="133"/>
        <v>0</v>
      </c>
      <c r="X758" s="73">
        <f t="shared" si="134"/>
        <v>882834791.60000002</v>
      </c>
      <c r="Y758" s="73">
        <f t="shared" si="135"/>
        <v>-365940750</v>
      </c>
      <c r="Z758" s="73">
        <f t="shared" si="136"/>
        <v>-882834791.60000002</v>
      </c>
      <c r="AA758" s="75">
        <f t="shared" si="137"/>
        <v>0</v>
      </c>
      <c r="AB758" s="76" t="str">
        <f t="shared" si="138"/>
        <v>No calculado</v>
      </c>
      <c r="AC758" s="76">
        <f t="shared" si="139"/>
        <v>0</v>
      </c>
      <c r="AD758" s="76" t="str">
        <f t="shared" si="140"/>
        <v>Sin Línea Base</v>
      </c>
      <c r="AE758" s="77">
        <f t="shared" si="141"/>
        <v>0</v>
      </c>
      <c r="AF758" s="77">
        <f t="shared" si="142"/>
        <v>-2207086979</v>
      </c>
      <c r="AG758" s="78" t="str">
        <f>VLOOKUP(Indicador!E634,[1]Diccionario!C$1:AC$150,27,0)</f>
        <v>https://growdatasas.sharepoint.com/:x:/r/sites/Gestiondocumental/Administrativa/GD/Financiera/_layouts/15/Doc.aspx?sourcedoc=%7BBF6E8538-B113-45FF-83F6-596104EC0C59%7D&amp;file=3.0.0.%20%20MODELO%20UNAD%20V3.0.%20(ajustado).xlsm&amp;action=default&amp;mobileredirect=true</v>
      </c>
      <c r="AH758" s="78">
        <v>1</v>
      </c>
      <c r="AI758" s="78">
        <v>1</v>
      </c>
      <c r="AJ758" s="78"/>
      <c r="AK758" s="78" t="s">
        <v>319</v>
      </c>
    </row>
    <row r="759" spans="1:37" ht="18.75" customHeight="1" x14ac:dyDescent="0.25">
      <c r="A759" s="64">
        <v>2026</v>
      </c>
      <c r="B759" s="65" t="s">
        <v>50</v>
      </c>
      <c r="C759" s="66" t="s">
        <v>422</v>
      </c>
      <c r="D759" s="67">
        <v>45987.540494826389</v>
      </c>
      <c r="E759" s="66" t="s">
        <v>423</v>
      </c>
      <c r="F759" s="66" t="s">
        <v>424</v>
      </c>
      <c r="G759" s="66" t="s">
        <v>425</v>
      </c>
      <c r="H759" s="66" t="s">
        <v>426</v>
      </c>
      <c r="I759" s="66" t="s">
        <v>43</v>
      </c>
      <c r="J759" s="66" t="s">
        <v>427</v>
      </c>
      <c r="K759" s="66" t="s">
        <v>45</v>
      </c>
      <c r="L759" s="68">
        <f>VLOOKUP(E759,[1]Diccionario!C$2:AC$150,22,0)</f>
        <v>2207086979</v>
      </c>
      <c r="M759" s="69">
        <f>VLOOKUP(E759,[1]Diccionario!C$2:AC$150,24,0)</f>
        <v>45940</v>
      </c>
      <c r="N759" s="70">
        <f>VLOOKUP(E759,[1]Diccionario!C$2:AC$150,25,0)</f>
        <v>46387</v>
      </c>
      <c r="O759" s="71">
        <f>VLOOKUP(E759,[1]Diccionario!C$2:AC$150,26,0)</f>
        <v>14.7</v>
      </c>
      <c r="P759" s="71">
        <f t="shared" si="131"/>
        <v>-6.6999999999999993</v>
      </c>
      <c r="Q759" s="71">
        <v>8</v>
      </c>
      <c r="R759" s="66">
        <v>15</v>
      </c>
      <c r="S759" s="72">
        <v>0.45</v>
      </c>
      <c r="T759" s="72"/>
      <c r="U759" s="73">
        <f>U758+TablaIndicador[[#This Row],[Costo Mensual]]</f>
        <v>365940750</v>
      </c>
      <c r="V759" s="73">
        <v>0</v>
      </c>
      <c r="W759" s="73">
        <f t="shared" si="133"/>
        <v>0</v>
      </c>
      <c r="X759" s="73">
        <f t="shared" si="134"/>
        <v>993189140.55000007</v>
      </c>
      <c r="Y759" s="73">
        <f t="shared" si="135"/>
        <v>-365940750</v>
      </c>
      <c r="Z759" s="73">
        <f t="shared" si="136"/>
        <v>-993189140.55000007</v>
      </c>
      <c r="AA759" s="75">
        <f t="shared" si="137"/>
        <v>0</v>
      </c>
      <c r="AB759" s="76" t="str">
        <f t="shared" si="138"/>
        <v>No calculado</v>
      </c>
      <c r="AC759" s="76">
        <f t="shared" si="139"/>
        <v>0</v>
      </c>
      <c r="AD759" s="76" t="str">
        <f t="shared" si="140"/>
        <v>Sin Línea Base</v>
      </c>
      <c r="AE759" s="77">
        <f t="shared" si="141"/>
        <v>0</v>
      </c>
      <c r="AF759" s="77">
        <f t="shared" si="142"/>
        <v>-2207086979</v>
      </c>
      <c r="AG759" s="78" t="str">
        <f>VLOOKUP(Indicador!E635,[1]Diccionario!C$1:AC$150,27,0)</f>
        <v>https://growdatasas.sharepoint.com/:x:/r/sites/Gestiondocumental/Administrativa/GD/Financiera/_layouts/15/Doc.aspx?sourcedoc=%7BBF6E8538-B113-45FF-83F6-596104EC0C59%7D&amp;file=3.0.0.%20%20MODELO%20UNAD%20V3.0.%20(ajustado).xlsm&amp;action=default&amp;mobileredirect=true</v>
      </c>
      <c r="AH759" s="78">
        <v>1</v>
      </c>
      <c r="AI759" s="78">
        <v>1</v>
      </c>
      <c r="AJ759" s="78"/>
      <c r="AK759" s="78" t="s">
        <v>319</v>
      </c>
    </row>
    <row r="760" spans="1:37" ht="18.75" customHeight="1" x14ac:dyDescent="0.25">
      <c r="A760" s="64">
        <v>2026</v>
      </c>
      <c r="B760" s="65" t="s">
        <v>51</v>
      </c>
      <c r="C760" s="66" t="s">
        <v>422</v>
      </c>
      <c r="D760" s="67">
        <v>45987.540494826389</v>
      </c>
      <c r="E760" s="66" t="s">
        <v>423</v>
      </c>
      <c r="F760" s="66" t="s">
        <v>424</v>
      </c>
      <c r="G760" s="66" t="s">
        <v>425</v>
      </c>
      <c r="H760" s="66" t="s">
        <v>426</v>
      </c>
      <c r="I760" s="66" t="s">
        <v>43</v>
      </c>
      <c r="J760" s="66" t="s">
        <v>427</v>
      </c>
      <c r="K760" s="66" t="s">
        <v>45</v>
      </c>
      <c r="L760" s="68">
        <f>VLOOKUP(E760,[1]Diccionario!C$2:AC$150,22,0)</f>
        <v>2207086979</v>
      </c>
      <c r="M760" s="69">
        <f>VLOOKUP(E760,[1]Diccionario!C$2:AC$150,24,0)</f>
        <v>45940</v>
      </c>
      <c r="N760" s="70">
        <f>VLOOKUP(E760,[1]Diccionario!C$2:AC$150,25,0)</f>
        <v>46387</v>
      </c>
      <c r="O760" s="71">
        <f>VLOOKUP(E760,[1]Diccionario!C$2:AC$150,26,0)</f>
        <v>14.7</v>
      </c>
      <c r="P760" s="71">
        <f t="shared" si="131"/>
        <v>-5.6999999999999993</v>
      </c>
      <c r="Q760" s="71">
        <v>9</v>
      </c>
      <c r="R760" s="66">
        <v>15</v>
      </c>
      <c r="S760" s="72">
        <v>0.5</v>
      </c>
      <c r="T760" s="72"/>
      <c r="U760" s="73">
        <f>U759+TablaIndicador[[#This Row],[Costo Mensual]]</f>
        <v>365940750</v>
      </c>
      <c r="V760" s="73">
        <v>0</v>
      </c>
      <c r="W760" s="73">
        <f t="shared" si="133"/>
        <v>0</v>
      </c>
      <c r="X760" s="73">
        <f t="shared" si="134"/>
        <v>1103543489.5</v>
      </c>
      <c r="Y760" s="73">
        <f t="shared" si="135"/>
        <v>-365940750</v>
      </c>
      <c r="Z760" s="73">
        <f t="shared" si="136"/>
        <v>-1103543489.5</v>
      </c>
      <c r="AA760" s="75">
        <f t="shared" si="137"/>
        <v>0</v>
      </c>
      <c r="AB760" s="76" t="str">
        <f t="shared" si="138"/>
        <v>No calculado</v>
      </c>
      <c r="AC760" s="76">
        <f t="shared" si="139"/>
        <v>0</v>
      </c>
      <c r="AD760" s="76" t="str">
        <f t="shared" si="140"/>
        <v>Sin Línea Base</v>
      </c>
      <c r="AE760" s="77">
        <f t="shared" si="141"/>
        <v>0</v>
      </c>
      <c r="AF760" s="77">
        <f t="shared" si="142"/>
        <v>-2207086979</v>
      </c>
      <c r="AG760" s="78" t="str">
        <f>VLOOKUP(Indicador!E636,[1]Diccionario!C$1:AC$150,27,0)</f>
        <v>https://growdatasas.sharepoint.com/:x:/r/sites/Gestiondocumental/Administrativa/GD/Financiera/_layouts/15/Doc.aspx?sourcedoc=%7BBF6E8538-B113-45FF-83F6-596104EC0C59%7D&amp;file=3.0.0.%20%20MODELO%20UNAD%20V3.0.%20(ajustado).xlsm&amp;action=default&amp;mobileredirect=true</v>
      </c>
      <c r="AH760" s="78">
        <v>1</v>
      </c>
      <c r="AI760" s="78">
        <v>1</v>
      </c>
      <c r="AJ760" s="78"/>
      <c r="AK760" s="78" t="s">
        <v>319</v>
      </c>
    </row>
    <row r="761" spans="1:37" ht="18.75" customHeight="1" x14ac:dyDescent="0.25">
      <c r="A761" s="64">
        <v>2026</v>
      </c>
      <c r="B761" s="65" t="s">
        <v>52</v>
      </c>
      <c r="C761" s="66" t="s">
        <v>422</v>
      </c>
      <c r="D761" s="67">
        <v>45987.540494826389</v>
      </c>
      <c r="E761" s="66" t="s">
        <v>423</v>
      </c>
      <c r="F761" s="66" t="s">
        <v>424</v>
      </c>
      <c r="G761" s="66" t="s">
        <v>425</v>
      </c>
      <c r="H761" s="66" t="s">
        <v>426</v>
      </c>
      <c r="I761" s="66" t="s">
        <v>43</v>
      </c>
      <c r="J761" s="66" t="s">
        <v>427</v>
      </c>
      <c r="K761" s="66" t="s">
        <v>45</v>
      </c>
      <c r="L761" s="68">
        <f>VLOOKUP(E761,[1]Diccionario!C$2:AC$150,22,0)</f>
        <v>2207086979</v>
      </c>
      <c r="M761" s="69">
        <f>VLOOKUP(E761,[1]Diccionario!C$2:AC$150,24,0)</f>
        <v>45940</v>
      </c>
      <c r="N761" s="70">
        <f>VLOOKUP(E761,[1]Diccionario!C$2:AC$150,25,0)</f>
        <v>46387</v>
      </c>
      <c r="O761" s="71">
        <f>VLOOKUP(E761,[1]Diccionario!C$2:AC$150,26,0)</f>
        <v>14.7</v>
      </c>
      <c r="P761" s="71">
        <f t="shared" si="131"/>
        <v>-4.6999999999999993</v>
      </c>
      <c r="Q761" s="71">
        <v>10</v>
      </c>
      <c r="R761" s="66">
        <v>15</v>
      </c>
      <c r="S761" s="72">
        <v>0.6</v>
      </c>
      <c r="T761" s="72"/>
      <c r="U761" s="73">
        <f>U760+TablaIndicador[[#This Row],[Costo Mensual]]</f>
        <v>365940750</v>
      </c>
      <c r="V761" s="73">
        <v>0</v>
      </c>
      <c r="W761" s="73">
        <f t="shared" si="133"/>
        <v>0</v>
      </c>
      <c r="X761" s="73">
        <f t="shared" si="134"/>
        <v>1324252187.3999999</v>
      </c>
      <c r="Y761" s="73">
        <f t="shared" si="135"/>
        <v>-365940750</v>
      </c>
      <c r="Z761" s="73">
        <f t="shared" si="136"/>
        <v>-1324252187.3999999</v>
      </c>
      <c r="AA761" s="75">
        <f t="shared" si="137"/>
        <v>0</v>
      </c>
      <c r="AB761" s="76" t="str">
        <f t="shared" si="138"/>
        <v>No calculado</v>
      </c>
      <c r="AC761" s="76">
        <f t="shared" si="139"/>
        <v>0</v>
      </c>
      <c r="AD761" s="76" t="str">
        <f t="shared" si="140"/>
        <v>Sin Línea Base</v>
      </c>
      <c r="AE761" s="77">
        <f t="shared" si="141"/>
        <v>0</v>
      </c>
      <c r="AF761" s="77">
        <f t="shared" si="142"/>
        <v>-2207086979</v>
      </c>
      <c r="AG761" s="78" t="str">
        <f>VLOOKUP(Indicador!E637,[1]Diccionario!C$1:AC$150,27,0)</f>
        <v>https://growdatasas.sharepoint.com/:x:/r/sites/Gestiondocumental/Administrativa/GD/Financiera/_layouts/15/Doc.aspx?sourcedoc=%7BBF6E8538-B113-45FF-83F6-596104EC0C59%7D&amp;file=3.0.0.%20%20MODELO%20UNAD%20V3.0.%20(ajustado).xlsm&amp;action=default&amp;mobileredirect=true</v>
      </c>
      <c r="AH761" s="78">
        <v>1</v>
      </c>
      <c r="AI761" s="78">
        <v>1</v>
      </c>
      <c r="AJ761" s="78"/>
      <c r="AK761" s="78" t="s">
        <v>319</v>
      </c>
    </row>
    <row r="762" spans="1:37" ht="18.75" customHeight="1" x14ac:dyDescent="0.25">
      <c r="A762" s="64">
        <v>2026</v>
      </c>
      <c r="B762" s="65" t="s">
        <v>53</v>
      </c>
      <c r="C762" s="66" t="s">
        <v>422</v>
      </c>
      <c r="D762" s="67">
        <v>45987.540494826389</v>
      </c>
      <c r="E762" s="66" t="s">
        <v>423</v>
      </c>
      <c r="F762" s="66" t="s">
        <v>424</v>
      </c>
      <c r="G762" s="66" t="s">
        <v>425</v>
      </c>
      <c r="H762" s="66" t="s">
        <v>426</v>
      </c>
      <c r="I762" s="66" t="s">
        <v>43</v>
      </c>
      <c r="J762" s="66" t="s">
        <v>427</v>
      </c>
      <c r="K762" s="66" t="s">
        <v>45</v>
      </c>
      <c r="L762" s="68">
        <f>VLOOKUP(E762,[1]Diccionario!C$2:AC$150,22,0)</f>
        <v>2207086979</v>
      </c>
      <c r="M762" s="69">
        <f>VLOOKUP(E762,[1]Diccionario!C$2:AC$150,24,0)</f>
        <v>45940</v>
      </c>
      <c r="N762" s="70">
        <f>VLOOKUP(E762,[1]Diccionario!C$2:AC$150,25,0)</f>
        <v>46387</v>
      </c>
      <c r="O762" s="71">
        <f>VLOOKUP(E762,[1]Diccionario!C$2:AC$150,26,0)</f>
        <v>14.7</v>
      </c>
      <c r="P762" s="71">
        <f t="shared" si="131"/>
        <v>-3.6999999999999993</v>
      </c>
      <c r="Q762" s="71">
        <v>11</v>
      </c>
      <c r="R762" s="66">
        <v>15</v>
      </c>
      <c r="S762" s="72">
        <v>0.7</v>
      </c>
      <c r="T762" s="72"/>
      <c r="U762" s="73">
        <f>U761+TablaIndicador[[#This Row],[Costo Mensual]]</f>
        <v>365940750</v>
      </c>
      <c r="V762" s="73">
        <v>0</v>
      </c>
      <c r="W762" s="73">
        <f t="shared" si="133"/>
        <v>0</v>
      </c>
      <c r="X762" s="73">
        <f t="shared" si="134"/>
        <v>1544960885.3</v>
      </c>
      <c r="Y762" s="73">
        <f t="shared" si="135"/>
        <v>-365940750</v>
      </c>
      <c r="Z762" s="73">
        <f t="shared" si="136"/>
        <v>-1544960885.3</v>
      </c>
      <c r="AA762" s="75">
        <f t="shared" si="137"/>
        <v>0</v>
      </c>
      <c r="AB762" s="76" t="str">
        <f t="shared" si="138"/>
        <v>No calculado</v>
      </c>
      <c r="AC762" s="76">
        <f t="shared" si="139"/>
        <v>0</v>
      </c>
      <c r="AD762" s="76" t="str">
        <f t="shared" si="140"/>
        <v>Sin Línea Base</v>
      </c>
      <c r="AE762" s="77">
        <f t="shared" si="141"/>
        <v>0</v>
      </c>
      <c r="AF762" s="77">
        <f t="shared" si="142"/>
        <v>-2207086979</v>
      </c>
      <c r="AG762" s="78" t="str">
        <f>VLOOKUP(Indicador!E638,[1]Diccionario!C$1:AC$150,27,0)</f>
        <v>https://growdatasas.sharepoint.com/:x:/r/sites/Gestiondocumental/Administrativa/GD/Financiera/_layouts/15/Doc.aspx?sourcedoc=%7BBF6E8538-B113-45FF-83F6-596104EC0C59%7D&amp;file=3.0.0.%20%20MODELO%20UNAD%20V3.0.%20(ajustado).xlsm&amp;action=default&amp;mobileredirect=true</v>
      </c>
      <c r="AH762" s="78">
        <v>1</v>
      </c>
      <c r="AI762" s="78">
        <v>1</v>
      </c>
      <c r="AJ762" s="78"/>
      <c r="AK762" s="78" t="s">
        <v>319</v>
      </c>
    </row>
    <row r="763" spans="1:37" ht="18.75" customHeight="1" x14ac:dyDescent="0.25">
      <c r="A763" s="64">
        <v>2026</v>
      </c>
      <c r="B763" s="65" t="s">
        <v>54</v>
      </c>
      <c r="C763" s="66" t="s">
        <v>422</v>
      </c>
      <c r="D763" s="67">
        <v>45987.540494826389</v>
      </c>
      <c r="E763" s="66" t="s">
        <v>423</v>
      </c>
      <c r="F763" s="66" t="s">
        <v>424</v>
      </c>
      <c r="G763" s="66" t="s">
        <v>425</v>
      </c>
      <c r="H763" s="66" t="s">
        <v>426</v>
      </c>
      <c r="I763" s="66" t="s">
        <v>43</v>
      </c>
      <c r="J763" s="66" t="s">
        <v>427</v>
      </c>
      <c r="K763" s="66" t="s">
        <v>45</v>
      </c>
      <c r="L763" s="68">
        <f>VLOOKUP(E763,[1]Diccionario!C$2:AC$150,22,0)</f>
        <v>2207086979</v>
      </c>
      <c r="M763" s="69">
        <f>VLOOKUP(E763,[1]Diccionario!C$2:AC$150,24,0)</f>
        <v>45940</v>
      </c>
      <c r="N763" s="70">
        <f>VLOOKUP(E763,[1]Diccionario!C$2:AC$150,25,0)</f>
        <v>46387</v>
      </c>
      <c r="O763" s="71">
        <f>VLOOKUP(E763,[1]Diccionario!C$2:AC$150,26,0)</f>
        <v>14.7</v>
      </c>
      <c r="P763" s="71">
        <f t="shared" si="131"/>
        <v>-2.6999999999999993</v>
      </c>
      <c r="Q763" s="71">
        <v>12</v>
      </c>
      <c r="R763" s="66">
        <v>15</v>
      </c>
      <c r="S763" s="72">
        <v>0.75</v>
      </c>
      <c r="T763" s="72"/>
      <c r="U763" s="73">
        <f>U762+TablaIndicador[[#This Row],[Costo Mensual]]</f>
        <v>365940750</v>
      </c>
      <c r="V763" s="73">
        <v>0</v>
      </c>
      <c r="W763" s="73">
        <f t="shared" si="133"/>
        <v>0</v>
      </c>
      <c r="X763" s="73">
        <f t="shared" si="134"/>
        <v>1655315234.25</v>
      </c>
      <c r="Y763" s="73">
        <f t="shared" si="135"/>
        <v>-365940750</v>
      </c>
      <c r="Z763" s="73">
        <f t="shared" si="136"/>
        <v>-1655315234.25</v>
      </c>
      <c r="AA763" s="75">
        <f t="shared" si="137"/>
        <v>0</v>
      </c>
      <c r="AB763" s="76" t="str">
        <f t="shared" si="138"/>
        <v>No calculado</v>
      </c>
      <c r="AC763" s="76">
        <f t="shared" si="139"/>
        <v>0</v>
      </c>
      <c r="AD763" s="76" t="str">
        <f t="shared" si="140"/>
        <v>Sin Línea Base</v>
      </c>
      <c r="AE763" s="77">
        <f t="shared" si="141"/>
        <v>0</v>
      </c>
      <c r="AF763" s="77">
        <f t="shared" si="142"/>
        <v>-2207086979</v>
      </c>
      <c r="AG763" s="78" t="str">
        <f>VLOOKUP(Indicador!E639,[1]Diccionario!C$1:AC$150,27,0)</f>
        <v>https://growdatasas.sharepoint.com/:x:/r/sites/Gestiondocumental/Administrativa/GD/Financiera/_layouts/15/Doc.aspx?sourcedoc=%7BBF6E8538-B113-45FF-83F6-596104EC0C59%7D&amp;file=3.0.0.%20%20MODELO%20UNAD%20V3.0.%20(ajustado).xlsm&amp;action=default&amp;mobileredirect=true</v>
      </c>
      <c r="AH763" s="78">
        <v>1</v>
      </c>
      <c r="AI763" s="78">
        <v>1</v>
      </c>
      <c r="AJ763" s="78"/>
      <c r="AK763" s="78" t="s">
        <v>319</v>
      </c>
    </row>
    <row r="764" spans="1:37" ht="18.75" customHeight="1" x14ac:dyDescent="0.25">
      <c r="A764" s="64">
        <v>2026</v>
      </c>
      <c r="B764" s="65" t="s">
        <v>55</v>
      </c>
      <c r="C764" s="66" t="s">
        <v>422</v>
      </c>
      <c r="D764" s="67">
        <v>45987.540494826389</v>
      </c>
      <c r="E764" s="66" t="s">
        <v>423</v>
      </c>
      <c r="F764" s="66" t="s">
        <v>424</v>
      </c>
      <c r="G764" s="66" t="s">
        <v>425</v>
      </c>
      <c r="H764" s="66" t="s">
        <v>426</v>
      </c>
      <c r="I764" s="66" t="s">
        <v>43</v>
      </c>
      <c r="J764" s="66" t="s">
        <v>427</v>
      </c>
      <c r="K764" s="66" t="s">
        <v>45</v>
      </c>
      <c r="L764" s="68">
        <f>VLOOKUP(E764,[1]Diccionario!C$2:AC$150,22,0)</f>
        <v>2207086979</v>
      </c>
      <c r="M764" s="69">
        <f>VLOOKUP(E764,[1]Diccionario!C$2:AC$150,24,0)</f>
        <v>45940</v>
      </c>
      <c r="N764" s="70">
        <f>VLOOKUP(E764,[1]Diccionario!C$2:AC$150,25,0)</f>
        <v>46387</v>
      </c>
      <c r="O764" s="71">
        <f>VLOOKUP(E764,[1]Diccionario!C$2:AC$150,26,0)</f>
        <v>14.7</v>
      </c>
      <c r="P764" s="71">
        <f t="shared" si="131"/>
        <v>-1.6999999999999993</v>
      </c>
      <c r="Q764" s="71">
        <v>13</v>
      </c>
      <c r="R764" s="66">
        <v>15</v>
      </c>
      <c r="S764" s="72">
        <v>0.8</v>
      </c>
      <c r="T764" s="72"/>
      <c r="U764" s="73">
        <f>U763+TablaIndicador[[#This Row],[Costo Mensual]]</f>
        <v>365940750</v>
      </c>
      <c r="V764" s="73">
        <v>0</v>
      </c>
      <c r="W764" s="73">
        <f t="shared" si="133"/>
        <v>0</v>
      </c>
      <c r="X764" s="73">
        <f t="shared" si="134"/>
        <v>1765669583.2</v>
      </c>
      <c r="Y764" s="73">
        <f t="shared" si="135"/>
        <v>-365940750</v>
      </c>
      <c r="Z764" s="73">
        <f t="shared" si="136"/>
        <v>-1765669583.2</v>
      </c>
      <c r="AA764" s="75">
        <f t="shared" si="137"/>
        <v>0</v>
      </c>
      <c r="AB764" s="76" t="str">
        <f t="shared" si="138"/>
        <v>No calculado</v>
      </c>
      <c r="AC764" s="76">
        <f t="shared" si="139"/>
        <v>0</v>
      </c>
      <c r="AD764" s="76" t="str">
        <f t="shared" si="140"/>
        <v>Sin Línea Base</v>
      </c>
      <c r="AE764" s="77">
        <f t="shared" si="141"/>
        <v>0</v>
      </c>
      <c r="AF764" s="77">
        <f t="shared" si="142"/>
        <v>-2207086979</v>
      </c>
      <c r="AG764" s="78" t="str">
        <f>VLOOKUP(Indicador!E640,[1]Diccionario!C$1:AC$150,27,0)</f>
        <v>https://growdatasas.sharepoint.com/:x:/r/sites/Gestiondocumental/Administrativa/GD/Financiera/_layouts/15/Doc.aspx?sourcedoc=%7BBF6E8538-B113-45FF-83F6-596104EC0C59%7D&amp;file=3.0.0.%20%20MODELO%20UNAD%20V3.0.%20(ajustado).xlsm&amp;action=default&amp;mobileredirect=true</v>
      </c>
      <c r="AH764" s="78">
        <v>1</v>
      </c>
      <c r="AI764" s="78">
        <v>1</v>
      </c>
      <c r="AJ764" s="78"/>
      <c r="AK764" s="78" t="s">
        <v>319</v>
      </c>
    </row>
    <row r="765" spans="1:37" ht="18.75" customHeight="1" x14ac:dyDescent="0.25">
      <c r="A765" s="64">
        <v>2026</v>
      </c>
      <c r="B765" s="65" t="s">
        <v>56</v>
      </c>
      <c r="C765" s="66" t="s">
        <v>422</v>
      </c>
      <c r="D765" s="67">
        <v>45987.540494826389</v>
      </c>
      <c r="E765" s="66" t="s">
        <v>423</v>
      </c>
      <c r="F765" s="66" t="s">
        <v>424</v>
      </c>
      <c r="G765" s="66" t="s">
        <v>425</v>
      </c>
      <c r="H765" s="66" t="s">
        <v>426</v>
      </c>
      <c r="I765" s="66" t="s">
        <v>43</v>
      </c>
      <c r="J765" s="66" t="s">
        <v>427</v>
      </c>
      <c r="K765" s="66" t="s">
        <v>45</v>
      </c>
      <c r="L765" s="68">
        <f>VLOOKUP(E765,[1]Diccionario!C$2:AC$150,22,0)</f>
        <v>2207086979</v>
      </c>
      <c r="M765" s="69">
        <f>VLOOKUP(E765,[1]Diccionario!C$2:AC$150,24,0)</f>
        <v>45940</v>
      </c>
      <c r="N765" s="70">
        <f>VLOOKUP(E765,[1]Diccionario!C$2:AC$150,25,0)</f>
        <v>46387</v>
      </c>
      <c r="O765" s="71">
        <f>VLOOKUP(E765,[1]Diccionario!C$2:AC$150,26,0)</f>
        <v>14.7</v>
      </c>
      <c r="P765" s="71">
        <f t="shared" si="131"/>
        <v>-0.69999999999999929</v>
      </c>
      <c r="Q765" s="71">
        <v>14</v>
      </c>
      <c r="R765" s="66">
        <v>15</v>
      </c>
      <c r="S765" s="72">
        <v>0.9</v>
      </c>
      <c r="T765" s="72"/>
      <c r="U765" s="73">
        <f>U764+TablaIndicador[[#This Row],[Costo Mensual]]</f>
        <v>365940750</v>
      </c>
      <c r="V765" s="73">
        <v>0</v>
      </c>
      <c r="W765" s="73">
        <f t="shared" si="133"/>
        <v>0</v>
      </c>
      <c r="X765" s="73">
        <f t="shared" si="134"/>
        <v>1986378281.1000001</v>
      </c>
      <c r="Y765" s="73">
        <f t="shared" si="135"/>
        <v>-365940750</v>
      </c>
      <c r="Z765" s="73">
        <f t="shared" si="136"/>
        <v>-1986378281.1000001</v>
      </c>
      <c r="AA765" s="75">
        <f t="shared" si="137"/>
        <v>0</v>
      </c>
      <c r="AB765" s="76" t="str">
        <f t="shared" si="138"/>
        <v>No calculado</v>
      </c>
      <c r="AC765" s="76">
        <f t="shared" si="139"/>
        <v>0</v>
      </c>
      <c r="AD765" s="76" t="str">
        <f t="shared" si="140"/>
        <v>Sin Línea Base</v>
      </c>
      <c r="AE765" s="77">
        <f t="shared" si="141"/>
        <v>0</v>
      </c>
      <c r="AF765" s="77">
        <f t="shared" si="142"/>
        <v>-2207086979</v>
      </c>
      <c r="AG765" s="78" t="str">
        <f>VLOOKUP(Indicador!E641,[1]Diccionario!C$1:AC$150,27,0)</f>
        <v>https://growdatasas.sharepoint.com/:x:/r/sites/Gestiondocumental/Administrativa/GD/Financiera/_layouts/15/Doc.aspx?sourcedoc=%7BBF6E8538-B113-45FF-83F6-596104EC0C59%7D&amp;file=3.0.0.%20%20MODELO%20UNAD%20V3.0.%20(ajustado).xlsm&amp;action=default&amp;mobileredirect=true</v>
      </c>
      <c r="AH765" s="78">
        <v>1</v>
      </c>
      <c r="AI765" s="78">
        <v>1</v>
      </c>
      <c r="AJ765" s="78"/>
      <c r="AK765" s="78" t="s">
        <v>319</v>
      </c>
    </row>
    <row r="766" spans="1:37" ht="18.75" customHeight="1" x14ac:dyDescent="0.25">
      <c r="A766" s="64">
        <v>2026</v>
      </c>
      <c r="B766" s="65" t="s">
        <v>57</v>
      </c>
      <c r="C766" s="66" t="s">
        <v>422</v>
      </c>
      <c r="D766" s="67">
        <v>45987.540494826389</v>
      </c>
      <c r="E766" s="66" t="s">
        <v>423</v>
      </c>
      <c r="F766" s="66" t="s">
        <v>424</v>
      </c>
      <c r="G766" s="66" t="s">
        <v>425</v>
      </c>
      <c r="H766" s="66" t="s">
        <v>426</v>
      </c>
      <c r="I766" s="66" t="s">
        <v>43</v>
      </c>
      <c r="J766" s="66" t="s">
        <v>427</v>
      </c>
      <c r="K766" s="66" t="s">
        <v>45</v>
      </c>
      <c r="L766" s="68">
        <f>VLOOKUP(E766,[1]Diccionario!C$2:AC$150,22,0)</f>
        <v>2207086979</v>
      </c>
      <c r="M766" s="69">
        <f>VLOOKUP(E766,[1]Diccionario!C$2:AC$150,24,0)</f>
        <v>45940</v>
      </c>
      <c r="N766" s="70">
        <f>VLOOKUP(E766,[1]Diccionario!C$2:AC$150,25,0)</f>
        <v>46387</v>
      </c>
      <c r="O766" s="71">
        <f>VLOOKUP(E766,[1]Diccionario!C$2:AC$150,26,0)</f>
        <v>14.7</v>
      </c>
      <c r="P766" s="71">
        <f t="shared" si="131"/>
        <v>0.30000000000000071</v>
      </c>
      <c r="Q766" s="71">
        <v>15</v>
      </c>
      <c r="R766" s="66">
        <v>15</v>
      </c>
      <c r="S766" s="72">
        <v>1</v>
      </c>
      <c r="T766" s="72"/>
      <c r="U766" s="73">
        <f>U765+TablaIndicador[[#This Row],[Costo Mensual]]</f>
        <v>365940750</v>
      </c>
      <c r="V766" s="73">
        <v>0</v>
      </c>
      <c r="W766" s="73">
        <f t="shared" si="133"/>
        <v>0</v>
      </c>
      <c r="X766" s="73">
        <f t="shared" si="134"/>
        <v>2207086979</v>
      </c>
      <c r="Y766" s="73">
        <f t="shared" si="135"/>
        <v>-365940750</v>
      </c>
      <c r="Z766" s="73">
        <f t="shared" si="136"/>
        <v>-2207086979</v>
      </c>
      <c r="AA766" s="75">
        <f t="shared" si="137"/>
        <v>0</v>
      </c>
      <c r="AB766" s="76" t="str">
        <f t="shared" si="138"/>
        <v>No calculado</v>
      </c>
      <c r="AC766" s="76">
        <f t="shared" si="139"/>
        <v>0</v>
      </c>
      <c r="AD766" s="76" t="str">
        <f t="shared" si="140"/>
        <v>Sin Línea Base</v>
      </c>
      <c r="AE766" s="77">
        <f t="shared" si="141"/>
        <v>0</v>
      </c>
      <c r="AF766" s="77">
        <f t="shared" si="142"/>
        <v>-2207086979</v>
      </c>
      <c r="AG766" s="78" t="str">
        <f>VLOOKUP(Indicador!E642,[1]Diccionario!C$1:AC$150,27,0)</f>
        <v>https://growdatasas.sharepoint.com/:x:/r/sites/Gestiondocumental/Administrativa/GD/Financiera/_layouts/15/Doc.aspx?sourcedoc=%7BBF6E8538-B113-45FF-83F6-596104EC0C59%7D&amp;file=3.0.0.%20%20MODELO%20UNAD%20V3.0.%20(ajustado).xlsm&amp;action=default&amp;mobileredirect=true</v>
      </c>
      <c r="AH766" s="78">
        <v>1</v>
      </c>
      <c r="AI766" s="78">
        <v>1</v>
      </c>
      <c r="AJ766" s="78"/>
      <c r="AK766" s="78" t="s">
        <v>319</v>
      </c>
    </row>
    <row r="767" spans="1:37" ht="18.75" customHeight="1" x14ac:dyDescent="0.25">
      <c r="A767" s="64">
        <v>2025</v>
      </c>
      <c r="B767" s="65" t="s">
        <v>56</v>
      </c>
      <c r="C767" s="66" t="s">
        <v>428</v>
      </c>
      <c r="D767" s="67">
        <v>45987.733444907404</v>
      </c>
      <c r="E767" s="66" t="s">
        <v>429</v>
      </c>
      <c r="F767" s="66" t="s">
        <v>178</v>
      </c>
      <c r="G767" s="66" t="s">
        <v>430</v>
      </c>
      <c r="H767" s="66" t="s">
        <v>431</v>
      </c>
      <c r="I767" s="66" t="s">
        <v>43</v>
      </c>
      <c r="J767" s="66" t="s">
        <v>432</v>
      </c>
      <c r="K767" s="66" t="s">
        <v>291</v>
      </c>
      <c r="L767" s="68">
        <f>VLOOKUP(E767,[1]Diccionario!C$2:AC$150,22,0)</f>
        <v>1597913499</v>
      </c>
      <c r="M767" s="69">
        <f>VLOOKUP(E767,[1]Diccionario!C$2:AC$150,24,0)</f>
        <v>45989</v>
      </c>
      <c r="N767" s="70">
        <f>VLOOKUP(E767,[1]Diccionario!C$2:AC$150,25,0)</f>
        <v>46293</v>
      </c>
      <c r="O767" s="71">
        <f>VLOOKUP(E767,[1]Diccionario!C$2:AC$150,26,0)</f>
        <v>10</v>
      </c>
      <c r="P767" s="71">
        <f t="shared" ref="P767:P830" si="144">Q767-O767</f>
        <v>-9</v>
      </c>
      <c r="Q767" s="71">
        <v>1</v>
      </c>
      <c r="R767" s="66">
        <v>10</v>
      </c>
      <c r="S767" s="72">
        <v>0.1</v>
      </c>
      <c r="T767" s="72">
        <v>0.1</v>
      </c>
      <c r="U767" s="79">
        <v>0</v>
      </c>
      <c r="V767" s="73">
        <v>0</v>
      </c>
      <c r="W767" s="73">
        <f t="shared" si="133"/>
        <v>159791349.90000001</v>
      </c>
      <c r="X767" s="73">
        <f t="shared" si="134"/>
        <v>159791349.90000001</v>
      </c>
      <c r="Y767" s="73">
        <f t="shared" si="135"/>
        <v>159791349.90000001</v>
      </c>
      <c r="Z767" s="73">
        <f t="shared" si="136"/>
        <v>0</v>
      </c>
      <c r="AA767" s="75" t="str">
        <f t="shared" si="137"/>
        <v>No se realizó gasto en este corte</v>
      </c>
      <c r="AB767" s="76" t="str">
        <f t="shared" si="138"/>
        <v>Costo eficiente: se está gastando menos de lo presupuestado</v>
      </c>
      <c r="AC767" s="76">
        <f t="shared" si="139"/>
        <v>1</v>
      </c>
      <c r="AD767" s="76" t="str">
        <f t="shared" si="140"/>
        <v>Proyecto a tiempo según lo planificado</v>
      </c>
      <c r="AE767" s="77">
        <f t="shared" si="141"/>
        <v>0</v>
      </c>
      <c r="AF767" s="77">
        <f t="shared" si="142"/>
        <v>-1597913499</v>
      </c>
      <c r="AG767" s="78" t="str">
        <f>VLOOKUP(Indicador!E789,[1]Diccionario!C$1:AC$150,27,0)</f>
        <v>https://growdatasas.sharepoint.com/:x:/r/sites/Gestiondocumental/Administrativa/GD/Financiera/_layouts/15/Doc.aspx?sourcedoc=%7BEE2DBDF3-CCDC-4051-9840-1FAD6578D68D%7D&amp;file=MODELO%20MINVIVIENDA%20V1.4.%20(aprobado).xlsm&amp;action=default&amp;mobileredirect=true</v>
      </c>
      <c r="AH767" s="78">
        <v>1</v>
      </c>
      <c r="AI767" s="78">
        <v>1</v>
      </c>
      <c r="AJ767" s="78"/>
      <c r="AK767" s="78" t="s">
        <v>319</v>
      </c>
    </row>
    <row r="768" spans="1:37" ht="18.75" customHeight="1" x14ac:dyDescent="0.25">
      <c r="A768" s="64">
        <v>2025</v>
      </c>
      <c r="B768" s="65" t="s">
        <v>57</v>
      </c>
      <c r="C768" s="66" t="s">
        <v>428</v>
      </c>
      <c r="D768" s="67">
        <v>45987.733444907404</v>
      </c>
      <c r="E768" s="66" t="s">
        <v>429</v>
      </c>
      <c r="F768" s="66" t="s">
        <v>178</v>
      </c>
      <c r="G768" s="66" t="s">
        <v>430</v>
      </c>
      <c r="H768" s="66" t="s">
        <v>431</v>
      </c>
      <c r="I768" s="66" t="s">
        <v>43</v>
      </c>
      <c r="J768" s="66" t="s">
        <v>432</v>
      </c>
      <c r="K768" s="66" t="s">
        <v>291</v>
      </c>
      <c r="L768" s="68">
        <f>VLOOKUP(E768,[1]Diccionario!C$2:AC$150,22,0)</f>
        <v>1597913499</v>
      </c>
      <c r="M768" s="69">
        <f>VLOOKUP(E768,[1]Diccionario!C$2:AC$150,24,0)</f>
        <v>45989</v>
      </c>
      <c r="N768" s="70">
        <f>VLOOKUP(E768,[1]Diccionario!C$2:AC$150,25,0)</f>
        <v>46293</v>
      </c>
      <c r="O768" s="71">
        <f>VLOOKUP(E768,[1]Diccionario!C$2:AC$150,26,0)</f>
        <v>10</v>
      </c>
      <c r="P768" s="71">
        <f t="shared" si="144"/>
        <v>-8</v>
      </c>
      <c r="Q768" s="71">
        <v>2</v>
      </c>
      <c r="R768" s="66">
        <v>10</v>
      </c>
      <c r="S768" s="72">
        <v>0.15</v>
      </c>
      <c r="T768" s="72">
        <v>0.15</v>
      </c>
      <c r="U768" s="79">
        <f>U767+TablaIndicador[[#This Row],[Costo Mensual]]</f>
        <v>112100000</v>
      </c>
      <c r="V768" s="74">
        <v>112100000</v>
      </c>
      <c r="W768" s="73">
        <f t="shared" si="133"/>
        <v>239687024.84999999</v>
      </c>
      <c r="X768" s="73">
        <f t="shared" si="134"/>
        <v>239687024.84999999</v>
      </c>
      <c r="Y768" s="73">
        <f t="shared" si="135"/>
        <v>127587024.84999999</v>
      </c>
      <c r="Z768" s="73">
        <f t="shared" si="136"/>
        <v>0</v>
      </c>
      <c r="AA768" s="75">
        <f t="shared" si="137"/>
        <v>2.1381536561106156</v>
      </c>
      <c r="AB768" s="76" t="str">
        <f t="shared" si="138"/>
        <v>Costo eficiente: se está gastando menos de lo presupuestado</v>
      </c>
      <c r="AC768" s="76">
        <f t="shared" si="139"/>
        <v>1</v>
      </c>
      <c r="AD768" s="76" t="str">
        <f t="shared" si="140"/>
        <v>Proyecto a tiempo según lo planificado</v>
      </c>
      <c r="AE768" s="77">
        <f t="shared" si="141"/>
        <v>747333333.33333325</v>
      </c>
      <c r="AF768" s="77">
        <f t="shared" si="142"/>
        <v>-850580165.66666675</v>
      </c>
      <c r="AG768" s="78" t="str">
        <f>VLOOKUP(Indicador!E790,[1]Diccionario!C$1:AC$150,27,0)</f>
        <v>https://growdatasas.sharepoint.com/:x:/r/sites/Gestiondocumental/Administrativa/GD/Financiera/_layouts/15/Doc.aspx?sourcedoc=%7B840D2BBF-2534-4DFF-B0DD-C6009F7470CE%7D&amp;file=20251301%20MODELO%20FINANCIERO%20REFERENCIA%20V7.4_583MILL.xlsm&amp;action=default&amp;mobileredirect=true</v>
      </c>
      <c r="AH768" s="78">
        <v>1</v>
      </c>
      <c r="AI768" s="78">
        <v>1</v>
      </c>
      <c r="AJ768" s="78"/>
      <c r="AK768" s="78" t="s">
        <v>319</v>
      </c>
    </row>
    <row r="769" spans="1:37" ht="18.75" customHeight="1" x14ac:dyDescent="0.25">
      <c r="A769" s="64">
        <v>2026</v>
      </c>
      <c r="B769" s="65" t="s">
        <v>37</v>
      </c>
      <c r="C769" s="66" t="s">
        <v>428</v>
      </c>
      <c r="D769" s="67">
        <v>45987.733444907404</v>
      </c>
      <c r="E769" s="66" t="s">
        <v>429</v>
      </c>
      <c r="F769" s="66" t="s">
        <v>178</v>
      </c>
      <c r="G769" s="66" t="s">
        <v>430</v>
      </c>
      <c r="H769" s="66" t="s">
        <v>431</v>
      </c>
      <c r="I769" s="66" t="s">
        <v>43</v>
      </c>
      <c r="J769" s="66" t="s">
        <v>432</v>
      </c>
      <c r="K769" s="66" t="s">
        <v>291</v>
      </c>
      <c r="L769" s="68">
        <f>VLOOKUP(E769,[1]Diccionario!C$2:AC$150,22,0)</f>
        <v>1597913499</v>
      </c>
      <c r="M769" s="69">
        <f>VLOOKUP(E769,[1]Diccionario!C$2:AC$150,24,0)</f>
        <v>45989</v>
      </c>
      <c r="N769" s="70">
        <f>VLOOKUP(E769,[1]Diccionario!C$2:AC$150,25,0)</f>
        <v>46293</v>
      </c>
      <c r="O769" s="71">
        <f>VLOOKUP(E769,[1]Diccionario!C$2:AC$150,26,0)</f>
        <v>10</v>
      </c>
      <c r="P769" s="71">
        <f t="shared" si="144"/>
        <v>-7</v>
      </c>
      <c r="Q769" s="71">
        <v>3</v>
      </c>
      <c r="R769" s="66">
        <v>10</v>
      </c>
      <c r="S769" s="72">
        <v>0.2</v>
      </c>
      <c r="T769" s="72">
        <v>0.2</v>
      </c>
      <c r="U769" s="79">
        <f>U768+TablaIndicador[[#This Row],[Costo Mensual]]</f>
        <v>222600000</v>
      </c>
      <c r="V769" s="74">
        <v>110500000</v>
      </c>
      <c r="W769" s="73">
        <f t="shared" si="133"/>
        <v>319582699.80000001</v>
      </c>
      <c r="X769" s="73">
        <f t="shared" si="134"/>
        <v>319582699.80000001</v>
      </c>
      <c r="Y769" s="73">
        <f t="shared" si="135"/>
        <v>96982699.800000012</v>
      </c>
      <c r="Z769" s="73">
        <f t="shared" si="136"/>
        <v>0</v>
      </c>
      <c r="AA769" s="75">
        <f t="shared" si="137"/>
        <v>1.4356814905660378</v>
      </c>
      <c r="AB769" s="76" t="str">
        <f t="shared" si="138"/>
        <v>Costo eficiente: se está gastando menos de lo presupuestado</v>
      </c>
      <c r="AC769" s="76">
        <f t="shared" si="139"/>
        <v>1</v>
      </c>
      <c r="AD769" s="76" t="str">
        <f t="shared" si="140"/>
        <v>Proyecto a tiempo según lo planificado</v>
      </c>
      <c r="AE769" s="77">
        <f t="shared" si="141"/>
        <v>1113000000</v>
      </c>
      <c r="AF769" s="77">
        <f t="shared" si="142"/>
        <v>-484913499</v>
      </c>
      <c r="AG769" s="78" t="str">
        <f>VLOOKUP(Indicador!E791,[1]Diccionario!C$1:AC$150,27,0)</f>
        <v>https://growdatasas.sharepoint.com/:x:/r/sites/Gestiondocumental/Administrativa/GD/Financiera/_layouts/15/Doc.aspx?sourcedoc=%7B840D2BBF-2534-4DFF-B0DD-C6009F7470CE%7D&amp;file=20251301%20MODELO%20FINANCIERO%20REFERENCIA%20V7.4_583MILL.xlsm&amp;action=default&amp;mobileredirect=true</v>
      </c>
      <c r="AH769" s="78">
        <v>1</v>
      </c>
      <c r="AI769" s="78">
        <v>1</v>
      </c>
      <c r="AJ769" s="78"/>
      <c r="AK769" s="78" t="s">
        <v>319</v>
      </c>
    </row>
    <row r="770" spans="1:37" ht="18.75" customHeight="1" x14ac:dyDescent="0.25">
      <c r="A770" s="64">
        <v>2026</v>
      </c>
      <c r="B770" s="65" t="s">
        <v>47</v>
      </c>
      <c r="C770" s="66" t="s">
        <v>428</v>
      </c>
      <c r="D770" s="67">
        <v>45987.733444907404</v>
      </c>
      <c r="E770" s="66" t="s">
        <v>429</v>
      </c>
      <c r="F770" s="66" t="s">
        <v>178</v>
      </c>
      <c r="G770" s="66" t="s">
        <v>430</v>
      </c>
      <c r="H770" s="66" t="s">
        <v>431</v>
      </c>
      <c r="I770" s="66" t="s">
        <v>43</v>
      </c>
      <c r="J770" s="66" t="s">
        <v>432</v>
      </c>
      <c r="K770" s="66" t="s">
        <v>291</v>
      </c>
      <c r="L770" s="68">
        <f>VLOOKUP(E770,[1]Diccionario!C$2:AC$150,22,0)</f>
        <v>1597913499</v>
      </c>
      <c r="M770" s="69">
        <f>VLOOKUP(E770,[1]Diccionario!C$2:AC$150,24,0)</f>
        <v>45989</v>
      </c>
      <c r="N770" s="70">
        <f>VLOOKUP(E770,[1]Diccionario!C$2:AC$150,25,0)</f>
        <v>46293</v>
      </c>
      <c r="O770" s="71">
        <f>VLOOKUP(E770,[1]Diccionario!C$2:AC$150,26,0)</f>
        <v>10</v>
      </c>
      <c r="P770" s="71">
        <f t="shared" si="144"/>
        <v>-6</v>
      </c>
      <c r="Q770" s="71">
        <v>4</v>
      </c>
      <c r="R770" s="66">
        <v>10</v>
      </c>
      <c r="S770" s="72">
        <v>0.3</v>
      </c>
      <c r="T770" s="72">
        <v>0.32</v>
      </c>
      <c r="U770" s="79">
        <f>U769+TablaIndicador[[#This Row],[Costo Mensual]]</f>
        <v>364100000</v>
      </c>
      <c r="V770" s="74">
        <v>141500000</v>
      </c>
      <c r="W770" s="73">
        <f t="shared" ref="W770:W833" si="145">IFERROR(T770*L770,0)</f>
        <v>511332319.68000001</v>
      </c>
      <c r="X770" s="73">
        <f t="shared" ref="X770:X833" si="146">S770*L770</f>
        <v>479374049.69999999</v>
      </c>
      <c r="Y770" s="73">
        <f t="shared" ref="Y770:Y833" si="147">IFERROR(W770-U770,0)</f>
        <v>147232319.68000001</v>
      </c>
      <c r="Z770" s="73">
        <f t="shared" ref="Z770:Z833" si="148">W770-X770</f>
        <v>31958269.980000019</v>
      </c>
      <c r="AA770" s="75">
        <f t="shared" ref="AA770:AA833" si="149">IFERROR(W770/U770,"No se realizó gasto en este corte")</f>
        <v>1.4043733031584729</v>
      </c>
      <c r="AB770" s="76" t="str">
        <f t="shared" ref="AB770:AB833" si="150">IFERROR(
  IF(OR(AA770="",AA770=0),
    "No calculado",
    IF(AA770&gt;1,"Costo eficiente: se está gastando menos de lo presupuestado",
      IF(AA770=1,"Costo según lo presupuestado",
        "Costo ineficiente: se está gastando más de lo presupuestado"))),
"No calculado")</f>
        <v>Costo eficiente: se está gastando menos de lo presupuestado</v>
      </c>
      <c r="AC770" s="76">
        <f t="shared" ref="AC770:AC833" si="151">IFERROR(W770/X770,0)</f>
        <v>1.0666666666666667</v>
      </c>
      <c r="AD770" s="76" t="str">
        <f t="shared" ref="AD770:AD833" si="152">IF(OR(AC770="",AC770=0),"Sin Línea Base",
IF(AC770&gt;1,"Proyecto adelantado respecto al cronograma",
IF(AC770=1,"Proyecto a tiempo según lo planificado",
IF(AC770&lt;1,"Proyecto atrasado con respecto al cronograma",
"No calculado"))))</f>
        <v>Proyecto adelantado respecto al cronograma</v>
      </c>
      <c r="AE770" s="77">
        <f t="shared" ref="AE770:AE833" si="153">IFERROR(L770/AA770,0)</f>
        <v>1137812500</v>
      </c>
      <c r="AF770" s="77">
        <f t="shared" ref="AF770:AF833" si="154">IFERROR(AE770-L770,0)</f>
        <v>-460100999</v>
      </c>
      <c r="AG770" s="78" t="str">
        <f>VLOOKUP(Indicador!E792,[1]Diccionario!C$1:AC$150,27,0)</f>
        <v>https://growdatasas.sharepoint.com/:x:/r/sites/Gestiondocumental/Administrativa/GD/Financiera/_layouts/15/Doc.aspx?sourcedoc=%7BEA9029CE-8DE9-486F-84A4-ED3C150AEAC4%7D&amp;file=20251301%20MODELO%20FINANCIERO%20REFERENCIA%20V7.5_DNP.xlsm&amp;action=default&amp;mobileredirect=true</v>
      </c>
      <c r="AH770" s="78">
        <v>1</v>
      </c>
      <c r="AI770" s="78">
        <v>1</v>
      </c>
      <c r="AJ770" s="78"/>
      <c r="AK770" s="78" t="s">
        <v>319</v>
      </c>
    </row>
    <row r="771" spans="1:37" ht="18.75" customHeight="1" x14ac:dyDescent="0.25">
      <c r="A771" s="64">
        <v>2026</v>
      </c>
      <c r="B771" s="65" t="s">
        <v>48</v>
      </c>
      <c r="C771" s="66" t="s">
        <v>428</v>
      </c>
      <c r="D771" s="67">
        <v>45987.733444907404</v>
      </c>
      <c r="E771" s="66" t="s">
        <v>429</v>
      </c>
      <c r="F771" s="66" t="s">
        <v>178</v>
      </c>
      <c r="G771" s="66" t="s">
        <v>430</v>
      </c>
      <c r="H771" s="66" t="s">
        <v>431</v>
      </c>
      <c r="I771" s="66" t="s">
        <v>43</v>
      </c>
      <c r="J771" s="66" t="s">
        <v>432</v>
      </c>
      <c r="K771" s="66" t="s">
        <v>291</v>
      </c>
      <c r="L771" s="68">
        <f>VLOOKUP(E771,[1]Diccionario!C$2:AC$150,22,0)</f>
        <v>1597913499</v>
      </c>
      <c r="M771" s="69">
        <f>VLOOKUP(E771,[1]Diccionario!C$2:AC$150,24,0)</f>
        <v>45989</v>
      </c>
      <c r="N771" s="70">
        <f>VLOOKUP(E771,[1]Diccionario!C$2:AC$150,25,0)</f>
        <v>46293</v>
      </c>
      <c r="O771" s="71">
        <f>VLOOKUP(E771,[1]Diccionario!C$2:AC$150,26,0)</f>
        <v>10</v>
      </c>
      <c r="P771" s="71">
        <f t="shared" si="144"/>
        <v>-5</v>
      </c>
      <c r="Q771" s="71">
        <v>5</v>
      </c>
      <c r="R771" s="66">
        <v>10</v>
      </c>
      <c r="S771" s="72">
        <v>0.4</v>
      </c>
      <c r="T771" s="72"/>
      <c r="U771" s="79">
        <f>U770+TablaIndicador[[#This Row],[Costo Mensual]]</f>
        <v>480600000</v>
      </c>
      <c r="V771" s="74">
        <v>116500000</v>
      </c>
      <c r="W771" s="73">
        <f t="shared" si="145"/>
        <v>0</v>
      </c>
      <c r="X771" s="73">
        <f t="shared" si="146"/>
        <v>639165399.60000002</v>
      </c>
      <c r="Y771" s="73">
        <f t="shared" si="147"/>
        <v>-480600000</v>
      </c>
      <c r="Z771" s="73">
        <f t="shared" si="148"/>
        <v>-639165399.60000002</v>
      </c>
      <c r="AA771" s="75">
        <f t="shared" si="149"/>
        <v>0</v>
      </c>
      <c r="AB771" s="76" t="str">
        <f t="shared" si="150"/>
        <v>No calculado</v>
      </c>
      <c r="AC771" s="76">
        <f t="shared" si="151"/>
        <v>0</v>
      </c>
      <c r="AD771" s="76" t="str">
        <f t="shared" si="152"/>
        <v>Sin Línea Base</v>
      </c>
      <c r="AE771" s="77">
        <f t="shared" si="153"/>
        <v>0</v>
      </c>
      <c r="AF771" s="77">
        <f t="shared" si="154"/>
        <v>-1597913499</v>
      </c>
      <c r="AG771" s="78" t="str">
        <f>VLOOKUP(Indicador!E793,[1]Diccionario!C$1:AC$150,27,0)</f>
        <v>https://growdatasas.sharepoint.com/:x:/r/sites/Gestiondocumental/Administrativa/GD/Financiera/_layouts/15/Doc.aspx?sourcedoc=%7BEA9029CE-8DE9-486F-84A4-ED3C150AEAC4%7D&amp;file=20251301%20MODELO%20FINANCIERO%20REFERENCIA%20V7.5_DNP.xlsm&amp;action=default&amp;mobileredirect=true</v>
      </c>
      <c r="AH771" s="78">
        <v>1</v>
      </c>
      <c r="AI771" s="78">
        <v>1</v>
      </c>
      <c r="AJ771" s="78"/>
      <c r="AK771" s="78" t="s">
        <v>319</v>
      </c>
    </row>
    <row r="772" spans="1:37" ht="18.75" customHeight="1" x14ac:dyDescent="0.25">
      <c r="A772" s="64">
        <v>2026</v>
      </c>
      <c r="B772" s="65" t="s">
        <v>49</v>
      </c>
      <c r="C772" s="66" t="s">
        <v>428</v>
      </c>
      <c r="D772" s="67">
        <v>45987.733444907404</v>
      </c>
      <c r="E772" s="66" t="s">
        <v>429</v>
      </c>
      <c r="F772" s="66" t="s">
        <v>178</v>
      </c>
      <c r="G772" s="66" t="s">
        <v>430</v>
      </c>
      <c r="H772" s="66" t="s">
        <v>431</v>
      </c>
      <c r="I772" s="66" t="s">
        <v>43</v>
      </c>
      <c r="J772" s="66" t="s">
        <v>432</v>
      </c>
      <c r="K772" s="66" t="s">
        <v>291</v>
      </c>
      <c r="L772" s="68">
        <f>VLOOKUP(E772,[1]Diccionario!C$2:AC$150,22,0)</f>
        <v>1597913499</v>
      </c>
      <c r="M772" s="69">
        <f>VLOOKUP(E772,[1]Diccionario!C$2:AC$150,24,0)</f>
        <v>45989</v>
      </c>
      <c r="N772" s="70">
        <f>VLOOKUP(E772,[1]Diccionario!C$2:AC$150,25,0)</f>
        <v>46293</v>
      </c>
      <c r="O772" s="71">
        <f>VLOOKUP(E772,[1]Diccionario!C$2:AC$150,26,0)</f>
        <v>10</v>
      </c>
      <c r="P772" s="71">
        <f t="shared" si="144"/>
        <v>-4</v>
      </c>
      <c r="Q772" s="71">
        <v>6</v>
      </c>
      <c r="R772" s="66">
        <v>10</v>
      </c>
      <c r="S772" s="72">
        <v>0.5</v>
      </c>
      <c r="T772" s="72"/>
      <c r="U772" s="79">
        <f>U771+TablaIndicador[[#This Row],[Costo Mensual]]</f>
        <v>480600000</v>
      </c>
      <c r="V772" s="73"/>
      <c r="W772" s="73">
        <f t="shared" si="145"/>
        <v>0</v>
      </c>
      <c r="X772" s="73">
        <f t="shared" si="146"/>
        <v>798956749.5</v>
      </c>
      <c r="Y772" s="73">
        <f t="shared" si="147"/>
        <v>-480600000</v>
      </c>
      <c r="Z772" s="73">
        <f t="shared" si="148"/>
        <v>-798956749.5</v>
      </c>
      <c r="AA772" s="75">
        <f t="shared" si="149"/>
        <v>0</v>
      </c>
      <c r="AB772" s="76" t="str">
        <f t="shared" si="150"/>
        <v>No calculado</v>
      </c>
      <c r="AC772" s="76">
        <f t="shared" si="151"/>
        <v>0</v>
      </c>
      <c r="AD772" s="76" t="str">
        <f t="shared" si="152"/>
        <v>Sin Línea Base</v>
      </c>
      <c r="AE772" s="77">
        <f t="shared" si="153"/>
        <v>0</v>
      </c>
      <c r="AF772" s="77">
        <f t="shared" si="154"/>
        <v>-1597913499</v>
      </c>
      <c r="AG772" s="78" t="str">
        <f>VLOOKUP(Indicador!E794,[1]Diccionario!C$1:AC$150,27,0)</f>
        <v>https://growdatasas.sharepoint.com/:x:/r/sites/Gestiondocumental/Administrativa/GD/Financiera/_layouts/15/Doc.aspx?sourcedoc=%7BD8C5B8CC-D9E3-4D31-8BCE-513A1CE313F5%7D&amp;file=20251301%20MODELO%20FINANCIERO%20FUNCION%20PUBLICA%20V4.xlsm&amp;action=default&amp;mobileredirect=true</v>
      </c>
      <c r="AH772" s="78">
        <v>1</v>
      </c>
      <c r="AI772" s="78">
        <v>1</v>
      </c>
      <c r="AJ772" s="78"/>
      <c r="AK772" s="78" t="s">
        <v>319</v>
      </c>
    </row>
    <row r="773" spans="1:37" ht="18.75" customHeight="1" x14ac:dyDescent="0.25">
      <c r="A773" s="64">
        <v>2026</v>
      </c>
      <c r="B773" s="65" t="s">
        <v>50</v>
      </c>
      <c r="C773" s="66" t="s">
        <v>428</v>
      </c>
      <c r="D773" s="67">
        <v>45987.733444907404</v>
      </c>
      <c r="E773" s="66" t="s">
        <v>429</v>
      </c>
      <c r="F773" s="66" t="s">
        <v>178</v>
      </c>
      <c r="G773" s="66" t="s">
        <v>430</v>
      </c>
      <c r="H773" s="66" t="s">
        <v>431</v>
      </c>
      <c r="I773" s="66" t="s">
        <v>43</v>
      </c>
      <c r="J773" s="66" t="s">
        <v>432</v>
      </c>
      <c r="K773" s="66" t="s">
        <v>291</v>
      </c>
      <c r="L773" s="68">
        <f>VLOOKUP(E773,[1]Diccionario!C$2:AC$150,22,0)</f>
        <v>1597913499</v>
      </c>
      <c r="M773" s="69">
        <f>VLOOKUP(E773,[1]Diccionario!C$2:AC$150,24,0)</f>
        <v>45989</v>
      </c>
      <c r="N773" s="70">
        <f>VLOOKUP(E773,[1]Diccionario!C$2:AC$150,25,0)</f>
        <v>46293</v>
      </c>
      <c r="O773" s="71">
        <f>VLOOKUP(E773,[1]Diccionario!C$2:AC$150,26,0)</f>
        <v>10</v>
      </c>
      <c r="P773" s="71">
        <f t="shared" si="144"/>
        <v>-3</v>
      </c>
      <c r="Q773" s="71">
        <v>7</v>
      </c>
      <c r="R773" s="66">
        <v>10</v>
      </c>
      <c r="S773" s="72">
        <v>0.6</v>
      </c>
      <c r="T773" s="72"/>
      <c r="U773" s="79">
        <f>U772+TablaIndicador[[#This Row],[Costo Mensual]]</f>
        <v>480600000</v>
      </c>
      <c r="V773" s="73"/>
      <c r="W773" s="73">
        <f t="shared" si="145"/>
        <v>0</v>
      </c>
      <c r="X773" s="73">
        <f t="shared" si="146"/>
        <v>958748099.39999998</v>
      </c>
      <c r="Y773" s="73">
        <f t="shared" si="147"/>
        <v>-480600000</v>
      </c>
      <c r="Z773" s="73">
        <f t="shared" si="148"/>
        <v>-958748099.39999998</v>
      </c>
      <c r="AA773" s="75">
        <f t="shared" si="149"/>
        <v>0</v>
      </c>
      <c r="AB773" s="76" t="str">
        <f t="shared" si="150"/>
        <v>No calculado</v>
      </c>
      <c r="AC773" s="76">
        <f t="shared" si="151"/>
        <v>0</v>
      </c>
      <c r="AD773" s="76" t="str">
        <f t="shared" si="152"/>
        <v>Sin Línea Base</v>
      </c>
      <c r="AE773" s="77">
        <f t="shared" si="153"/>
        <v>0</v>
      </c>
      <c r="AF773" s="77">
        <f t="shared" si="154"/>
        <v>-1597913499</v>
      </c>
      <c r="AG773" s="78" t="str">
        <f>VLOOKUP(Indicador!E795,[1]Diccionario!C$1:AC$150,27,0)</f>
        <v>https://growdatasas.sharepoint.com/:x:/r/sites/Gestiondocumental/Administrativa/GD/Financiera/_layouts/15/Doc.aspx?sourcedoc=%7BD8C5B8CC-D9E3-4D31-8BCE-513A1CE313F5%7D&amp;file=20251301%20MODELO%20FINANCIERO%20FUNCION%20PUBLICA%20V4.xlsm&amp;action=default&amp;mobileredirect=true</v>
      </c>
      <c r="AH773" s="78">
        <v>1</v>
      </c>
      <c r="AI773" s="78">
        <v>1</v>
      </c>
      <c r="AJ773" s="78"/>
      <c r="AK773" s="78" t="s">
        <v>319</v>
      </c>
    </row>
    <row r="774" spans="1:37" ht="18.75" customHeight="1" x14ac:dyDescent="0.25">
      <c r="A774" s="64">
        <v>2026</v>
      </c>
      <c r="B774" s="65" t="s">
        <v>51</v>
      </c>
      <c r="C774" s="66" t="s">
        <v>428</v>
      </c>
      <c r="D774" s="67">
        <v>45987.733444907404</v>
      </c>
      <c r="E774" s="66" t="s">
        <v>429</v>
      </c>
      <c r="F774" s="66" t="s">
        <v>178</v>
      </c>
      <c r="G774" s="66" t="s">
        <v>430</v>
      </c>
      <c r="H774" s="66" t="s">
        <v>431</v>
      </c>
      <c r="I774" s="66" t="s">
        <v>43</v>
      </c>
      <c r="J774" s="66" t="s">
        <v>432</v>
      </c>
      <c r="K774" s="66" t="s">
        <v>291</v>
      </c>
      <c r="L774" s="68">
        <f>VLOOKUP(E774,[1]Diccionario!C$2:AC$150,22,0)</f>
        <v>1597913499</v>
      </c>
      <c r="M774" s="69">
        <f>VLOOKUP(E774,[1]Diccionario!C$2:AC$150,24,0)</f>
        <v>45989</v>
      </c>
      <c r="N774" s="70">
        <f>VLOOKUP(E774,[1]Diccionario!C$2:AC$150,25,0)</f>
        <v>46293</v>
      </c>
      <c r="O774" s="71">
        <f>VLOOKUP(E774,[1]Diccionario!C$2:AC$150,26,0)</f>
        <v>10</v>
      </c>
      <c r="P774" s="71">
        <f t="shared" si="144"/>
        <v>-2</v>
      </c>
      <c r="Q774" s="71">
        <v>8</v>
      </c>
      <c r="R774" s="66">
        <v>10</v>
      </c>
      <c r="S774" s="72">
        <v>0.7</v>
      </c>
      <c r="T774" s="72"/>
      <c r="U774" s="79">
        <f>U773+TablaIndicador[[#This Row],[Costo Mensual]]</f>
        <v>480600000</v>
      </c>
      <c r="V774" s="73"/>
      <c r="W774" s="73">
        <f t="shared" si="145"/>
        <v>0</v>
      </c>
      <c r="X774" s="73">
        <f t="shared" si="146"/>
        <v>1118539449.3</v>
      </c>
      <c r="Y774" s="73">
        <f t="shared" si="147"/>
        <v>-480600000</v>
      </c>
      <c r="Z774" s="73">
        <f t="shared" si="148"/>
        <v>-1118539449.3</v>
      </c>
      <c r="AA774" s="75">
        <f t="shared" si="149"/>
        <v>0</v>
      </c>
      <c r="AB774" s="76" t="str">
        <f t="shared" si="150"/>
        <v>No calculado</v>
      </c>
      <c r="AC774" s="76">
        <f t="shared" si="151"/>
        <v>0</v>
      </c>
      <c r="AD774" s="76" t="str">
        <f t="shared" si="152"/>
        <v>Sin Línea Base</v>
      </c>
      <c r="AE774" s="77">
        <f t="shared" si="153"/>
        <v>0</v>
      </c>
      <c r="AF774" s="77">
        <f t="shared" si="154"/>
        <v>-1597913499</v>
      </c>
      <c r="AG774" s="78" t="str">
        <f>VLOOKUP(Indicador!E796,[1]Diccionario!C$1:AC$150,27,0)</f>
        <v>https://growdatasas.sharepoint.com/:x:/r/sites/Gestiondocumental/Administrativa/GD/Financiera/_layouts/15/Doc.aspx?sourcedoc=%7BD8C5B8CC-D9E3-4D31-8BCE-513A1CE313F5%7D&amp;file=20251301%20MODELO%20FINANCIERO%20FUNCION%20PUBLICA%20V4.xlsm&amp;action=default&amp;mobileredirect=true</v>
      </c>
      <c r="AH774" s="78">
        <v>1</v>
      </c>
      <c r="AI774" s="78">
        <v>1</v>
      </c>
      <c r="AJ774" s="78"/>
      <c r="AK774" s="78" t="s">
        <v>319</v>
      </c>
    </row>
    <row r="775" spans="1:37" ht="18.75" customHeight="1" x14ac:dyDescent="0.25">
      <c r="A775" s="64">
        <v>2026</v>
      </c>
      <c r="B775" s="65" t="s">
        <v>52</v>
      </c>
      <c r="C775" s="66" t="s">
        <v>428</v>
      </c>
      <c r="D775" s="67">
        <v>45987.733444907404</v>
      </c>
      <c r="E775" s="66" t="s">
        <v>429</v>
      </c>
      <c r="F775" s="66" t="s">
        <v>178</v>
      </c>
      <c r="G775" s="66" t="s">
        <v>430</v>
      </c>
      <c r="H775" s="66" t="s">
        <v>431</v>
      </c>
      <c r="I775" s="66" t="s">
        <v>43</v>
      </c>
      <c r="J775" s="66" t="s">
        <v>432</v>
      </c>
      <c r="K775" s="66" t="s">
        <v>291</v>
      </c>
      <c r="L775" s="68">
        <f>VLOOKUP(E775,[1]Diccionario!C$2:AC$150,22,0)</f>
        <v>1597913499</v>
      </c>
      <c r="M775" s="69">
        <f>VLOOKUP(E775,[1]Diccionario!C$2:AC$150,24,0)</f>
        <v>45989</v>
      </c>
      <c r="N775" s="70">
        <f>VLOOKUP(E775,[1]Diccionario!C$2:AC$150,25,0)</f>
        <v>46293</v>
      </c>
      <c r="O775" s="71">
        <f>VLOOKUP(E775,[1]Diccionario!C$2:AC$150,26,0)</f>
        <v>10</v>
      </c>
      <c r="P775" s="71">
        <f t="shared" si="144"/>
        <v>-1</v>
      </c>
      <c r="Q775" s="71">
        <v>9</v>
      </c>
      <c r="R775" s="66">
        <v>10</v>
      </c>
      <c r="S775" s="72">
        <v>0.8</v>
      </c>
      <c r="T775" s="72"/>
      <c r="U775" s="79">
        <f>U774+TablaIndicador[[#This Row],[Costo Mensual]]</f>
        <v>480600000</v>
      </c>
      <c r="V775" s="73"/>
      <c r="W775" s="73">
        <f t="shared" si="145"/>
        <v>0</v>
      </c>
      <c r="X775" s="73">
        <f t="shared" si="146"/>
        <v>1278330799.2</v>
      </c>
      <c r="Y775" s="73">
        <f t="shared" si="147"/>
        <v>-480600000</v>
      </c>
      <c r="Z775" s="73">
        <f t="shared" si="148"/>
        <v>-1278330799.2</v>
      </c>
      <c r="AA775" s="75">
        <f t="shared" si="149"/>
        <v>0</v>
      </c>
      <c r="AB775" s="76" t="str">
        <f t="shared" si="150"/>
        <v>No calculado</v>
      </c>
      <c r="AC775" s="76">
        <f t="shared" si="151"/>
        <v>0</v>
      </c>
      <c r="AD775" s="76" t="str">
        <f t="shared" si="152"/>
        <v>Sin Línea Base</v>
      </c>
      <c r="AE775" s="77">
        <f t="shared" si="153"/>
        <v>0</v>
      </c>
      <c r="AF775" s="77">
        <f t="shared" si="154"/>
        <v>-1597913499</v>
      </c>
      <c r="AG775" s="78" t="str">
        <f>VLOOKUP(Indicador!E797,[1]Diccionario!C$1:AC$150,27,0)</f>
        <v>https://growdatasas.sharepoint.com/:x:/r/sites/Gestiondocumental/Administrativa/GD/Financiera/_layouts/15/Doc.aspx?sourcedoc=%7BD8C5B8CC-D9E3-4D31-8BCE-513A1CE313F5%7D&amp;file=20251301%20MODELO%20FINANCIERO%20FUNCION%20PUBLICA%20V4.xlsm&amp;action=default&amp;mobileredirect=true</v>
      </c>
      <c r="AH775" s="78">
        <v>1</v>
      </c>
      <c r="AI775" s="78">
        <v>1</v>
      </c>
      <c r="AJ775" s="78"/>
      <c r="AK775" s="78" t="s">
        <v>319</v>
      </c>
    </row>
    <row r="776" spans="1:37" ht="18.75" customHeight="1" x14ac:dyDescent="0.25">
      <c r="A776" s="64">
        <v>2026</v>
      </c>
      <c r="B776" s="65" t="s">
        <v>53</v>
      </c>
      <c r="C776" s="66" t="s">
        <v>428</v>
      </c>
      <c r="D776" s="67">
        <v>45987.733444907404</v>
      </c>
      <c r="E776" s="66" t="s">
        <v>429</v>
      </c>
      <c r="F776" s="66" t="s">
        <v>178</v>
      </c>
      <c r="G776" s="66" t="s">
        <v>430</v>
      </c>
      <c r="H776" s="66" t="s">
        <v>431</v>
      </c>
      <c r="I776" s="66" t="s">
        <v>43</v>
      </c>
      <c r="J776" s="66" t="s">
        <v>432</v>
      </c>
      <c r="K776" s="66" t="s">
        <v>291</v>
      </c>
      <c r="L776" s="68">
        <f>VLOOKUP(E776,[1]Diccionario!C$2:AC$150,22,0)</f>
        <v>1597913499</v>
      </c>
      <c r="M776" s="69">
        <f>VLOOKUP(E776,[1]Diccionario!C$2:AC$150,24,0)</f>
        <v>45989</v>
      </c>
      <c r="N776" s="70">
        <f>VLOOKUP(E776,[1]Diccionario!C$2:AC$150,25,0)</f>
        <v>46293</v>
      </c>
      <c r="O776" s="71">
        <f>VLOOKUP(E776,[1]Diccionario!C$2:AC$150,26,0)</f>
        <v>10</v>
      </c>
      <c r="P776" s="71">
        <f t="shared" si="144"/>
        <v>0</v>
      </c>
      <c r="Q776" s="71">
        <v>10</v>
      </c>
      <c r="R776" s="66">
        <v>10</v>
      </c>
      <c r="S776" s="72">
        <v>0.9</v>
      </c>
      <c r="T776" s="72"/>
      <c r="U776" s="79">
        <f>U775+TablaIndicador[[#This Row],[Costo Mensual]]</f>
        <v>480600000</v>
      </c>
      <c r="V776" s="73"/>
      <c r="W776" s="73">
        <f t="shared" si="145"/>
        <v>0</v>
      </c>
      <c r="X776" s="73">
        <f t="shared" si="146"/>
        <v>1438122149.1000001</v>
      </c>
      <c r="Y776" s="73">
        <f t="shared" si="147"/>
        <v>-480600000</v>
      </c>
      <c r="Z776" s="73">
        <f t="shared" si="148"/>
        <v>-1438122149.1000001</v>
      </c>
      <c r="AA776" s="75">
        <f t="shared" si="149"/>
        <v>0</v>
      </c>
      <c r="AB776" s="76" t="str">
        <f t="shared" si="150"/>
        <v>No calculado</v>
      </c>
      <c r="AC776" s="76">
        <f t="shared" si="151"/>
        <v>0</v>
      </c>
      <c r="AD776" s="76" t="str">
        <f t="shared" si="152"/>
        <v>Sin Línea Base</v>
      </c>
      <c r="AE776" s="77">
        <f t="shared" si="153"/>
        <v>0</v>
      </c>
      <c r="AF776" s="77">
        <f t="shared" si="154"/>
        <v>-1597913499</v>
      </c>
      <c r="AG776" s="78" t="str">
        <f>VLOOKUP(Indicador!E798,[1]Diccionario!C$1:AC$150,27,0)</f>
        <v>https://growdatasas.sharepoint.com/:x:/r/sites/Gestiondocumental/Administrativa/GD/Financiera/_layouts/15/Doc.aspx?sourcedoc=%7BD8C5B8CC-D9E3-4D31-8BCE-513A1CE313F5%7D&amp;file=20251301%20MODELO%20FINANCIERO%20FUNCION%20PUBLICA%20V4.xlsm&amp;action=default&amp;mobileredirect=true</v>
      </c>
      <c r="AH776" s="78">
        <v>1</v>
      </c>
      <c r="AI776" s="78">
        <v>1</v>
      </c>
      <c r="AJ776" s="78"/>
      <c r="AK776" s="78" t="s">
        <v>319</v>
      </c>
    </row>
    <row r="777" spans="1:37" ht="18.75" customHeight="1" x14ac:dyDescent="0.25">
      <c r="A777" s="64">
        <v>2026</v>
      </c>
      <c r="B777" s="65" t="s">
        <v>54</v>
      </c>
      <c r="C777" s="66" t="s">
        <v>428</v>
      </c>
      <c r="D777" s="67">
        <v>45987.733444907404</v>
      </c>
      <c r="E777" s="66" t="s">
        <v>429</v>
      </c>
      <c r="F777" s="66" t="s">
        <v>178</v>
      </c>
      <c r="G777" s="66" t="s">
        <v>430</v>
      </c>
      <c r="H777" s="66" t="s">
        <v>431</v>
      </c>
      <c r="I777" s="66" t="s">
        <v>43</v>
      </c>
      <c r="J777" s="66" t="s">
        <v>432</v>
      </c>
      <c r="K777" s="66" t="s">
        <v>291</v>
      </c>
      <c r="L777" s="68">
        <f>VLOOKUP(E777,[1]Diccionario!C$2:AC$150,22,0)</f>
        <v>1597913499</v>
      </c>
      <c r="M777" s="69">
        <f>VLOOKUP(E777,[1]Diccionario!C$2:AC$150,24,0)</f>
        <v>45989</v>
      </c>
      <c r="N777" s="70">
        <f>VLOOKUP(E777,[1]Diccionario!C$2:AC$150,25,0)</f>
        <v>46293</v>
      </c>
      <c r="O777" s="71">
        <f>VLOOKUP(E777,[1]Diccionario!C$2:AC$150,26,0)</f>
        <v>10</v>
      </c>
      <c r="P777" s="71">
        <f t="shared" si="144"/>
        <v>1</v>
      </c>
      <c r="Q777" s="71">
        <v>11</v>
      </c>
      <c r="R777" s="66">
        <v>10</v>
      </c>
      <c r="S777" s="72">
        <v>1</v>
      </c>
      <c r="T777" s="72"/>
      <c r="U777" s="79">
        <f>U776+TablaIndicador[[#This Row],[Costo Mensual]]</f>
        <v>480600000</v>
      </c>
      <c r="V777" s="73"/>
      <c r="W777" s="73">
        <f t="shared" si="145"/>
        <v>0</v>
      </c>
      <c r="X777" s="73">
        <f t="shared" si="146"/>
        <v>1597913499</v>
      </c>
      <c r="Y777" s="73">
        <f t="shared" si="147"/>
        <v>-480600000</v>
      </c>
      <c r="Z777" s="73">
        <f t="shared" si="148"/>
        <v>-1597913499</v>
      </c>
      <c r="AA777" s="75">
        <f t="shared" si="149"/>
        <v>0</v>
      </c>
      <c r="AB777" s="76" t="str">
        <f t="shared" si="150"/>
        <v>No calculado</v>
      </c>
      <c r="AC777" s="76">
        <f t="shared" si="151"/>
        <v>0</v>
      </c>
      <c r="AD777" s="76" t="str">
        <f t="shared" si="152"/>
        <v>Sin Línea Base</v>
      </c>
      <c r="AE777" s="77">
        <f t="shared" si="153"/>
        <v>0</v>
      </c>
      <c r="AF777" s="77">
        <f t="shared" si="154"/>
        <v>-1597913499</v>
      </c>
      <c r="AG777" s="78" t="str">
        <f>VLOOKUP(Indicador!E799,[1]Diccionario!C$1:AC$150,27,0)</f>
        <v>https://growdatasas.sharepoint.com/:x:/r/sites/Gestiondocumental/Administrativa/GD/Financiera/_layouts/15/Doc.aspx?sourcedoc=%7BD8C5B8CC-D9E3-4D31-8BCE-513A1CE313F5%7D&amp;file=20251301%20MODELO%20FINANCIERO%20FUNCION%20PUBLICA%20V4.xlsm&amp;action=default&amp;mobileredirect=true</v>
      </c>
      <c r="AH777" s="78">
        <v>1</v>
      </c>
      <c r="AI777" s="78">
        <v>1</v>
      </c>
      <c r="AJ777" s="78"/>
      <c r="AK777" s="78" t="s">
        <v>319</v>
      </c>
    </row>
    <row r="778" spans="1:37" ht="18.75" customHeight="1" x14ac:dyDescent="0.25">
      <c r="A778" s="64">
        <v>2026</v>
      </c>
      <c r="B778" s="65" t="s">
        <v>37</v>
      </c>
      <c r="C778" s="66" t="s">
        <v>433</v>
      </c>
      <c r="D778" s="67">
        <v>45995.592523460647</v>
      </c>
      <c r="E778" s="66" t="s">
        <v>434</v>
      </c>
      <c r="F778" s="66" t="s">
        <v>435</v>
      </c>
      <c r="G778" s="66" t="s">
        <v>436</v>
      </c>
      <c r="H778" s="66" t="s">
        <v>437</v>
      </c>
      <c r="I778" s="66" t="s">
        <v>63</v>
      </c>
      <c r="J778" s="66" t="s">
        <v>438</v>
      </c>
      <c r="K778" s="66" t="s">
        <v>291</v>
      </c>
      <c r="L778" s="68">
        <f>VLOOKUP(E778,[1]Diccionario!C$2:AC$150,22,0)</f>
        <v>6633609996</v>
      </c>
      <c r="M778" s="69">
        <f>VLOOKUP(E778,[1]Diccionario!C$2:AC$150,24,0)</f>
        <v>46023</v>
      </c>
      <c r="N778" s="70">
        <f>VLOOKUP(E778,[1]Diccionario!C$2:AC$150,25,0)</f>
        <v>46387</v>
      </c>
      <c r="O778" s="71">
        <f>VLOOKUP(E778,[1]Diccionario!C$2:AC$150,26,0)</f>
        <v>12</v>
      </c>
      <c r="P778" s="71">
        <f t="shared" ca="1" si="144"/>
        <v>-9</v>
      </c>
      <c r="Q778" s="71">
        <f ca="1">DATEDIF(M778,TODAY(),"m")</f>
        <v>3</v>
      </c>
      <c r="R778" s="66">
        <v>12</v>
      </c>
      <c r="S778" s="72">
        <v>0.1</v>
      </c>
      <c r="T778" s="72">
        <v>0.1</v>
      </c>
      <c r="U778" s="79">
        <f>TablaIndicador[[#This Row],[Costo Mensual]]</f>
        <v>27489218</v>
      </c>
      <c r="V778" s="74">
        <v>27489218</v>
      </c>
      <c r="W778" s="73">
        <f t="shared" si="145"/>
        <v>663360999.60000002</v>
      </c>
      <c r="X778" s="73">
        <f t="shared" si="146"/>
        <v>663360999.60000002</v>
      </c>
      <c r="Y778" s="73">
        <f t="shared" si="147"/>
        <v>635871781.60000002</v>
      </c>
      <c r="Z778" s="73">
        <f t="shared" si="148"/>
        <v>0</v>
      </c>
      <c r="AA778" s="75">
        <f t="shared" si="149"/>
        <v>24.131679540683916</v>
      </c>
      <c r="AB778" s="76" t="str">
        <f t="shared" si="150"/>
        <v>Costo eficiente: se está gastando menos de lo presupuestado</v>
      </c>
      <c r="AC778" s="76">
        <f t="shared" si="151"/>
        <v>1</v>
      </c>
      <c r="AD778" s="76" t="str">
        <f t="shared" si="152"/>
        <v>Proyecto a tiempo según lo planificado</v>
      </c>
      <c r="AE778" s="77">
        <f t="shared" si="153"/>
        <v>274892180</v>
      </c>
      <c r="AF778" s="77">
        <f t="shared" si="154"/>
        <v>-6358717816</v>
      </c>
      <c r="AG778" s="78" t="str">
        <f>VLOOKUP(Indicador!E850,[1]Diccionario!C$1:AC$150,27,0)</f>
        <v>https://growdatasas.sharepoint.com/:x:/r/sites/Gestiondocumental/Administrativa/GD/Financiera/_layouts/15/Doc.aspx?sourcedoc=%7B2970928D-0288-4D5D-952F-67732B5D2028%7D&amp;file=251216_MODELO_FINANCIERO_SDH_V.2.0__V7.5%20VF.xlsm&amp;action=default&amp;mobileredirect=true</v>
      </c>
      <c r="AH778" s="78">
        <v>1</v>
      </c>
      <c r="AI778" s="78">
        <v>1</v>
      </c>
      <c r="AJ778" s="78"/>
      <c r="AK778" s="78" t="s">
        <v>319</v>
      </c>
    </row>
    <row r="779" spans="1:37" ht="18.75" customHeight="1" x14ac:dyDescent="0.25">
      <c r="A779" s="64">
        <v>2026</v>
      </c>
      <c r="B779" s="65" t="s">
        <v>47</v>
      </c>
      <c r="C779" s="66" t="s">
        <v>433</v>
      </c>
      <c r="D779" s="67">
        <v>45995.592523460647</v>
      </c>
      <c r="E779" s="66" t="s">
        <v>434</v>
      </c>
      <c r="F779" s="66" t="s">
        <v>435</v>
      </c>
      <c r="G779" s="66" t="s">
        <v>436</v>
      </c>
      <c r="H779" s="66" t="s">
        <v>437</v>
      </c>
      <c r="I779" s="66" t="s">
        <v>63</v>
      </c>
      <c r="J779" s="66" t="s">
        <v>438</v>
      </c>
      <c r="K779" s="66" t="s">
        <v>291</v>
      </c>
      <c r="L779" s="68">
        <f>VLOOKUP(E779,[1]Diccionario!C$2:AC$150,22,0)</f>
        <v>6633609996</v>
      </c>
      <c r="M779" s="69">
        <f>VLOOKUP(E779,[1]Diccionario!C$2:AC$150,24,0)</f>
        <v>46023</v>
      </c>
      <c r="N779" s="70">
        <f>VLOOKUP(E779,[1]Diccionario!C$2:AC$150,25,0)</f>
        <v>46387</v>
      </c>
      <c r="O779" s="71">
        <f>VLOOKUP(E779,[1]Diccionario!C$2:AC$150,26,0)</f>
        <v>12</v>
      </c>
      <c r="P779" s="71">
        <f t="shared" si="144"/>
        <v>-10</v>
      </c>
      <c r="Q779" s="71">
        <v>2</v>
      </c>
      <c r="R779" s="66">
        <v>12</v>
      </c>
      <c r="S779" s="72">
        <v>0.2</v>
      </c>
      <c r="T779" s="72">
        <v>0.2</v>
      </c>
      <c r="U779" s="79">
        <f t="shared" ref="U779:U789" si="155">U778+0</f>
        <v>27489218</v>
      </c>
      <c r="V779" s="74">
        <v>49580000</v>
      </c>
      <c r="W779" s="73">
        <f t="shared" si="145"/>
        <v>1326721999.2</v>
      </c>
      <c r="X779" s="73">
        <f t="shared" si="146"/>
        <v>1326721999.2</v>
      </c>
      <c r="Y779" s="73">
        <f t="shared" si="147"/>
        <v>1299232781.2</v>
      </c>
      <c r="Z779" s="73">
        <f t="shared" si="148"/>
        <v>0</v>
      </c>
      <c r="AA779" s="75">
        <f t="shared" si="149"/>
        <v>48.263359081367831</v>
      </c>
      <c r="AB779" s="76" t="str">
        <f t="shared" si="150"/>
        <v>Costo eficiente: se está gastando menos de lo presupuestado</v>
      </c>
      <c r="AC779" s="76">
        <f t="shared" si="151"/>
        <v>1</v>
      </c>
      <c r="AD779" s="76" t="str">
        <f t="shared" si="152"/>
        <v>Proyecto a tiempo según lo planificado</v>
      </c>
      <c r="AE779" s="77">
        <f t="shared" si="153"/>
        <v>137446090</v>
      </c>
      <c r="AF779" s="77">
        <f t="shared" si="154"/>
        <v>-6496163906</v>
      </c>
      <c r="AG779" s="78" t="str">
        <f>VLOOKUP(Indicador!E851,[1]Diccionario!C$1:AC$150,27,0)</f>
        <v>https://growdatasas.sharepoint.com/:x:/r/sites/Gestiondocumental/Administrativa/GD/Financiera/_layouts/15/Doc.aspx?sourcedoc=%7B2970928D-0288-4D5D-952F-67732B5D2028%7D&amp;file=251216_MODELO_FINANCIERO_SDH_V.2.0__V7.5%20VF.xlsm&amp;action=default&amp;mobileredirect=true</v>
      </c>
      <c r="AH779" s="78">
        <v>1</v>
      </c>
      <c r="AI779" s="78">
        <v>1</v>
      </c>
      <c r="AJ779" s="78"/>
      <c r="AK779" s="78" t="s">
        <v>319</v>
      </c>
    </row>
    <row r="780" spans="1:37" ht="18.75" customHeight="1" x14ac:dyDescent="0.25">
      <c r="A780" s="64">
        <v>2026</v>
      </c>
      <c r="B780" s="65" t="s">
        <v>48</v>
      </c>
      <c r="C780" s="66" t="s">
        <v>433</v>
      </c>
      <c r="D780" s="67">
        <v>45995.592523460647</v>
      </c>
      <c r="E780" s="66" t="s">
        <v>434</v>
      </c>
      <c r="F780" s="66" t="s">
        <v>435</v>
      </c>
      <c r="G780" s="66" t="s">
        <v>436</v>
      </c>
      <c r="H780" s="66" t="s">
        <v>437</v>
      </c>
      <c r="I780" s="66" t="s">
        <v>63</v>
      </c>
      <c r="J780" s="66" t="s">
        <v>438</v>
      </c>
      <c r="K780" s="66" t="s">
        <v>291</v>
      </c>
      <c r="L780" s="68">
        <f>VLOOKUP(E780,[1]Diccionario!C$2:AC$150,22,0)</f>
        <v>6633609996</v>
      </c>
      <c r="M780" s="69">
        <f>VLOOKUP(E780,[1]Diccionario!C$2:AC$150,24,0)</f>
        <v>46023</v>
      </c>
      <c r="N780" s="70">
        <f>VLOOKUP(E780,[1]Diccionario!C$2:AC$150,25,0)</f>
        <v>46387</v>
      </c>
      <c r="O780" s="71">
        <f>VLOOKUP(E780,[1]Diccionario!C$2:AC$150,26,0)</f>
        <v>12</v>
      </c>
      <c r="P780" s="71">
        <f t="shared" si="144"/>
        <v>-9</v>
      </c>
      <c r="Q780" s="71">
        <v>3</v>
      </c>
      <c r="R780" s="66">
        <v>12</v>
      </c>
      <c r="S780" s="72">
        <v>0.25</v>
      </c>
      <c r="T780" s="72"/>
      <c r="U780" s="79">
        <f t="shared" si="155"/>
        <v>27489218</v>
      </c>
      <c r="V780" s="73">
        <v>0</v>
      </c>
      <c r="W780" s="73">
        <f t="shared" si="145"/>
        <v>0</v>
      </c>
      <c r="X780" s="73">
        <f t="shared" si="146"/>
        <v>1658402499</v>
      </c>
      <c r="Y780" s="73">
        <f t="shared" si="147"/>
        <v>-27489218</v>
      </c>
      <c r="Z780" s="73">
        <f t="shared" si="148"/>
        <v>-1658402499</v>
      </c>
      <c r="AA780" s="75">
        <f t="shared" si="149"/>
        <v>0</v>
      </c>
      <c r="AB780" s="76" t="str">
        <f t="shared" si="150"/>
        <v>No calculado</v>
      </c>
      <c r="AC780" s="76">
        <f t="shared" si="151"/>
        <v>0</v>
      </c>
      <c r="AD780" s="76" t="str">
        <f t="shared" si="152"/>
        <v>Sin Línea Base</v>
      </c>
      <c r="AE780" s="77">
        <f t="shared" si="153"/>
        <v>0</v>
      </c>
      <c r="AF780" s="77">
        <f t="shared" si="154"/>
        <v>-6633609996</v>
      </c>
      <c r="AG780" s="78" t="str">
        <f>VLOOKUP(Indicador!E852,[1]Diccionario!C$1:AC$150,27,0)</f>
        <v>https://growdatasas.sharepoint.com/:x:/r/sites/Gestiondocumental/Administrativa/GD/Financiera/_layouts/15/Doc.aspx?sourcedoc=%7B2970928D-0288-4D5D-952F-67732B5D2028%7D&amp;file=251216_MODELO_FINANCIERO_SDH_V.2.0__V7.5%20VF.xlsm&amp;action=default&amp;mobileredirect=true</v>
      </c>
      <c r="AH780" s="78">
        <v>1</v>
      </c>
      <c r="AI780" s="78">
        <v>1</v>
      </c>
      <c r="AJ780" s="78"/>
      <c r="AK780" s="78" t="s">
        <v>319</v>
      </c>
    </row>
    <row r="781" spans="1:37" ht="18.75" customHeight="1" x14ac:dyDescent="0.25">
      <c r="A781" s="64">
        <v>2026</v>
      </c>
      <c r="B781" s="65" t="s">
        <v>49</v>
      </c>
      <c r="C781" s="66" t="s">
        <v>433</v>
      </c>
      <c r="D781" s="67">
        <v>45995.592523460647</v>
      </c>
      <c r="E781" s="66" t="s">
        <v>434</v>
      </c>
      <c r="F781" s="66" t="s">
        <v>435</v>
      </c>
      <c r="G781" s="66" t="s">
        <v>436</v>
      </c>
      <c r="H781" s="66" t="s">
        <v>437</v>
      </c>
      <c r="I781" s="66" t="s">
        <v>63</v>
      </c>
      <c r="J781" s="66" t="s">
        <v>438</v>
      </c>
      <c r="K781" s="66" t="s">
        <v>291</v>
      </c>
      <c r="L781" s="68">
        <f>VLOOKUP(E781,[1]Diccionario!C$2:AC$150,22,0)</f>
        <v>6633609996</v>
      </c>
      <c r="M781" s="69">
        <f>VLOOKUP(E781,[1]Diccionario!C$2:AC$150,24,0)</f>
        <v>46023</v>
      </c>
      <c r="N781" s="70">
        <f>VLOOKUP(E781,[1]Diccionario!C$2:AC$150,25,0)</f>
        <v>46387</v>
      </c>
      <c r="O781" s="71">
        <f>VLOOKUP(E781,[1]Diccionario!C$2:AC$150,26,0)</f>
        <v>12</v>
      </c>
      <c r="P781" s="71">
        <f t="shared" si="144"/>
        <v>-8</v>
      </c>
      <c r="Q781" s="71">
        <v>4</v>
      </c>
      <c r="R781" s="66">
        <v>12</v>
      </c>
      <c r="S781" s="72">
        <v>0.3</v>
      </c>
      <c r="T781" s="72"/>
      <c r="U781" s="79">
        <f t="shared" si="155"/>
        <v>27489218</v>
      </c>
      <c r="V781" s="73">
        <v>0</v>
      </c>
      <c r="W781" s="73">
        <f t="shared" si="145"/>
        <v>0</v>
      </c>
      <c r="X781" s="73">
        <f t="shared" si="146"/>
        <v>1990082998.8</v>
      </c>
      <c r="Y781" s="73">
        <f t="shared" si="147"/>
        <v>-27489218</v>
      </c>
      <c r="Z781" s="73">
        <f t="shared" si="148"/>
        <v>-1990082998.8</v>
      </c>
      <c r="AA781" s="75">
        <f t="shared" si="149"/>
        <v>0</v>
      </c>
      <c r="AB781" s="76" t="str">
        <f t="shared" si="150"/>
        <v>No calculado</v>
      </c>
      <c r="AC781" s="76">
        <f t="shared" si="151"/>
        <v>0</v>
      </c>
      <c r="AD781" s="76" t="str">
        <f t="shared" si="152"/>
        <v>Sin Línea Base</v>
      </c>
      <c r="AE781" s="77">
        <f t="shared" si="153"/>
        <v>0</v>
      </c>
      <c r="AF781" s="77">
        <f t="shared" si="154"/>
        <v>-6633609996</v>
      </c>
      <c r="AG781" s="78" t="str">
        <f>VLOOKUP(Indicador!E853,[1]Diccionario!C$1:AC$150,27,0)</f>
        <v>https://growdatasas.sharepoint.com/:x:/r/sites/Gestiondocumental/Administrativa/GD/Financiera/_layouts/15/Doc.aspx?sourcedoc=%7B2970928D-0288-4D5D-952F-67732B5D2028%7D&amp;file=251216_MODELO_FINANCIERO_SDH_V.2.0__V7.5%20VF.xlsm&amp;action=default&amp;mobileredirect=true</v>
      </c>
      <c r="AH781" s="78">
        <v>1</v>
      </c>
      <c r="AI781" s="78">
        <v>1</v>
      </c>
      <c r="AJ781" s="78"/>
      <c r="AK781" s="78" t="s">
        <v>319</v>
      </c>
    </row>
    <row r="782" spans="1:37" ht="18.75" customHeight="1" x14ac:dyDescent="0.25">
      <c r="A782" s="64">
        <v>2026</v>
      </c>
      <c r="B782" s="65" t="s">
        <v>50</v>
      </c>
      <c r="C782" s="66" t="s">
        <v>433</v>
      </c>
      <c r="D782" s="67">
        <v>45995.592523460647</v>
      </c>
      <c r="E782" s="66" t="s">
        <v>434</v>
      </c>
      <c r="F782" s="66" t="s">
        <v>435</v>
      </c>
      <c r="G782" s="66" t="s">
        <v>436</v>
      </c>
      <c r="H782" s="66" t="s">
        <v>437</v>
      </c>
      <c r="I782" s="66" t="s">
        <v>63</v>
      </c>
      <c r="J782" s="66" t="s">
        <v>438</v>
      </c>
      <c r="K782" s="66" t="s">
        <v>291</v>
      </c>
      <c r="L782" s="68">
        <f>VLOOKUP(E782,[1]Diccionario!C$2:AC$150,22,0)</f>
        <v>6633609996</v>
      </c>
      <c r="M782" s="69">
        <f>VLOOKUP(E782,[1]Diccionario!C$2:AC$150,24,0)</f>
        <v>46023</v>
      </c>
      <c r="N782" s="70">
        <f>VLOOKUP(E782,[1]Diccionario!C$2:AC$150,25,0)</f>
        <v>46387</v>
      </c>
      <c r="O782" s="71">
        <f>VLOOKUP(E782,[1]Diccionario!C$2:AC$150,26,0)</f>
        <v>12</v>
      </c>
      <c r="P782" s="71">
        <f t="shared" si="144"/>
        <v>-7</v>
      </c>
      <c r="Q782" s="71">
        <v>5</v>
      </c>
      <c r="R782" s="66">
        <v>12</v>
      </c>
      <c r="S782" s="72">
        <v>0.35</v>
      </c>
      <c r="T782" s="72"/>
      <c r="U782" s="79">
        <f t="shared" si="155"/>
        <v>27489218</v>
      </c>
      <c r="V782" s="73">
        <v>0</v>
      </c>
      <c r="W782" s="73">
        <f t="shared" si="145"/>
        <v>0</v>
      </c>
      <c r="X782" s="73">
        <f t="shared" si="146"/>
        <v>2321763498.5999999</v>
      </c>
      <c r="Y782" s="73">
        <f t="shared" si="147"/>
        <v>-27489218</v>
      </c>
      <c r="Z782" s="73">
        <f t="shared" si="148"/>
        <v>-2321763498.5999999</v>
      </c>
      <c r="AA782" s="75">
        <f t="shared" si="149"/>
        <v>0</v>
      </c>
      <c r="AB782" s="76" t="str">
        <f t="shared" si="150"/>
        <v>No calculado</v>
      </c>
      <c r="AC782" s="76">
        <f t="shared" si="151"/>
        <v>0</v>
      </c>
      <c r="AD782" s="76" t="str">
        <f t="shared" si="152"/>
        <v>Sin Línea Base</v>
      </c>
      <c r="AE782" s="77">
        <f t="shared" si="153"/>
        <v>0</v>
      </c>
      <c r="AF782" s="77">
        <f t="shared" si="154"/>
        <v>-6633609996</v>
      </c>
      <c r="AG782" s="78" t="str">
        <f>VLOOKUP(Indicador!E854,[1]Diccionario!C$1:AC$150,27,0)</f>
        <v>https://growdatasas.sharepoint.com/:x:/r/sites/Gestiondocumental/Administrativa/GD/Financiera/_layouts/15/Doc.aspx?sourcedoc=%7B2970928D-0288-4D5D-952F-67732B5D2028%7D&amp;file=251216_MODELO_FINANCIERO_SDH_V.2.0__V7.5%20VF.xlsm&amp;action=default&amp;mobileredirect=true</v>
      </c>
      <c r="AH782" s="78">
        <v>1</v>
      </c>
      <c r="AI782" s="78">
        <v>1</v>
      </c>
      <c r="AJ782" s="78"/>
      <c r="AK782" s="78" t="s">
        <v>319</v>
      </c>
    </row>
    <row r="783" spans="1:37" ht="18.75" customHeight="1" x14ac:dyDescent="0.25">
      <c r="A783" s="64">
        <v>2026</v>
      </c>
      <c r="B783" s="65" t="s">
        <v>51</v>
      </c>
      <c r="C783" s="66" t="s">
        <v>433</v>
      </c>
      <c r="D783" s="67">
        <v>45995.592523460647</v>
      </c>
      <c r="E783" s="66" t="s">
        <v>434</v>
      </c>
      <c r="F783" s="66" t="s">
        <v>435</v>
      </c>
      <c r="G783" s="66" t="s">
        <v>436</v>
      </c>
      <c r="H783" s="66" t="s">
        <v>437</v>
      </c>
      <c r="I783" s="66" t="s">
        <v>63</v>
      </c>
      <c r="J783" s="66" t="s">
        <v>438</v>
      </c>
      <c r="K783" s="66" t="s">
        <v>291</v>
      </c>
      <c r="L783" s="68">
        <f>VLOOKUP(E783,[1]Diccionario!C$2:AC$150,22,0)</f>
        <v>6633609996</v>
      </c>
      <c r="M783" s="69">
        <f>VLOOKUP(E783,[1]Diccionario!C$2:AC$150,24,0)</f>
        <v>46023</v>
      </c>
      <c r="N783" s="70">
        <f>VLOOKUP(E783,[1]Diccionario!C$2:AC$150,25,0)</f>
        <v>46387</v>
      </c>
      <c r="O783" s="71">
        <f>VLOOKUP(E783,[1]Diccionario!C$2:AC$150,26,0)</f>
        <v>12</v>
      </c>
      <c r="P783" s="71">
        <f t="shared" si="144"/>
        <v>-6</v>
      </c>
      <c r="Q783" s="71">
        <v>6</v>
      </c>
      <c r="R783" s="66">
        <v>12</v>
      </c>
      <c r="S783" s="72">
        <v>0.4</v>
      </c>
      <c r="T783" s="72"/>
      <c r="U783" s="79">
        <f t="shared" si="155"/>
        <v>27489218</v>
      </c>
      <c r="V783" s="73">
        <v>0</v>
      </c>
      <c r="W783" s="73">
        <f t="shared" si="145"/>
        <v>0</v>
      </c>
      <c r="X783" s="73">
        <f t="shared" si="146"/>
        <v>2653443998.4000001</v>
      </c>
      <c r="Y783" s="73">
        <f t="shared" si="147"/>
        <v>-27489218</v>
      </c>
      <c r="Z783" s="73">
        <f t="shared" si="148"/>
        <v>-2653443998.4000001</v>
      </c>
      <c r="AA783" s="75">
        <f t="shared" si="149"/>
        <v>0</v>
      </c>
      <c r="AB783" s="76" t="str">
        <f t="shared" si="150"/>
        <v>No calculado</v>
      </c>
      <c r="AC783" s="76">
        <f t="shared" si="151"/>
        <v>0</v>
      </c>
      <c r="AD783" s="76" t="str">
        <f t="shared" si="152"/>
        <v>Sin Línea Base</v>
      </c>
      <c r="AE783" s="77">
        <f t="shared" si="153"/>
        <v>0</v>
      </c>
      <c r="AF783" s="77">
        <f t="shared" si="154"/>
        <v>-6633609996</v>
      </c>
      <c r="AG783" s="78" t="str">
        <f>VLOOKUP(Indicador!E855,[1]Diccionario!C$1:AC$150,27,0)</f>
        <v>https://growdatasas.sharepoint.com/:x:/r/sites/Gestiondocumental/Administrativa/GD/Financiera/_layouts/15/Doc.aspx?sourcedoc=%7B2970928D-0288-4D5D-952F-67732B5D2028%7D&amp;file=251216_MODELO_FINANCIERO_SDH_V.2.0__V7.5%20VF.xlsm&amp;action=default&amp;mobileredirect=true</v>
      </c>
      <c r="AH783" s="78">
        <v>1</v>
      </c>
      <c r="AI783" s="78">
        <v>1</v>
      </c>
      <c r="AJ783" s="78"/>
      <c r="AK783" s="78" t="s">
        <v>319</v>
      </c>
    </row>
    <row r="784" spans="1:37" ht="18.75" customHeight="1" x14ac:dyDescent="0.25">
      <c r="A784" s="64">
        <v>2026</v>
      </c>
      <c r="B784" s="65" t="s">
        <v>52</v>
      </c>
      <c r="C784" s="66" t="s">
        <v>433</v>
      </c>
      <c r="D784" s="67">
        <v>45995.592523460647</v>
      </c>
      <c r="E784" s="66" t="s">
        <v>434</v>
      </c>
      <c r="F784" s="66" t="s">
        <v>435</v>
      </c>
      <c r="G784" s="66" t="s">
        <v>436</v>
      </c>
      <c r="H784" s="66" t="s">
        <v>437</v>
      </c>
      <c r="I784" s="66" t="s">
        <v>63</v>
      </c>
      <c r="J784" s="66" t="s">
        <v>438</v>
      </c>
      <c r="K784" s="66" t="s">
        <v>291</v>
      </c>
      <c r="L784" s="68">
        <f>VLOOKUP(E784,[1]Diccionario!C$2:AC$150,22,0)</f>
        <v>6633609996</v>
      </c>
      <c r="M784" s="69">
        <f>VLOOKUP(E784,[1]Diccionario!C$2:AC$150,24,0)</f>
        <v>46023</v>
      </c>
      <c r="N784" s="70">
        <f>VLOOKUP(E784,[1]Diccionario!C$2:AC$150,25,0)</f>
        <v>46387</v>
      </c>
      <c r="O784" s="71">
        <f>VLOOKUP(E784,[1]Diccionario!C$2:AC$150,26,0)</f>
        <v>12</v>
      </c>
      <c r="P784" s="71">
        <f t="shared" si="144"/>
        <v>-5</v>
      </c>
      <c r="Q784" s="71">
        <v>7</v>
      </c>
      <c r="R784" s="66">
        <v>12</v>
      </c>
      <c r="S784" s="72">
        <v>0.5</v>
      </c>
      <c r="T784" s="72"/>
      <c r="U784" s="79">
        <f t="shared" si="155"/>
        <v>27489218</v>
      </c>
      <c r="V784" s="73">
        <v>0</v>
      </c>
      <c r="W784" s="73">
        <f t="shared" si="145"/>
        <v>0</v>
      </c>
      <c r="X784" s="73">
        <f t="shared" si="146"/>
        <v>3316804998</v>
      </c>
      <c r="Y784" s="73">
        <f t="shared" si="147"/>
        <v>-27489218</v>
      </c>
      <c r="Z784" s="73">
        <f t="shared" si="148"/>
        <v>-3316804998</v>
      </c>
      <c r="AA784" s="75">
        <f t="shared" si="149"/>
        <v>0</v>
      </c>
      <c r="AB784" s="76" t="str">
        <f t="shared" si="150"/>
        <v>No calculado</v>
      </c>
      <c r="AC784" s="76">
        <f t="shared" si="151"/>
        <v>0</v>
      </c>
      <c r="AD784" s="76" t="str">
        <f t="shared" si="152"/>
        <v>Sin Línea Base</v>
      </c>
      <c r="AE784" s="77">
        <f t="shared" si="153"/>
        <v>0</v>
      </c>
      <c r="AF784" s="77">
        <f t="shared" si="154"/>
        <v>-6633609996</v>
      </c>
      <c r="AG784" s="78" t="str">
        <f>VLOOKUP(Indicador!E856,[1]Diccionario!C$1:AC$150,27,0)</f>
        <v>https://growdatasas.sharepoint.com/:x:/r/sites/Gestiondocumental/Administrativa/GD/Financiera/_layouts/15/Doc.aspx?sourcedoc=%7B2970928D-0288-4D5D-952F-67732B5D2028%7D&amp;file=251216_MODELO_FINANCIERO_SDH_V.2.0__V7.5%20VF.xlsm&amp;action=default&amp;mobileredirect=true</v>
      </c>
      <c r="AH784" s="78">
        <v>1</v>
      </c>
      <c r="AI784" s="78">
        <v>1</v>
      </c>
      <c r="AJ784" s="78"/>
      <c r="AK784" s="78" t="s">
        <v>319</v>
      </c>
    </row>
    <row r="785" spans="1:37" ht="18.75" customHeight="1" x14ac:dyDescent="0.25">
      <c r="A785" s="64">
        <v>2026</v>
      </c>
      <c r="B785" s="65" t="s">
        <v>53</v>
      </c>
      <c r="C785" s="66" t="s">
        <v>433</v>
      </c>
      <c r="D785" s="67">
        <v>45995.592523460647</v>
      </c>
      <c r="E785" s="66" t="s">
        <v>434</v>
      </c>
      <c r="F785" s="66" t="s">
        <v>435</v>
      </c>
      <c r="G785" s="66" t="s">
        <v>436</v>
      </c>
      <c r="H785" s="66" t="s">
        <v>437</v>
      </c>
      <c r="I785" s="66" t="s">
        <v>63</v>
      </c>
      <c r="J785" s="66" t="s">
        <v>438</v>
      </c>
      <c r="K785" s="66" t="s">
        <v>291</v>
      </c>
      <c r="L785" s="68">
        <f>VLOOKUP(E785,[1]Diccionario!C$2:AC$150,22,0)</f>
        <v>6633609996</v>
      </c>
      <c r="M785" s="69">
        <f>VLOOKUP(E785,[1]Diccionario!C$2:AC$150,24,0)</f>
        <v>46023</v>
      </c>
      <c r="N785" s="70">
        <f>VLOOKUP(E785,[1]Diccionario!C$2:AC$150,25,0)</f>
        <v>46387</v>
      </c>
      <c r="O785" s="71">
        <f>VLOOKUP(E785,[1]Diccionario!C$2:AC$150,26,0)</f>
        <v>12</v>
      </c>
      <c r="P785" s="71">
        <f t="shared" si="144"/>
        <v>-4</v>
      </c>
      <c r="Q785" s="71">
        <v>8</v>
      </c>
      <c r="R785" s="66">
        <v>12</v>
      </c>
      <c r="S785" s="72">
        <v>0.6</v>
      </c>
      <c r="T785" s="72"/>
      <c r="U785" s="79">
        <f t="shared" si="155"/>
        <v>27489218</v>
      </c>
      <c r="V785" s="73">
        <v>0</v>
      </c>
      <c r="W785" s="73">
        <f t="shared" si="145"/>
        <v>0</v>
      </c>
      <c r="X785" s="73">
        <f t="shared" si="146"/>
        <v>3980165997.5999999</v>
      </c>
      <c r="Y785" s="73">
        <f t="shared" si="147"/>
        <v>-27489218</v>
      </c>
      <c r="Z785" s="73">
        <f t="shared" si="148"/>
        <v>-3980165997.5999999</v>
      </c>
      <c r="AA785" s="75">
        <f t="shared" si="149"/>
        <v>0</v>
      </c>
      <c r="AB785" s="76" t="str">
        <f t="shared" si="150"/>
        <v>No calculado</v>
      </c>
      <c r="AC785" s="76">
        <f t="shared" si="151"/>
        <v>0</v>
      </c>
      <c r="AD785" s="76" t="str">
        <f t="shared" si="152"/>
        <v>Sin Línea Base</v>
      </c>
      <c r="AE785" s="77">
        <f t="shared" si="153"/>
        <v>0</v>
      </c>
      <c r="AF785" s="77">
        <f t="shared" si="154"/>
        <v>-6633609996</v>
      </c>
      <c r="AG785" s="78" t="str">
        <f>VLOOKUP(Indicador!E857,[1]Diccionario!C$1:AC$150,27,0)</f>
        <v>https://growdatasas.sharepoint.com/:x:/r/sites/Gestiondocumental/Administrativa/GD/Financiera/_layouts/15/Doc.aspx?sourcedoc=%7B380FDC26-2DE8-4445-A788-2A385F4CCDE1%7D&amp;file=MODELO%20FINANCIERO%20MIN%20INTERIOR%20CIBERSEGURIDAD%20v9%20-%20sin%20IVA%20WAF%20con%20Provisiones.xlsm&amp;action=default&amp;mobileredirect=true</v>
      </c>
      <c r="AH785" s="78">
        <v>1</v>
      </c>
      <c r="AI785" s="78">
        <v>1</v>
      </c>
      <c r="AJ785" s="78"/>
      <c r="AK785" s="78" t="s">
        <v>319</v>
      </c>
    </row>
    <row r="786" spans="1:37" ht="18.75" customHeight="1" x14ac:dyDescent="0.25">
      <c r="A786" s="64">
        <v>2026</v>
      </c>
      <c r="B786" s="65" t="s">
        <v>54</v>
      </c>
      <c r="C786" s="66" t="s">
        <v>433</v>
      </c>
      <c r="D786" s="67">
        <v>45995.592523460647</v>
      </c>
      <c r="E786" s="66" t="s">
        <v>434</v>
      </c>
      <c r="F786" s="66" t="s">
        <v>435</v>
      </c>
      <c r="G786" s="66" t="s">
        <v>436</v>
      </c>
      <c r="H786" s="66" t="s">
        <v>437</v>
      </c>
      <c r="I786" s="66" t="s">
        <v>63</v>
      </c>
      <c r="J786" s="66" t="s">
        <v>438</v>
      </c>
      <c r="K786" s="66" t="s">
        <v>291</v>
      </c>
      <c r="L786" s="68">
        <f>VLOOKUP(E786,[1]Diccionario!C$2:AC$150,22,0)</f>
        <v>6633609996</v>
      </c>
      <c r="M786" s="69">
        <f>VLOOKUP(E786,[1]Diccionario!C$2:AC$150,24,0)</f>
        <v>46023</v>
      </c>
      <c r="N786" s="70">
        <f>VLOOKUP(E786,[1]Diccionario!C$2:AC$150,25,0)</f>
        <v>46387</v>
      </c>
      <c r="O786" s="71">
        <f>VLOOKUP(E786,[1]Diccionario!C$2:AC$150,26,0)</f>
        <v>12</v>
      </c>
      <c r="P786" s="71">
        <f t="shared" si="144"/>
        <v>-3</v>
      </c>
      <c r="Q786" s="71">
        <v>9</v>
      </c>
      <c r="R786" s="66">
        <v>12</v>
      </c>
      <c r="S786" s="72">
        <v>0.7</v>
      </c>
      <c r="T786" s="72"/>
      <c r="U786" s="79">
        <f t="shared" si="155"/>
        <v>27489218</v>
      </c>
      <c r="V786" s="73">
        <v>0</v>
      </c>
      <c r="W786" s="73">
        <f t="shared" si="145"/>
        <v>0</v>
      </c>
      <c r="X786" s="73">
        <f t="shared" si="146"/>
        <v>4643526997.1999998</v>
      </c>
      <c r="Y786" s="73">
        <f t="shared" si="147"/>
        <v>-27489218</v>
      </c>
      <c r="Z786" s="73">
        <f t="shared" si="148"/>
        <v>-4643526997.1999998</v>
      </c>
      <c r="AA786" s="75">
        <f t="shared" si="149"/>
        <v>0</v>
      </c>
      <c r="AB786" s="76" t="str">
        <f t="shared" si="150"/>
        <v>No calculado</v>
      </c>
      <c r="AC786" s="76">
        <f t="shared" si="151"/>
        <v>0</v>
      </c>
      <c r="AD786" s="76" t="str">
        <f t="shared" si="152"/>
        <v>Sin Línea Base</v>
      </c>
      <c r="AE786" s="77">
        <f t="shared" si="153"/>
        <v>0</v>
      </c>
      <c r="AF786" s="77">
        <f t="shared" si="154"/>
        <v>-6633609996</v>
      </c>
      <c r="AG786" s="78" t="str">
        <f>VLOOKUP(Indicador!E858,[1]Diccionario!C$1:AC$150,27,0)</f>
        <v>https://growdatasas.sharepoint.com/:x:/r/sites/Gestiondocumental/Administrativa/GD/Financiera/_layouts/15/Doc.aspx?sourcedoc=%7B380FDC26-2DE8-4445-A788-2A385F4CCDE1%7D&amp;file=MODELO%20FINANCIERO%20MIN%20INTERIOR%20CIBERSEGURIDAD%20v9%20-%20sin%20IVA%20WAF%20con%20Provisiones.xlsm&amp;action=default&amp;mobileredirect=true</v>
      </c>
      <c r="AH786" s="78">
        <v>1</v>
      </c>
      <c r="AI786" s="78">
        <v>1</v>
      </c>
      <c r="AJ786" s="78"/>
      <c r="AK786" s="78" t="s">
        <v>319</v>
      </c>
    </row>
    <row r="787" spans="1:37" ht="18.75" customHeight="1" x14ac:dyDescent="0.25">
      <c r="A787" s="64">
        <v>2026</v>
      </c>
      <c r="B787" s="65" t="s">
        <v>55</v>
      </c>
      <c r="C787" s="66" t="s">
        <v>433</v>
      </c>
      <c r="D787" s="67">
        <v>45995.592523460647</v>
      </c>
      <c r="E787" s="66" t="s">
        <v>434</v>
      </c>
      <c r="F787" s="66" t="s">
        <v>435</v>
      </c>
      <c r="G787" s="66" t="s">
        <v>436</v>
      </c>
      <c r="H787" s="66" t="s">
        <v>437</v>
      </c>
      <c r="I787" s="66" t="s">
        <v>63</v>
      </c>
      <c r="J787" s="66" t="s">
        <v>438</v>
      </c>
      <c r="K787" s="66" t="s">
        <v>291</v>
      </c>
      <c r="L787" s="68">
        <f>VLOOKUP(E787,[1]Diccionario!C$2:AC$150,22,0)</f>
        <v>6633609996</v>
      </c>
      <c r="M787" s="69">
        <f>VLOOKUP(E787,[1]Diccionario!C$2:AC$150,24,0)</f>
        <v>46023</v>
      </c>
      <c r="N787" s="70">
        <f>VLOOKUP(E787,[1]Diccionario!C$2:AC$150,25,0)</f>
        <v>46387</v>
      </c>
      <c r="O787" s="71">
        <f>VLOOKUP(E787,[1]Diccionario!C$2:AC$150,26,0)</f>
        <v>12</v>
      </c>
      <c r="P787" s="71">
        <f t="shared" si="144"/>
        <v>-2</v>
      </c>
      <c r="Q787" s="71">
        <v>10</v>
      </c>
      <c r="R787" s="66">
        <v>12</v>
      </c>
      <c r="S787" s="72">
        <v>0.8</v>
      </c>
      <c r="T787" s="72"/>
      <c r="U787" s="79">
        <f t="shared" si="155"/>
        <v>27489218</v>
      </c>
      <c r="V787" s="73">
        <v>0</v>
      </c>
      <c r="W787" s="73">
        <f t="shared" si="145"/>
        <v>0</v>
      </c>
      <c r="X787" s="73">
        <f t="shared" si="146"/>
        <v>5306887996.8000002</v>
      </c>
      <c r="Y787" s="73">
        <f t="shared" si="147"/>
        <v>-27489218</v>
      </c>
      <c r="Z787" s="73">
        <f t="shared" si="148"/>
        <v>-5306887996.8000002</v>
      </c>
      <c r="AA787" s="75">
        <f t="shared" si="149"/>
        <v>0</v>
      </c>
      <c r="AB787" s="76" t="str">
        <f t="shared" si="150"/>
        <v>No calculado</v>
      </c>
      <c r="AC787" s="76">
        <f t="shared" si="151"/>
        <v>0</v>
      </c>
      <c r="AD787" s="76" t="str">
        <f t="shared" si="152"/>
        <v>Sin Línea Base</v>
      </c>
      <c r="AE787" s="77">
        <f t="shared" si="153"/>
        <v>0</v>
      </c>
      <c r="AF787" s="77">
        <f t="shared" si="154"/>
        <v>-6633609996</v>
      </c>
      <c r="AG787" s="78" t="str">
        <f>VLOOKUP(Indicador!E859,[1]Diccionario!C$1:AC$150,27,0)</f>
        <v>https://growdatasas.sharepoint.com/:x:/r/sites/Gestiondocumental/Administrativa/GD/Financiera/_layouts/15/Doc.aspx?sourcedoc=%7B380FDC26-2DE8-4445-A788-2A385F4CCDE1%7D&amp;file=MODELO%20FINANCIERO%20MIN%20INTERIOR%20CIBERSEGURIDAD%20v9%20-%20sin%20IVA%20WAF%20con%20Provisiones.xlsm&amp;action=default&amp;mobileredirect=true</v>
      </c>
      <c r="AH787" s="78">
        <v>1</v>
      </c>
      <c r="AI787" s="78">
        <v>1</v>
      </c>
      <c r="AJ787" s="78"/>
      <c r="AK787" s="78" t="s">
        <v>319</v>
      </c>
    </row>
    <row r="788" spans="1:37" ht="18.75" customHeight="1" x14ac:dyDescent="0.25">
      <c r="A788" s="64">
        <v>2026</v>
      </c>
      <c r="B788" s="65" t="s">
        <v>56</v>
      </c>
      <c r="C788" s="66" t="s">
        <v>433</v>
      </c>
      <c r="D788" s="67">
        <v>45995.592523460647</v>
      </c>
      <c r="E788" s="66" t="s">
        <v>434</v>
      </c>
      <c r="F788" s="66" t="s">
        <v>435</v>
      </c>
      <c r="G788" s="66" t="s">
        <v>436</v>
      </c>
      <c r="H788" s="66" t="s">
        <v>437</v>
      </c>
      <c r="I788" s="66" t="s">
        <v>63</v>
      </c>
      <c r="J788" s="66" t="s">
        <v>438</v>
      </c>
      <c r="K788" s="66" t="s">
        <v>291</v>
      </c>
      <c r="L788" s="68">
        <f>VLOOKUP(E788,[1]Diccionario!C$2:AC$150,22,0)</f>
        <v>6633609996</v>
      </c>
      <c r="M788" s="69">
        <f>VLOOKUP(E788,[1]Diccionario!C$2:AC$150,24,0)</f>
        <v>46023</v>
      </c>
      <c r="N788" s="70">
        <f>VLOOKUP(E788,[1]Diccionario!C$2:AC$150,25,0)</f>
        <v>46387</v>
      </c>
      <c r="O788" s="71">
        <f>VLOOKUP(E788,[1]Diccionario!C$2:AC$150,26,0)</f>
        <v>12</v>
      </c>
      <c r="P788" s="71">
        <f t="shared" si="144"/>
        <v>-1</v>
      </c>
      <c r="Q788" s="71">
        <v>11</v>
      </c>
      <c r="R788" s="66">
        <v>12</v>
      </c>
      <c r="S788" s="72">
        <v>0.9</v>
      </c>
      <c r="T788" s="72"/>
      <c r="U788" s="79">
        <f t="shared" si="155"/>
        <v>27489218</v>
      </c>
      <c r="V788" s="73">
        <v>0</v>
      </c>
      <c r="W788" s="73">
        <f t="shared" si="145"/>
        <v>0</v>
      </c>
      <c r="X788" s="73">
        <f t="shared" si="146"/>
        <v>5970248996.4000006</v>
      </c>
      <c r="Y788" s="73">
        <f t="shared" si="147"/>
        <v>-27489218</v>
      </c>
      <c r="Z788" s="73">
        <f t="shared" si="148"/>
        <v>-5970248996.4000006</v>
      </c>
      <c r="AA788" s="75">
        <f t="shared" si="149"/>
        <v>0</v>
      </c>
      <c r="AB788" s="76" t="str">
        <f t="shared" si="150"/>
        <v>No calculado</v>
      </c>
      <c r="AC788" s="76">
        <f t="shared" si="151"/>
        <v>0</v>
      </c>
      <c r="AD788" s="76" t="str">
        <f t="shared" si="152"/>
        <v>Sin Línea Base</v>
      </c>
      <c r="AE788" s="77">
        <f t="shared" si="153"/>
        <v>0</v>
      </c>
      <c r="AF788" s="77">
        <f t="shared" si="154"/>
        <v>-6633609996</v>
      </c>
      <c r="AG788" s="78" t="str">
        <f>VLOOKUP(Indicador!E860,[1]Diccionario!C$1:AC$150,27,0)</f>
        <v>https://growdatasas.sharepoint.com/:x:/r/sites/Gestiondocumental/Administrativa/GD/Financiera/_layouts/15/Doc.aspx?sourcedoc=%7B2970928D-0288-4D5D-952F-67732B5D2028%7D&amp;file=251216_MODELO_FINANCIERO_SDH_V.2.0__V7.5%20VF.xlsm&amp;action=default&amp;mobileredirect=true</v>
      </c>
      <c r="AH788" s="78">
        <v>1</v>
      </c>
      <c r="AI788" s="78">
        <v>1</v>
      </c>
      <c r="AJ788" s="78"/>
      <c r="AK788" s="78" t="s">
        <v>319</v>
      </c>
    </row>
    <row r="789" spans="1:37" ht="18.75" customHeight="1" x14ac:dyDescent="0.25">
      <c r="A789" s="64">
        <v>2026</v>
      </c>
      <c r="B789" s="65" t="s">
        <v>57</v>
      </c>
      <c r="C789" s="66" t="s">
        <v>433</v>
      </c>
      <c r="D789" s="67">
        <v>45995.592523460647</v>
      </c>
      <c r="E789" s="66" t="s">
        <v>434</v>
      </c>
      <c r="F789" s="66" t="s">
        <v>435</v>
      </c>
      <c r="G789" s="66" t="s">
        <v>436</v>
      </c>
      <c r="H789" s="66" t="s">
        <v>437</v>
      </c>
      <c r="I789" s="66" t="s">
        <v>63</v>
      </c>
      <c r="J789" s="66" t="s">
        <v>438</v>
      </c>
      <c r="K789" s="66" t="s">
        <v>291</v>
      </c>
      <c r="L789" s="68">
        <f>VLOOKUP(E789,[1]Diccionario!C$2:AC$150,22,0)</f>
        <v>6633609996</v>
      </c>
      <c r="M789" s="69">
        <f>VLOOKUP(E789,[1]Diccionario!C$2:AC$150,24,0)</f>
        <v>46023</v>
      </c>
      <c r="N789" s="70">
        <f>VLOOKUP(E789,[1]Diccionario!C$2:AC$150,25,0)</f>
        <v>46387</v>
      </c>
      <c r="O789" s="71">
        <f>VLOOKUP(E789,[1]Diccionario!C$2:AC$150,26,0)</f>
        <v>12</v>
      </c>
      <c r="P789" s="71">
        <f t="shared" si="144"/>
        <v>0</v>
      </c>
      <c r="Q789" s="71">
        <v>12</v>
      </c>
      <c r="R789" s="66">
        <v>12</v>
      </c>
      <c r="S789" s="72">
        <v>1</v>
      </c>
      <c r="T789" s="72"/>
      <c r="U789" s="79">
        <f t="shared" si="155"/>
        <v>27489218</v>
      </c>
      <c r="V789" s="73">
        <v>0</v>
      </c>
      <c r="W789" s="73">
        <f t="shared" si="145"/>
        <v>0</v>
      </c>
      <c r="X789" s="73">
        <f t="shared" si="146"/>
        <v>6633609996</v>
      </c>
      <c r="Y789" s="73">
        <f t="shared" si="147"/>
        <v>-27489218</v>
      </c>
      <c r="Z789" s="73">
        <f t="shared" si="148"/>
        <v>-6633609996</v>
      </c>
      <c r="AA789" s="75">
        <f t="shared" si="149"/>
        <v>0</v>
      </c>
      <c r="AB789" s="76" t="str">
        <f t="shared" si="150"/>
        <v>No calculado</v>
      </c>
      <c r="AC789" s="76">
        <f t="shared" si="151"/>
        <v>0</v>
      </c>
      <c r="AD789" s="76" t="str">
        <f t="shared" si="152"/>
        <v>Sin Línea Base</v>
      </c>
      <c r="AE789" s="77">
        <f t="shared" si="153"/>
        <v>0</v>
      </c>
      <c r="AF789" s="77">
        <f t="shared" si="154"/>
        <v>-6633609996</v>
      </c>
      <c r="AG789" s="78" t="str">
        <f>VLOOKUP(Indicador!E861,[1]Diccionario!C$1:AC$150,27,0)</f>
        <v>https://growdatasas.sharepoint.com/:x:/r/sites/Gestiondocumental/Administrativa/GD/Financiera/_layouts/15/Doc.aspx?sourcedoc=%7B2970928D-0288-4D5D-952F-67732B5D2028%7D&amp;file=251216_MODELO_FINANCIERO_SDH_V.2.0__V7.5%20VF.xlsm&amp;action=default&amp;mobileredirect=true</v>
      </c>
      <c r="AH789" s="78">
        <v>1</v>
      </c>
      <c r="AI789" s="78">
        <v>1</v>
      </c>
      <c r="AJ789" s="78"/>
      <c r="AK789" s="78" t="s">
        <v>319</v>
      </c>
    </row>
    <row r="790" spans="1:37" ht="18.75" customHeight="1" x14ac:dyDescent="0.25">
      <c r="A790" s="64">
        <v>2025</v>
      </c>
      <c r="B790" s="65" t="s">
        <v>57</v>
      </c>
      <c r="C790" s="66" t="s">
        <v>439</v>
      </c>
      <c r="D790" s="67">
        <v>45996.649671412037</v>
      </c>
      <c r="E790" s="66" t="s">
        <v>440</v>
      </c>
      <c r="F790" s="66" t="s">
        <v>140</v>
      </c>
      <c r="G790" s="66" t="s">
        <v>441</v>
      </c>
      <c r="H790" s="66" t="s">
        <v>442</v>
      </c>
      <c r="I790" s="66" t="s">
        <v>78</v>
      </c>
      <c r="J790" s="66" t="s">
        <v>443</v>
      </c>
      <c r="K790" s="66" t="s">
        <v>45</v>
      </c>
      <c r="L790" s="68">
        <f>VLOOKUP(E790,[1]Diccionario!C$2:AC$150,22,0)</f>
        <v>247635015</v>
      </c>
      <c r="M790" s="69">
        <f>VLOOKUP(E790,[1]Diccionario!C$2:AC$150,24,0)</f>
        <v>45992</v>
      </c>
      <c r="N790" s="70">
        <f>VLOOKUP(E790,[1]Diccionario!C$2:AC$150,25,0)</f>
        <v>46022</v>
      </c>
      <c r="O790" s="71">
        <f>VLOOKUP(E790,[1]Diccionario!C$2:AC$150,26,0)</f>
        <v>1</v>
      </c>
      <c r="P790" s="71">
        <f t="shared" si="144"/>
        <v>0</v>
      </c>
      <c r="Q790" s="71">
        <v>1</v>
      </c>
      <c r="R790" s="66">
        <v>2</v>
      </c>
      <c r="S790" s="72">
        <v>0.5</v>
      </c>
      <c r="T790" s="72">
        <v>0.5</v>
      </c>
      <c r="U790" s="79">
        <f>TablaIndicador[[#This Row],[Costo Mensual]]</f>
        <v>219405366.74000001</v>
      </c>
      <c r="V790" s="74">
        <v>219405366.74000001</v>
      </c>
      <c r="W790" s="73">
        <f t="shared" si="145"/>
        <v>123817507.5</v>
      </c>
      <c r="X790" s="73">
        <f t="shared" si="146"/>
        <v>123817507.5</v>
      </c>
      <c r="Y790" s="73">
        <f t="shared" si="147"/>
        <v>-95587859.24000001</v>
      </c>
      <c r="Z790" s="73">
        <f t="shared" si="148"/>
        <v>0</v>
      </c>
      <c r="AA790" s="75">
        <f t="shared" si="149"/>
        <v>0.564332173545811</v>
      </c>
      <c r="AB790" s="76" t="str">
        <f t="shared" si="150"/>
        <v>Costo ineficiente: se está gastando más de lo presupuestado</v>
      </c>
      <c r="AC790" s="76">
        <f t="shared" si="151"/>
        <v>1</v>
      </c>
      <c r="AD790" s="76" t="str">
        <f t="shared" si="152"/>
        <v>Proyecto a tiempo según lo planificado</v>
      </c>
      <c r="AE790" s="77">
        <f t="shared" si="153"/>
        <v>438810733.48000002</v>
      </c>
      <c r="AF790" s="77">
        <f t="shared" si="154"/>
        <v>191175718.48000002</v>
      </c>
      <c r="AG790" s="78" t="str">
        <f>VLOOKUP(Indicador!E808,[1]Diccionario!C$1:AC$150,27,0)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90" s="78">
        <v>1</v>
      </c>
      <c r="AI790" s="78">
        <v>1</v>
      </c>
      <c r="AJ790" s="78"/>
      <c r="AK790" s="78" t="s">
        <v>319</v>
      </c>
    </row>
    <row r="791" spans="1:37" ht="18.75" customHeight="1" x14ac:dyDescent="0.25">
      <c r="A791" s="64">
        <v>2026</v>
      </c>
      <c r="B791" s="65" t="s">
        <v>37</v>
      </c>
      <c r="C791" s="66" t="s">
        <v>439</v>
      </c>
      <c r="D791" s="67">
        <v>45996.649671412037</v>
      </c>
      <c r="E791" s="66" t="s">
        <v>440</v>
      </c>
      <c r="F791" s="66" t="s">
        <v>140</v>
      </c>
      <c r="G791" s="66" t="s">
        <v>441</v>
      </c>
      <c r="H791" s="66" t="s">
        <v>442</v>
      </c>
      <c r="I791" s="66" t="s">
        <v>78</v>
      </c>
      <c r="J791" s="66" t="s">
        <v>443</v>
      </c>
      <c r="K791" s="66" t="s">
        <v>45</v>
      </c>
      <c r="L791" s="68">
        <f>VLOOKUP(E791,[1]Diccionario!C$2:AC$150,22,0)</f>
        <v>247635015</v>
      </c>
      <c r="M791" s="69">
        <f>VLOOKUP(E791,[1]Diccionario!C$2:AC$150,24,0)</f>
        <v>45992</v>
      </c>
      <c r="N791" s="70">
        <f>VLOOKUP(E791,[1]Diccionario!C$2:AC$150,25,0)</f>
        <v>46022</v>
      </c>
      <c r="O791" s="71">
        <f>VLOOKUP(E791,[1]Diccionario!C$2:AC$150,26,0)</f>
        <v>1</v>
      </c>
      <c r="P791" s="71">
        <f t="shared" si="144"/>
        <v>1</v>
      </c>
      <c r="Q791" s="71">
        <v>2</v>
      </c>
      <c r="R791" s="66">
        <v>2</v>
      </c>
      <c r="S791" s="72">
        <v>1</v>
      </c>
      <c r="T791" s="72">
        <v>1</v>
      </c>
      <c r="U791" s="79">
        <f>U790+TablaIndicador[[#This Row],[Costo Mensual]]</f>
        <v>219405366.74000001</v>
      </c>
      <c r="V791" s="73"/>
      <c r="W791" s="73">
        <f t="shared" si="145"/>
        <v>247635015</v>
      </c>
      <c r="X791" s="73">
        <f t="shared" si="146"/>
        <v>247635015</v>
      </c>
      <c r="Y791" s="73">
        <f t="shared" si="147"/>
        <v>28229648.25999999</v>
      </c>
      <c r="Z791" s="73">
        <f t="shared" si="148"/>
        <v>0</v>
      </c>
      <c r="AA791" s="75">
        <f t="shared" si="149"/>
        <v>1.128664347091622</v>
      </c>
      <c r="AB791" s="76" t="str">
        <f t="shared" si="150"/>
        <v>Costo eficiente: se está gastando menos de lo presupuestado</v>
      </c>
      <c r="AC791" s="76">
        <f t="shared" si="151"/>
        <v>1</v>
      </c>
      <c r="AD791" s="76" t="str">
        <f t="shared" si="152"/>
        <v>Proyecto a tiempo según lo planificado</v>
      </c>
      <c r="AE791" s="77">
        <f t="shared" si="153"/>
        <v>219405366.74000001</v>
      </c>
      <c r="AF791" s="77">
        <f t="shared" si="154"/>
        <v>-28229648.25999999</v>
      </c>
      <c r="AG791" s="78" t="str">
        <f>VLOOKUP(Indicador!E809,[1]Diccionario!C$1:AC$150,27,0)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91" s="78">
        <v>1</v>
      </c>
      <c r="AI791" s="78">
        <v>1</v>
      </c>
      <c r="AJ791" s="78"/>
      <c r="AK791" s="78" t="s">
        <v>319</v>
      </c>
    </row>
    <row r="792" spans="1:37" ht="18.75" customHeight="1" x14ac:dyDescent="0.25">
      <c r="A792" s="64">
        <v>2025</v>
      </c>
      <c r="B792" s="65" t="s">
        <v>57</v>
      </c>
      <c r="C792" s="66" t="s">
        <v>444</v>
      </c>
      <c r="D792" s="67">
        <v>46014.647200694446</v>
      </c>
      <c r="E792" s="66" t="s">
        <v>445</v>
      </c>
      <c r="F792" s="66" t="s">
        <v>140</v>
      </c>
      <c r="G792" s="66" t="s">
        <v>446</v>
      </c>
      <c r="H792" s="66" t="s">
        <v>447</v>
      </c>
      <c r="I792" s="66" t="s">
        <v>78</v>
      </c>
      <c r="J792" s="66" t="s">
        <v>438</v>
      </c>
      <c r="K792" s="66" t="s">
        <v>291</v>
      </c>
      <c r="L792" s="68">
        <f>VLOOKUP(E792,[1]Diccionario!C$2:AC$150,22,0)</f>
        <v>232025819</v>
      </c>
      <c r="M792" s="69">
        <f>VLOOKUP(E792,[1]Diccionario!C$2:AC$150,24,0)</f>
        <v>46006</v>
      </c>
      <c r="N792" s="70">
        <f>VLOOKUP(E792,[1]Diccionario!C$2:AC$150,25,0)</f>
        <v>46022</v>
      </c>
      <c r="O792" s="71">
        <f>VLOOKUP(E792,[1]Diccionario!C$2:AC$150,26,0)</f>
        <v>0.53</v>
      </c>
      <c r="P792" s="71">
        <f t="shared" si="144"/>
        <v>0.47</v>
      </c>
      <c r="Q792" s="71">
        <v>1</v>
      </c>
      <c r="R792" s="66">
        <v>2</v>
      </c>
      <c r="S792" s="72">
        <v>0.5</v>
      </c>
      <c r="T792" s="72">
        <v>0.45</v>
      </c>
      <c r="U792" s="73">
        <f>TablaIndicador[[#This Row],[Costo Mensual]]</f>
        <v>180312921.97</v>
      </c>
      <c r="V792" s="73">
        <v>180312921.97</v>
      </c>
      <c r="W792" s="73">
        <f t="shared" si="145"/>
        <v>104411618.55</v>
      </c>
      <c r="X792" s="73">
        <f t="shared" si="146"/>
        <v>116012909.5</v>
      </c>
      <c r="Y792" s="73">
        <f t="shared" si="147"/>
        <v>-75901303.420000002</v>
      </c>
      <c r="Z792" s="73">
        <f t="shared" si="148"/>
        <v>-11601290.950000003</v>
      </c>
      <c r="AA792" s="75">
        <f t="shared" si="149"/>
        <v>0.57905788120593893</v>
      </c>
      <c r="AB792" s="76" t="str">
        <f t="shared" si="150"/>
        <v>Costo ineficiente: se está gastando más de lo presupuestado</v>
      </c>
      <c r="AC792" s="76">
        <f t="shared" si="151"/>
        <v>0.9</v>
      </c>
      <c r="AD792" s="76" t="str">
        <f t="shared" si="152"/>
        <v>Proyecto atrasado con respecto al cronograma</v>
      </c>
      <c r="AE792" s="77">
        <f t="shared" si="153"/>
        <v>400695382.15555555</v>
      </c>
      <c r="AF792" s="77">
        <f t="shared" si="154"/>
        <v>168669563.15555555</v>
      </c>
      <c r="AG792" s="78" t="str">
        <f>VLOOKUP(Indicador!E836,[1]Diccionario!C$1:AC$150,27,0)</f>
        <v>https://growdatasas.sharepoint.com/:x:/r/sites/Gestiondocumental/Administrativa/GD/Financiera/_layouts/15/Doc.aspx?sourcedoc=%7B2970928D-0288-4D5D-952F-67732B5D2028%7D&amp;file=251216_MODELO_FINANCIERO_SDH_V.2.0__V7.5%20VF.xlsm&amp;action=default&amp;mobileredirect=true</v>
      </c>
      <c r="AH792" s="78">
        <v>1</v>
      </c>
      <c r="AI792" s="78">
        <v>1</v>
      </c>
      <c r="AJ792" s="78"/>
      <c r="AK792" s="78" t="s">
        <v>319</v>
      </c>
    </row>
    <row r="793" spans="1:37" ht="18.75" customHeight="1" x14ac:dyDescent="0.25">
      <c r="A793" s="64">
        <v>2026</v>
      </c>
      <c r="B793" s="65" t="s">
        <v>37</v>
      </c>
      <c r="C793" s="66" t="s">
        <v>444</v>
      </c>
      <c r="D793" s="67">
        <v>46014.647200694446</v>
      </c>
      <c r="E793" s="66" t="s">
        <v>445</v>
      </c>
      <c r="F793" s="66" t="s">
        <v>140</v>
      </c>
      <c r="G793" s="66" t="s">
        <v>446</v>
      </c>
      <c r="H793" s="66" t="s">
        <v>447</v>
      </c>
      <c r="I793" s="66" t="s">
        <v>78</v>
      </c>
      <c r="J793" s="66" t="s">
        <v>438</v>
      </c>
      <c r="K793" s="66" t="s">
        <v>291</v>
      </c>
      <c r="L793" s="68">
        <f>VLOOKUP(E793,[1]Diccionario!C$2:AC$150,22,0)</f>
        <v>232025819</v>
      </c>
      <c r="M793" s="69">
        <f>VLOOKUP(E793,[1]Diccionario!C$2:AC$150,24,0)</f>
        <v>46006</v>
      </c>
      <c r="N793" s="70">
        <f>VLOOKUP(E793,[1]Diccionario!C$2:AC$150,25,0)</f>
        <v>46022</v>
      </c>
      <c r="O793" s="71">
        <f>VLOOKUP(E793,[1]Diccionario!C$2:AC$150,26,0)</f>
        <v>0.53</v>
      </c>
      <c r="P793" s="71">
        <f t="shared" si="144"/>
        <v>1.47</v>
      </c>
      <c r="Q793" s="71">
        <v>2</v>
      </c>
      <c r="R793" s="66">
        <v>2</v>
      </c>
      <c r="S793" s="72">
        <v>1</v>
      </c>
      <c r="T793" s="72">
        <v>1</v>
      </c>
      <c r="U793" s="73">
        <f>U792+TablaIndicador[[#This Row],[Costo Mensual]]</f>
        <v>180312921.97</v>
      </c>
      <c r="V793" s="73">
        <v>0</v>
      </c>
      <c r="W793" s="73">
        <f t="shared" si="145"/>
        <v>232025819</v>
      </c>
      <c r="X793" s="73">
        <f t="shared" si="146"/>
        <v>232025819</v>
      </c>
      <c r="Y793" s="73">
        <f t="shared" si="147"/>
        <v>51712897.030000001</v>
      </c>
      <c r="Z793" s="73">
        <f t="shared" si="148"/>
        <v>0</v>
      </c>
      <c r="AA793" s="75">
        <f t="shared" si="149"/>
        <v>1.2867952915687533</v>
      </c>
      <c r="AB793" s="76" t="str">
        <f t="shared" si="150"/>
        <v>Costo eficiente: se está gastando menos de lo presupuestado</v>
      </c>
      <c r="AC793" s="76">
        <f t="shared" si="151"/>
        <v>1</v>
      </c>
      <c r="AD793" s="76" t="str">
        <f t="shared" si="152"/>
        <v>Proyecto a tiempo según lo planificado</v>
      </c>
      <c r="AE793" s="77">
        <f t="shared" si="153"/>
        <v>180312921.97</v>
      </c>
      <c r="AF793" s="77">
        <f t="shared" si="154"/>
        <v>-51712897.030000001</v>
      </c>
      <c r="AG793" s="78" t="str">
        <f>VLOOKUP(Indicador!E837,[1]Diccionario!C$1:AC$150,27,0)</f>
        <v>https://growdatasas.sharepoint.com/:x:/r/sites/Gestiondocumental/Administrativa/GD/Financiera/_layouts/15/Doc.aspx?sourcedoc=%7B2970928D-0288-4D5D-952F-67732B5D2028%7D&amp;file=251216_MODELO_FINANCIERO_SDH_V.2.0__V7.5%20VF.xlsm&amp;action=default&amp;mobileredirect=true</v>
      </c>
      <c r="AH793" s="78">
        <v>1</v>
      </c>
      <c r="AI793" s="78">
        <v>1</v>
      </c>
      <c r="AJ793" s="78"/>
      <c r="AK793" s="78" t="s">
        <v>319</v>
      </c>
    </row>
    <row r="794" spans="1:37" ht="18.75" customHeight="1" x14ac:dyDescent="0.25">
      <c r="A794" s="64">
        <v>2026</v>
      </c>
      <c r="B794" s="65" t="s">
        <v>37</v>
      </c>
      <c r="C794" s="66" t="s">
        <v>448</v>
      </c>
      <c r="D794" s="67">
        <v>46014.698107638891</v>
      </c>
      <c r="E794" s="66" t="s">
        <v>449</v>
      </c>
      <c r="F794" s="66" t="s">
        <v>40</v>
      </c>
      <c r="G794" s="66" t="s">
        <v>450</v>
      </c>
      <c r="H794" s="66" t="s">
        <v>451</v>
      </c>
      <c r="I794" s="66" t="s">
        <v>63</v>
      </c>
      <c r="J794" s="66" t="s">
        <v>438</v>
      </c>
      <c r="K794" s="66" t="s">
        <v>126</v>
      </c>
      <c r="L794" s="68">
        <f>VLOOKUP(E794,[1]Diccionario!C$2:AC$150,22,0)</f>
        <v>273950155</v>
      </c>
      <c r="M794" s="69">
        <f>VLOOKUP(E794,[1]Diccionario!C$2:AC$150,24,0)</f>
        <v>46023</v>
      </c>
      <c r="N794" s="70">
        <f>VLOOKUP(E794,[1]Diccionario!C$2:AC$150,25,0)</f>
        <v>46387</v>
      </c>
      <c r="O794" s="71">
        <f>VLOOKUP(E794,[1]Diccionario!C$2:AC$150,26,0)</f>
        <v>12</v>
      </c>
      <c r="P794" s="71">
        <f t="shared" si="144"/>
        <v>-11</v>
      </c>
      <c r="Q794" s="71">
        <v>1</v>
      </c>
      <c r="R794" s="66">
        <v>12</v>
      </c>
      <c r="S794" s="72">
        <v>0.1</v>
      </c>
      <c r="T794" s="72">
        <v>0.1</v>
      </c>
      <c r="U794" s="81">
        <f>TablaIndicador[[#This Row],[Costo Mensual]]</f>
        <v>160087434</v>
      </c>
      <c r="V794" s="81">
        <v>160087434</v>
      </c>
      <c r="W794" s="73">
        <f t="shared" si="145"/>
        <v>27395015.5</v>
      </c>
      <c r="X794" s="73">
        <f t="shared" si="146"/>
        <v>27395015.5</v>
      </c>
      <c r="Y794" s="73">
        <f t="shared" si="147"/>
        <v>-132692418.5</v>
      </c>
      <c r="Z794" s="73">
        <f t="shared" si="148"/>
        <v>0</v>
      </c>
      <c r="AA794" s="75">
        <f t="shared" si="149"/>
        <v>0.17112533329755289</v>
      </c>
      <c r="AB794" s="76" t="str">
        <f t="shared" si="150"/>
        <v>Costo ineficiente: se está gastando más de lo presupuestado</v>
      </c>
      <c r="AC794" s="76">
        <f t="shared" si="151"/>
        <v>1</v>
      </c>
      <c r="AD794" s="76" t="str">
        <f t="shared" si="152"/>
        <v>Proyecto a tiempo según lo planificado</v>
      </c>
      <c r="AE794" s="77">
        <f t="shared" si="153"/>
        <v>1600874340</v>
      </c>
      <c r="AF794" s="77">
        <f t="shared" si="154"/>
        <v>1326924185</v>
      </c>
      <c r="AG794" s="78" t="str">
        <f>VLOOKUP(Indicador!E838,[1]Diccionario!C$1:AC$150,27,0)</f>
        <v>https://growdatasas.sharepoint.com/:x:/r/sites/Gestiondocumental/Administrativa/GD/Financiera/_layouts/15/Doc.aspx?sourcedoc=%7B2970928D-0288-4D5D-952F-67732B5D2028%7D&amp;file=251216_MODELO_FINANCIERO_SDH_V.2.0__V7.5%20VF.xlsm&amp;action=default&amp;mobileredirect=true</v>
      </c>
      <c r="AH794" s="78">
        <v>1</v>
      </c>
      <c r="AI794" s="78">
        <v>1</v>
      </c>
      <c r="AJ794" s="78"/>
      <c r="AK794" s="78" t="s">
        <v>319</v>
      </c>
    </row>
    <row r="795" spans="1:37" ht="18.75" customHeight="1" x14ac:dyDescent="0.25">
      <c r="A795" s="64">
        <v>2026</v>
      </c>
      <c r="B795" s="65" t="s">
        <v>47</v>
      </c>
      <c r="C795" s="66" t="s">
        <v>448</v>
      </c>
      <c r="D795" s="67">
        <v>46014.698107638891</v>
      </c>
      <c r="E795" s="66" t="s">
        <v>449</v>
      </c>
      <c r="F795" s="66" t="s">
        <v>40</v>
      </c>
      <c r="G795" s="66" t="s">
        <v>450</v>
      </c>
      <c r="H795" s="66" t="s">
        <v>451</v>
      </c>
      <c r="I795" s="66" t="s">
        <v>63</v>
      </c>
      <c r="J795" s="66" t="s">
        <v>438</v>
      </c>
      <c r="K795" s="66" t="s">
        <v>126</v>
      </c>
      <c r="L795" s="68">
        <f>VLOOKUP(E795,[1]Diccionario!C$2:AC$150,22,0)</f>
        <v>273950155</v>
      </c>
      <c r="M795" s="69">
        <f>VLOOKUP(E795,[1]Diccionario!C$2:AC$150,24,0)</f>
        <v>46023</v>
      </c>
      <c r="N795" s="70">
        <f>VLOOKUP(E795,[1]Diccionario!C$2:AC$150,25,0)</f>
        <v>46387</v>
      </c>
      <c r="O795" s="71">
        <f>VLOOKUP(E795,[1]Diccionario!C$2:AC$150,26,0)</f>
        <v>12</v>
      </c>
      <c r="P795" s="71">
        <f t="shared" si="144"/>
        <v>-10</v>
      </c>
      <c r="Q795" s="71">
        <v>2</v>
      </c>
      <c r="R795" s="66">
        <v>12</v>
      </c>
      <c r="S795" s="72">
        <v>0.15</v>
      </c>
      <c r="T795" s="72">
        <v>0.5</v>
      </c>
      <c r="U795" s="79">
        <f>U794+TablaIndicador[[#This Row],[Costo Mensual]]</f>
        <v>160087434</v>
      </c>
      <c r="V795" s="73">
        <v>0</v>
      </c>
      <c r="W795" s="73">
        <f t="shared" si="145"/>
        <v>136975077.5</v>
      </c>
      <c r="X795" s="73">
        <f t="shared" si="146"/>
        <v>41092523.25</v>
      </c>
      <c r="Y795" s="73">
        <f t="shared" si="147"/>
        <v>-23112356.5</v>
      </c>
      <c r="Z795" s="73">
        <f t="shared" si="148"/>
        <v>95882554.25</v>
      </c>
      <c r="AA795" s="75">
        <f t="shared" si="149"/>
        <v>0.85562666648776442</v>
      </c>
      <c r="AB795" s="76" t="str">
        <f t="shared" si="150"/>
        <v>Costo ineficiente: se está gastando más de lo presupuestado</v>
      </c>
      <c r="AC795" s="76">
        <f t="shared" si="151"/>
        <v>3.3333333333333335</v>
      </c>
      <c r="AD795" s="76" t="str">
        <f t="shared" si="152"/>
        <v>Proyecto adelantado respecto al cronograma</v>
      </c>
      <c r="AE795" s="77">
        <f t="shared" si="153"/>
        <v>320174868</v>
      </c>
      <c r="AF795" s="77">
        <f t="shared" si="154"/>
        <v>46224713</v>
      </c>
      <c r="AG795" s="78" t="str">
        <f>VLOOKUP(Indicador!E839,[1]Diccionario!C$1:AC$150,27,0)</f>
        <v>https://growdatasas.sharepoint.com/:x:/r/sites/Gestiondocumental/Administrativa/GD/Financiera/_layouts/15/Doc.aspx?sourcedoc=%7B2970928D-0288-4D5D-952F-67732B5D2028%7D&amp;file=251216_MODELO_FINANCIERO_SDH_V.2.0__V7.5%20VF.xlsm&amp;action=default&amp;mobileredirect=true</v>
      </c>
      <c r="AH795" s="78">
        <v>1</v>
      </c>
      <c r="AI795" s="78">
        <v>1</v>
      </c>
      <c r="AJ795" s="78"/>
      <c r="AK795" s="78" t="s">
        <v>319</v>
      </c>
    </row>
    <row r="796" spans="1:37" ht="18.75" customHeight="1" x14ac:dyDescent="0.25">
      <c r="A796" s="64">
        <v>2026</v>
      </c>
      <c r="B796" s="65" t="s">
        <v>48</v>
      </c>
      <c r="C796" s="66" t="s">
        <v>448</v>
      </c>
      <c r="D796" s="67">
        <v>46014.698107638891</v>
      </c>
      <c r="E796" s="66" t="s">
        <v>449</v>
      </c>
      <c r="F796" s="66" t="s">
        <v>40</v>
      </c>
      <c r="G796" s="66" t="s">
        <v>450</v>
      </c>
      <c r="H796" s="66" t="s">
        <v>451</v>
      </c>
      <c r="I796" s="66" t="s">
        <v>63</v>
      </c>
      <c r="J796" s="66" t="s">
        <v>438</v>
      </c>
      <c r="K796" s="66" t="s">
        <v>126</v>
      </c>
      <c r="L796" s="68">
        <f>VLOOKUP(E796,[1]Diccionario!C$2:AC$150,22,0)</f>
        <v>273950155</v>
      </c>
      <c r="M796" s="69">
        <f>VLOOKUP(E796,[1]Diccionario!C$2:AC$150,24,0)</f>
        <v>46023</v>
      </c>
      <c r="N796" s="70">
        <f>VLOOKUP(E796,[1]Diccionario!C$2:AC$150,25,0)</f>
        <v>46387</v>
      </c>
      <c r="O796" s="71">
        <f>VLOOKUP(E796,[1]Diccionario!C$2:AC$150,26,0)</f>
        <v>12</v>
      </c>
      <c r="P796" s="71">
        <f t="shared" si="144"/>
        <v>-9</v>
      </c>
      <c r="Q796" s="71">
        <v>3</v>
      </c>
      <c r="R796" s="66">
        <v>12</v>
      </c>
      <c r="S796" s="72">
        <v>0.2</v>
      </c>
      <c r="T796" s="72"/>
      <c r="U796" s="79"/>
      <c r="V796" s="73"/>
      <c r="W796" s="73">
        <f t="shared" si="145"/>
        <v>0</v>
      </c>
      <c r="X796" s="73">
        <f t="shared" si="146"/>
        <v>54790031</v>
      </c>
      <c r="Y796" s="73">
        <f t="shared" si="147"/>
        <v>0</v>
      </c>
      <c r="Z796" s="73">
        <f t="shared" si="148"/>
        <v>-54790031</v>
      </c>
      <c r="AA796" s="75" t="str">
        <f t="shared" si="149"/>
        <v>No se realizó gasto en este corte</v>
      </c>
      <c r="AB796" s="76" t="str">
        <f t="shared" si="150"/>
        <v>Costo eficiente: se está gastando menos de lo presupuestado</v>
      </c>
      <c r="AC796" s="76">
        <f t="shared" si="151"/>
        <v>0</v>
      </c>
      <c r="AD796" s="76" t="str">
        <f t="shared" si="152"/>
        <v>Sin Línea Base</v>
      </c>
      <c r="AE796" s="77">
        <f t="shared" si="153"/>
        <v>0</v>
      </c>
      <c r="AF796" s="77">
        <f t="shared" si="154"/>
        <v>-273950155</v>
      </c>
      <c r="AG796" s="78" t="str">
        <f>VLOOKUP(Indicador!E840,[1]Diccionario!C$1:AC$150,27,0)</f>
        <v>https://growdatasas.sharepoint.com/:x:/r/sites/Gestiondocumental/Administrativa/GD/Financiera/_layouts/15/Doc.aspx?sourcedoc=%7B2970928D-0288-4D5D-952F-67732B5D2028%7D&amp;file=251216_MODELO_FINANCIERO_SDH_V.2.0__V7.5%20VF.xlsm&amp;action=default&amp;mobileredirect=true</v>
      </c>
      <c r="AH796" s="78">
        <v>1</v>
      </c>
      <c r="AI796" s="78">
        <v>1</v>
      </c>
      <c r="AJ796" s="78"/>
      <c r="AK796" s="78" t="s">
        <v>319</v>
      </c>
    </row>
    <row r="797" spans="1:37" ht="18.75" customHeight="1" x14ac:dyDescent="0.25">
      <c r="A797" s="64">
        <v>2026</v>
      </c>
      <c r="B797" s="65" t="s">
        <v>49</v>
      </c>
      <c r="C797" s="66" t="s">
        <v>448</v>
      </c>
      <c r="D797" s="67">
        <v>46014.698107638891</v>
      </c>
      <c r="E797" s="66" t="s">
        <v>449</v>
      </c>
      <c r="F797" s="66" t="s">
        <v>40</v>
      </c>
      <c r="G797" s="66" t="s">
        <v>450</v>
      </c>
      <c r="H797" s="66" t="s">
        <v>451</v>
      </c>
      <c r="I797" s="66" t="s">
        <v>63</v>
      </c>
      <c r="J797" s="66" t="s">
        <v>438</v>
      </c>
      <c r="K797" s="66" t="s">
        <v>126</v>
      </c>
      <c r="L797" s="68">
        <f>VLOOKUP(E797,[1]Diccionario!C$2:AC$150,22,0)</f>
        <v>273950155</v>
      </c>
      <c r="M797" s="69">
        <f>VLOOKUP(E797,[1]Diccionario!C$2:AC$150,24,0)</f>
        <v>46023</v>
      </c>
      <c r="N797" s="70">
        <f>VLOOKUP(E797,[1]Diccionario!C$2:AC$150,25,0)</f>
        <v>46387</v>
      </c>
      <c r="O797" s="71">
        <f>VLOOKUP(E797,[1]Diccionario!C$2:AC$150,26,0)</f>
        <v>12</v>
      </c>
      <c r="P797" s="71">
        <f t="shared" si="144"/>
        <v>-8</v>
      </c>
      <c r="Q797" s="71">
        <v>4</v>
      </c>
      <c r="R797" s="66">
        <v>12</v>
      </c>
      <c r="S797" s="72">
        <v>0.25</v>
      </c>
      <c r="T797" s="72"/>
      <c r="U797" s="79"/>
      <c r="V797" s="73"/>
      <c r="W797" s="73">
        <f t="shared" si="145"/>
        <v>0</v>
      </c>
      <c r="X797" s="73">
        <f t="shared" si="146"/>
        <v>68487538.75</v>
      </c>
      <c r="Y797" s="73">
        <f t="shared" si="147"/>
        <v>0</v>
      </c>
      <c r="Z797" s="73">
        <f t="shared" si="148"/>
        <v>-68487538.75</v>
      </c>
      <c r="AA797" s="75" t="str">
        <f t="shared" si="149"/>
        <v>No se realizó gasto en este corte</v>
      </c>
      <c r="AB797" s="76" t="str">
        <f t="shared" si="150"/>
        <v>Costo eficiente: se está gastando menos de lo presupuestado</v>
      </c>
      <c r="AC797" s="76">
        <f t="shared" si="151"/>
        <v>0</v>
      </c>
      <c r="AD797" s="76" t="str">
        <f t="shared" si="152"/>
        <v>Sin Línea Base</v>
      </c>
      <c r="AE797" s="77">
        <f t="shared" si="153"/>
        <v>0</v>
      </c>
      <c r="AF797" s="77">
        <f t="shared" si="154"/>
        <v>-273950155</v>
      </c>
      <c r="AG797" s="78" t="str">
        <f>VLOOKUP(Indicador!E841,[1]Diccionario!C$1:AC$150,27,0)</f>
        <v>https://growdatasas.sharepoint.com/:x:/r/sites/Gestiondocumental/Administrativa/GD/Financiera/_layouts/15/Doc.aspx?sourcedoc=%7B2970928D-0288-4D5D-952F-67732B5D2028%7D&amp;file=251216_MODELO_FINANCIERO_SDH_V.2.0__V7.5%20VF.xlsm&amp;action=default&amp;mobileredirect=true</v>
      </c>
      <c r="AH797" s="78">
        <v>1</v>
      </c>
      <c r="AI797" s="78">
        <v>1</v>
      </c>
      <c r="AJ797" s="78"/>
      <c r="AK797" s="78" t="s">
        <v>319</v>
      </c>
    </row>
    <row r="798" spans="1:37" ht="18.75" customHeight="1" x14ac:dyDescent="0.25">
      <c r="A798" s="64">
        <v>2026</v>
      </c>
      <c r="B798" s="65" t="s">
        <v>50</v>
      </c>
      <c r="C798" s="66" t="s">
        <v>448</v>
      </c>
      <c r="D798" s="67">
        <v>46014.698107638891</v>
      </c>
      <c r="E798" s="66" t="s">
        <v>449</v>
      </c>
      <c r="F798" s="66" t="s">
        <v>40</v>
      </c>
      <c r="G798" s="66" t="s">
        <v>450</v>
      </c>
      <c r="H798" s="66" t="s">
        <v>451</v>
      </c>
      <c r="I798" s="66" t="s">
        <v>63</v>
      </c>
      <c r="J798" s="66" t="s">
        <v>438</v>
      </c>
      <c r="K798" s="66" t="s">
        <v>126</v>
      </c>
      <c r="L798" s="68">
        <f>VLOOKUP(E798,[1]Diccionario!C$2:AC$150,22,0)</f>
        <v>273950155</v>
      </c>
      <c r="M798" s="69">
        <f>VLOOKUP(E798,[1]Diccionario!C$2:AC$150,24,0)</f>
        <v>46023</v>
      </c>
      <c r="N798" s="70">
        <f>VLOOKUP(E798,[1]Diccionario!C$2:AC$150,25,0)</f>
        <v>46387</v>
      </c>
      <c r="O798" s="71">
        <f>VLOOKUP(E798,[1]Diccionario!C$2:AC$150,26,0)</f>
        <v>12</v>
      </c>
      <c r="P798" s="71">
        <f t="shared" si="144"/>
        <v>-7</v>
      </c>
      <c r="Q798" s="71">
        <v>5</v>
      </c>
      <c r="R798" s="66">
        <v>12</v>
      </c>
      <c r="S798" s="72">
        <v>0.3</v>
      </c>
      <c r="T798" s="72"/>
      <c r="U798" s="79"/>
      <c r="V798" s="73"/>
      <c r="W798" s="73">
        <f t="shared" si="145"/>
        <v>0</v>
      </c>
      <c r="X798" s="73">
        <f t="shared" si="146"/>
        <v>82185046.5</v>
      </c>
      <c r="Y798" s="73">
        <f t="shared" si="147"/>
        <v>0</v>
      </c>
      <c r="Z798" s="73">
        <f t="shared" si="148"/>
        <v>-82185046.5</v>
      </c>
      <c r="AA798" s="75" t="str">
        <f t="shared" si="149"/>
        <v>No se realizó gasto en este corte</v>
      </c>
      <c r="AB798" s="76" t="str">
        <f t="shared" si="150"/>
        <v>Costo eficiente: se está gastando menos de lo presupuestado</v>
      </c>
      <c r="AC798" s="76">
        <f t="shared" si="151"/>
        <v>0</v>
      </c>
      <c r="AD798" s="76" t="str">
        <f t="shared" si="152"/>
        <v>Sin Línea Base</v>
      </c>
      <c r="AE798" s="77">
        <f t="shared" si="153"/>
        <v>0</v>
      </c>
      <c r="AF798" s="77">
        <f t="shared" si="154"/>
        <v>-273950155</v>
      </c>
      <c r="AG798" s="78" t="str">
        <f>VLOOKUP(Indicador!E842,[1]Diccionario!C$1:AC$150,27,0)</f>
        <v>https://growdatasas.sharepoint.com/:x:/r/sites/Gestiondocumental/Administrativa/GD/Financiera/_layouts/15/Doc.aspx?sourcedoc=%7B2970928D-0288-4D5D-952F-67732B5D2028%7D&amp;file=251216_MODELO_FINANCIERO_SDH_V.2.0__V7.5%20VF.xlsm&amp;action=default&amp;mobileredirect=true</v>
      </c>
      <c r="AH798" s="78">
        <v>1</v>
      </c>
      <c r="AI798" s="78">
        <v>1</v>
      </c>
      <c r="AJ798" s="78"/>
      <c r="AK798" s="78" t="s">
        <v>319</v>
      </c>
    </row>
    <row r="799" spans="1:37" ht="18.75" customHeight="1" x14ac:dyDescent="0.25">
      <c r="A799" s="64">
        <v>2026</v>
      </c>
      <c r="B799" s="65" t="s">
        <v>51</v>
      </c>
      <c r="C799" s="66" t="s">
        <v>448</v>
      </c>
      <c r="D799" s="67">
        <v>46014.698107638891</v>
      </c>
      <c r="E799" s="66" t="s">
        <v>449</v>
      </c>
      <c r="F799" s="66" t="s">
        <v>40</v>
      </c>
      <c r="G799" s="66" t="s">
        <v>450</v>
      </c>
      <c r="H799" s="66" t="s">
        <v>451</v>
      </c>
      <c r="I799" s="66" t="s">
        <v>63</v>
      </c>
      <c r="J799" s="66" t="s">
        <v>438</v>
      </c>
      <c r="K799" s="66" t="s">
        <v>126</v>
      </c>
      <c r="L799" s="68">
        <f>VLOOKUP(E799,[1]Diccionario!C$2:AC$150,22,0)</f>
        <v>273950155</v>
      </c>
      <c r="M799" s="69">
        <f>VLOOKUP(E799,[1]Diccionario!C$2:AC$150,24,0)</f>
        <v>46023</v>
      </c>
      <c r="N799" s="70">
        <f>VLOOKUP(E799,[1]Diccionario!C$2:AC$150,25,0)</f>
        <v>46387</v>
      </c>
      <c r="O799" s="71">
        <f>VLOOKUP(E799,[1]Diccionario!C$2:AC$150,26,0)</f>
        <v>12</v>
      </c>
      <c r="P799" s="71">
        <f t="shared" si="144"/>
        <v>-6</v>
      </c>
      <c r="Q799" s="71">
        <v>6</v>
      </c>
      <c r="R799" s="66">
        <v>12</v>
      </c>
      <c r="S799" s="72">
        <v>0.4</v>
      </c>
      <c r="T799" s="72"/>
      <c r="U799" s="79"/>
      <c r="V799" s="73"/>
      <c r="W799" s="73">
        <f t="shared" si="145"/>
        <v>0</v>
      </c>
      <c r="X799" s="73">
        <f t="shared" si="146"/>
        <v>109580062</v>
      </c>
      <c r="Y799" s="73">
        <f t="shared" si="147"/>
        <v>0</v>
      </c>
      <c r="Z799" s="73">
        <f t="shared" si="148"/>
        <v>-109580062</v>
      </c>
      <c r="AA799" s="75" t="str">
        <f t="shared" si="149"/>
        <v>No se realizó gasto en este corte</v>
      </c>
      <c r="AB799" s="76" t="str">
        <f t="shared" si="150"/>
        <v>Costo eficiente: se está gastando menos de lo presupuestado</v>
      </c>
      <c r="AC799" s="76">
        <f t="shared" si="151"/>
        <v>0</v>
      </c>
      <c r="AD799" s="76" t="str">
        <f t="shared" si="152"/>
        <v>Sin Línea Base</v>
      </c>
      <c r="AE799" s="77">
        <f t="shared" si="153"/>
        <v>0</v>
      </c>
      <c r="AF799" s="77">
        <f t="shared" si="154"/>
        <v>-273950155</v>
      </c>
      <c r="AG799" s="78" t="str">
        <f>VLOOKUP(Indicador!E843,[1]Diccionario!C$1:AC$150,27,0)</f>
        <v>https://growdatasas.sharepoint.com/:x:/r/sites/Gestiondocumental/Administrativa/GD/Financiera/_layouts/15/Doc.aspx?sourcedoc=%7B2970928D-0288-4D5D-952F-67732B5D2028%7D&amp;file=251216_MODELO_FINANCIERO_SDH_V.2.0__V7.5%20VF.xlsm&amp;action=default&amp;mobileredirect=true</v>
      </c>
      <c r="AH799" s="78">
        <v>1</v>
      </c>
      <c r="AI799" s="78">
        <v>1</v>
      </c>
      <c r="AJ799" s="78"/>
      <c r="AK799" s="78" t="s">
        <v>319</v>
      </c>
    </row>
    <row r="800" spans="1:37" ht="18.75" customHeight="1" x14ac:dyDescent="0.25">
      <c r="A800" s="64">
        <v>2026</v>
      </c>
      <c r="B800" s="65" t="s">
        <v>52</v>
      </c>
      <c r="C800" s="66" t="s">
        <v>448</v>
      </c>
      <c r="D800" s="67">
        <v>46014.698107638891</v>
      </c>
      <c r="E800" s="66" t="s">
        <v>449</v>
      </c>
      <c r="F800" s="66" t="s">
        <v>40</v>
      </c>
      <c r="G800" s="66" t="s">
        <v>450</v>
      </c>
      <c r="H800" s="66" t="s">
        <v>451</v>
      </c>
      <c r="I800" s="66" t="s">
        <v>63</v>
      </c>
      <c r="J800" s="66" t="s">
        <v>438</v>
      </c>
      <c r="K800" s="66" t="s">
        <v>126</v>
      </c>
      <c r="L800" s="68">
        <f>VLOOKUP(E800,[1]Diccionario!C$2:AC$150,22,0)</f>
        <v>273950155</v>
      </c>
      <c r="M800" s="69">
        <f>VLOOKUP(E800,[1]Diccionario!C$2:AC$150,24,0)</f>
        <v>46023</v>
      </c>
      <c r="N800" s="70">
        <f>VLOOKUP(E800,[1]Diccionario!C$2:AC$150,25,0)</f>
        <v>46387</v>
      </c>
      <c r="O800" s="71">
        <f>VLOOKUP(E800,[1]Diccionario!C$2:AC$150,26,0)</f>
        <v>12</v>
      </c>
      <c r="P800" s="71">
        <f t="shared" si="144"/>
        <v>-5</v>
      </c>
      <c r="Q800" s="71">
        <v>7</v>
      </c>
      <c r="R800" s="66">
        <v>12</v>
      </c>
      <c r="S800" s="72">
        <v>0.5</v>
      </c>
      <c r="T800" s="72"/>
      <c r="U800" s="79"/>
      <c r="V800" s="73"/>
      <c r="W800" s="73">
        <f t="shared" si="145"/>
        <v>0</v>
      </c>
      <c r="X800" s="73">
        <f t="shared" si="146"/>
        <v>136975077.5</v>
      </c>
      <c r="Y800" s="73">
        <f t="shared" si="147"/>
        <v>0</v>
      </c>
      <c r="Z800" s="73">
        <f t="shared" si="148"/>
        <v>-136975077.5</v>
      </c>
      <c r="AA800" s="75" t="str">
        <f t="shared" si="149"/>
        <v>No se realizó gasto en este corte</v>
      </c>
      <c r="AB800" s="76" t="str">
        <f t="shared" si="150"/>
        <v>Costo eficiente: se está gastando menos de lo presupuestado</v>
      </c>
      <c r="AC800" s="76">
        <f t="shared" si="151"/>
        <v>0</v>
      </c>
      <c r="AD800" s="76" t="str">
        <f t="shared" si="152"/>
        <v>Sin Línea Base</v>
      </c>
      <c r="AE800" s="77">
        <f t="shared" si="153"/>
        <v>0</v>
      </c>
      <c r="AF800" s="77">
        <f t="shared" si="154"/>
        <v>-273950155</v>
      </c>
      <c r="AG800" s="78" t="str">
        <f>VLOOKUP(Indicador!E844,[1]Diccionario!C$1:AC$150,27,0)</f>
        <v>https://growdatasas.sharepoint.com/:x:/r/sites/Gestiondocumental/Administrativa/GD/Financiera/_layouts/15/Doc.aspx?sourcedoc=%7B2970928D-0288-4D5D-952F-67732B5D2028%7D&amp;file=251216_MODELO_FINANCIERO_SDH_V.2.0__V7.5%20VF.xlsm&amp;action=default&amp;mobileredirect=true</v>
      </c>
      <c r="AH800" s="78">
        <v>1</v>
      </c>
      <c r="AI800" s="78">
        <v>1</v>
      </c>
      <c r="AJ800" s="78"/>
      <c r="AK800" s="78" t="s">
        <v>319</v>
      </c>
    </row>
    <row r="801" spans="1:37" ht="18.75" customHeight="1" x14ac:dyDescent="0.25">
      <c r="A801" s="64">
        <v>2026</v>
      </c>
      <c r="B801" s="65" t="s">
        <v>53</v>
      </c>
      <c r="C801" s="66" t="s">
        <v>448</v>
      </c>
      <c r="D801" s="67">
        <v>46014.698107638891</v>
      </c>
      <c r="E801" s="66" t="s">
        <v>449</v>
      </c>
      <c r="F801" s="66" t="s">
        <v>40</v>
      </c>
      <c r="G801" s="66" t="s">
        <v>450</v>
      </c>
      <c r="H801" s="66" t="s">
        <v>451</v>
      </c>
      <c r="I801" s="66" t="s">
        <v>63</v>
      </c>
      <c r="J801" s="66" t="s">
        <v>438</v>
      </c>
      <c r="K801" s="66" t="s">
        <v>126</v>
      </c>
      <c r="L801" s="68">
        <f>VLOOKUP(E801,[1]Diccionario!C$2:AC$150,22,0)</f>
        <v>273950155</v>
      </c>
      <c r="M801" s="69">
        <f>VLOOKUP(E801,[1]Diccionario!C$2:AC$150,24,0)</f>
        <v>46023</v>
      </c>
      <c r="N801" s="70">
        <f>VLOOKUP(E801,[1]Diccionario!C$2:AC$150,25,0)</f>
        <v>46387</v>
      </c>
      <c r="O801" s="71">
        <f>VLOOKUP(E801,[1]Diccionario!C$2:AC$150,26,0)</f>
        <v>12</v>
      </c>
      <c r="P801" s="71">
        <f t="shared" si="144"/>
        <v>-4</v>
      </c>
      <c r="Q801" s="71">
        <v>8</v>
      </c>
      <c r="R801" s="66">
        <v>12</v>
      </c>
      <c r="S801" s="72">
        <v>0.6</v>
      </c>
      <c r="T801" s="72"/>
      <c r="U801" s="79"/>
      <c r="V801" s="73"/>
      <c r="W801" s="73">
        <f t="shared" si="145"/>
        <v>0</v>
      </c>
      <c r="X801" s="73">
        <f t="shared" si="146"/>
        <v>164370093</v>
      </c>
      <c r="Y801" s="73">
        <f t="shared" si="147"/>
        <v>0</v>
      </c>
      <c r="Z801" s="73">
        <f t="shared" si="148"/>
        <v>-164370093</v>
      </c>
      <c r="AA801" s="75" t="str">
        <f t="shared" si="149"/>
        <v>No se realizó gasto en este corte</v>
      </c>
      <c r="AB801" s="76" t="str">
        <f t="shared" si="150"/>
        <v>Costo eficiente: se está gastando menos de lo presupuestado</v>
      </c>
      <c r="AC801" s="76">
        <f t="shared" si="151"/>
        <v>0</v>
      </c>
      <c r="AD801" s="76" t="str">
        <f t="shared" si="152"/>
        <v>Sin Línea Base</v>
      </c>
      <c r="AE801" s="77">
        <f t="shared" si="153"/>
        <v>0</v>
      </c>
      <c r="AF801" s="77">
        <f t="shared" si="154"/>
        <v>-273950155</v>
      </c>
      <c r="AG801" s="78" t="str">
        <f>VLOOKUP(Indicador!E845,[1]Diccionario!C$1:AC$150,27,0)</f>
        <v>https://growdatasas.sharepoint.com/:x:/r/sites/Gestiondocumental/Administrativa/GD/Financiera/_layouts/15/Doc.aspx?sourcedoc=%7B2970928D-0288-4D5D-952F-67732B5D2028%7D&amp;file=251216_MODELO_FINANCIERO_SDH_V.2.0__V7.5%20VF.xlsm&amp;action=default&amp;mobileredirect=true</v>
      </c>
      <c r="AH801" s="78">
        <v>1</v>
      </c>
      <c r="AI801" s="78">
        <v>1</v>
      </c>
      <c r="AJ801" s="78"/>
      <c r="AK801" s="78" t="s">
        <v>319</v>
      </c>
    </row>
    <row r="802" spans="1:37" ht="18.75" customHeight="1" x14ac:dyDescent="0.25">
      <c r="A802" s="64">
        <v>2026</v>
      </c>
      <c r="B802" s="65" t="s">
        <v>54</v>
      </c>
      <c r="C802" s="66" t="s">
        <v>448</v>
      </c>
      <c r="D802" s="67">
        <v>46014.698107638891</v>
      </c>
      <c r="E802" s="66" t="s">
        <v>449</v>
      </c>
      <c r="F802" s="66" t="s">
        <v>40</v>
      </c>
      <c r="G802" s="66" t="s">
        <v>450</v>
      </c>
      <c r="H802" s="66" t="s">
        <v>451</v>
      </c>
      <c r="I802" s="66" t="s">
        <v>63</v>
      </c>
      <c r="J802" s="66" t="s">
        <v>438</v>
      </c>
      <c r="K802" s="66" t="s">
        <v>126</v>
      </c>
      <c r="L802" s="68">
        <f>VLOOKUP(E802,[1]Diccionario!C$2:AC$150,22,0)</f>
        <v>273950155</v>
      </c>
      <c r="M802" s="69">
        <f>VLOOKUP(E802,[1]Diccionario!C$2:AC$150,24,0)</f>
        <v>46023</v>
      </c>
      <c r="N802" s="70">
        <f>VLOOKUP(E802,[1]Diccionario!C$2:AC$150,25,0)</f>
        <v>46387</v>
      </c>
      <c r="O802" s="71">
        <f>VLOOKUP(E802,[1]Diccionario!C$2:AC$150,26,0)</f>
        <v>12</v>
      </c>
      <c r="P802" s="71">
        <f t="shared" si="144"/>
        <v>-3</v>
      </c>
      <c r="Q802" s="71">
        <v>9</v>
      </c>
      <c r="R802" s="66">
        <v>12</v>
      </c>
      <c r="S802" s="72">
        <v>0.7</v>
      </c>
      <c r="T802" s="72"/>
      <c r="U802" s="79"/>
      <c r="V802" s="73"/>
      <c r="W802" s="73">
        <f t="shared" si="145"/>
        <v>0</v>
      </c>
      <c r="X802" s="73">
        <f t="shared" si="146"/>
        <v>191765108.5</v>
      </c>
      <c r="Y802" s="73">
        <f t="shared" si="147"/>
        <v>0</v>
      </c>
      <c r="Z802" s="73">
        <f t="shared" si="148"/>
        <v>-191765108.5</v>
      </c>
      <c r="AA802" s="75" t="str">
        <f t="shared" si="149"/>
        <v>No se realizó gasto en este corte</v>
      </c>
      <c r="AB802" s="76" t="str">
        <f t="shared" si="150"/>
        <v>Costo eficiente: se está gastando menos de lo presupuestado</v>
      </c>
      <c r="AC802" s="76">
        <f t="shared" si="151"/>
        <v>0</v>
      </c>
      <c r="AD802" s="76" t="str">
        <f t="shared" si="152"/>
        <v>Sin Línea Base</v>
      </c>
      <c r="AE802" s="77">
        <f t="shared" si="153"/>
        <v>0</v>
      </c>
      <c r="AF802" s="77">
        <f t="shared" si="154"/>
        <v>-273950155</v>
      </c>
      <c r="AG802" s="78" t="str">
        <f>VLOOKUP(Indicador!E846,[1]Diccionario!C$1:AC$150,27,0)</f>
        <v>https://growdatasas.sharepoint.com/:x:/r/sites/Gestiondocumental/Administrativa/GD/Financiera/_layouts/15/Doc.aspx?sourcedoc=%7B2970928D-0288-4D5D-952F-67732B5D2028%7D&amp;file=251216_MODELO_FINANCIERO_SDH_V.2.0__V7.5%20VF.xlsm&amp;action=default&amp;mobileredirect=true</v>
      </c>
      <c r="AH802" s="78">
        <v>1</v>
      </c>
      <c r="AI802" s="78">
        <v>1</v>
      </c>
      <c r="AJ802" s="78"/>
      <c r="AK802" s="78" t="s">
        <v>319</v>
      </c>
    </row>
    <row r="803" spans="1:37" ht="18.75" customHeight="1" x14ac:dyDescent="0.25">
      <c r="A803" s="64">
        <v>2026</v>
      </c>
      <c r="B803" s="65" t="s">
        <v>55</v>
      </c>
      <c r="C803" s="66" t="s">
        <v>448</v>
      </c>
      <c r="D803" s="67">
        <v>46014.698107638891</v>
      </c>
      <c r="E803" s="66" t="s">
        <v>449</v>
      </c>
      <c r="F803" s="66" t="s">
        <v>40</v>
      </c>
      <c r="G803" s="66" t="s">
        <v>450</v>
      </c>
      <c r="H803" s="66" t="s">
        <v>451</v>
      </c>
      <c r="I803" s="66" t="s">
        <v>63</v>
      </c>
      <c r="J803" s="66" t="s">
        <v>438</v>
      </c>
      <c r="K803" s="66" t="s">
        <v>126</v>
      </c>
      <c r="L803" s="68">
        <f>VLOOKUP(E803,[1]Diccionario!C$2:AC$150,22,0)</f>
        <v>273950155</v>
      </c>
      <c r="M803" s="69">
        <f>VLOOKUP(E803,[1]Diccionario!C$2:AC$150,24,0)</f>
        <v>46023</v>
      </c>
      <c r="N803" s="70">
        <f>VLOOKUP(E803,[1]Diccionario!C$2:AC$150,25,0)</f>
        <v>46387</v>
      </c>
      <c r="O803" s="71">
        <f>VLOOKUP(E803,[1]Diccionario!C$2:AC$150,26,0)</f>
        <v>12</v>
      </c>
      <c r="P803" s="71">
        <f t="shared" si="144"/>
        <v>-2</v>
      </c>
      <c r="Q803" s="71">
        <v>10</v>
      </c>
      <c r="R803" s="66">
        <v>12</v>
      </c>
      <c r="S803" s="72">
        <v>0.8</v>
      </c>
      <c r="T803" s="72"/>
      <c r="U803" s="79"/>
      <c r="V803" s="73"/>
      <c r="W803" s="73">
        <f t="shared" si="145"/>
        <v>0</v>
      </c>
      <c r="X803" s="73">
        <f t="shared" si="146"/>
        <v>219160124</v>
      </c>
      <c r="Y803" s="73">
        <f t="shared" si="147"/>
        <v>0</v>
      </c>
      <c r="Z803" s="73">
        <f t="shared" si="148"/>
        <v>-219160124</v>
      </c>
      <c r="AA803" s="75" t="str">
        <f t="shared" si="149"/>
        <v>No se realizó gasto en este corte</v>
      </c>
      <c r="AB803" s="76" t="str">
        <f t="shared" si="150"/>
        <v>Costo eficiente: se está gastando menos de lo presupuestado</v>
      </c>
      <c r="AC803" s="76">
        <f t="shared" si="151"/>
        <v>0</v>
      </c>
      <c r="AD803" s="76" t="str">
        <f t="shared" si="152"/>
        <v>Sin Línea Base</v>
      </c>
      <c r="AE803" s="77">
        <f t="shared" si="153"/>
        <v>0</v>
      </c>
      <c r="AF803" s="77">
        <f t="shared" si="154"/>
        <v>-273950155</v>
      </c>
      <c r="AG803" s="78" t="str">
        <f>VLOOKUP(Indicador!E847,[1]Diccionario!C$1:AC$150,27,0)</f>
        <v>https://growdatasas.sharepoint.com/:x:/r/sites/Gestiondocumental/Administrativa/GD/Financiera/_layouts/15/Doc.aspx?sourcedoc=%7B2970928D-0288-4D5D-952F-67732B5D2028%7D&amp;file=251216_MODELO_FINANCIERO_SDH_V.2.0__V7.5%20VF.xlsm&amp;action=default&amp;mobileredirect=true</v>
      </c>
      <c r="AH803" s="78">
        <v>1</v>
      </c>
      <c r="AI803" s="78">
        <v>1</v>
      </c>
      <c r="AJ803" s="78"/>
      <c r="AK803" s="78" t="s">
        <v>319</v>
      </c>
    </row>
    <row r="804" spans="1:37" ht="18.75" customHeight="1" x14ac:dyDescent="0.25">
      <c r="A804" s="64">
        <v>2026</v>
      </c>
      <c r="B804" s="65" t="s">
        <v>56</v>
      </c>
      <c r="C804" s="66" t="s">
        <v>448</v>
      </c>
      <c r="D804" s="67">
        <v>46014.698107638891</v>
      </c>
      <c r="E804" s="66" t="s">
        <v>449</v>
      </c>
      <c r="F804" s="66" t="s">
        <v>40</v>
      </c>
      <c r="G804" s="66" t="s">
        <v>450</v>
      </c>
      <c r="H804" s="66" t="s">
        <v>451</v>
      </c>
      <c r="I804" s="66" t="s">
        <v>63</v>
      </c>
      <c r="J804" s="66" t="s">
        <v>438</v>
      </c>
      <c r="K804" s="66" t="s">
        <v>126</v>
      </c>
      <c r="L804" s="68">
        <f>VLOOKUP(E804,[1]Diccionario!C$2:AC$150,22,0)</f>
        <v>273950155</v>
      </c>
      <c r="M804" s="69">
        <f>VLOOKUP(E804,[1]Diccionario!C$2:AC$150,24,0)</f>
        <v>46023</v>
      </c>
      <c r="N804" s="70">
        <f>VLOOKUP(E804,[1]Diccionario!C$2:AC$150,25,0)</f>
        <v>46387</v>
      </c>
      <c r="O804" s="71">
        <f>VLOOKUP(E804,[1]Diccionario!C$2:AC$150,26,0)</f>
        <v>12</v>
      </c>
      <c r="P804" s="71">
        <f t="shared" si="144"/>
        <v>-1</v>
      </c>
      <c r="Q804" s="71">
        <v>11</v>
      </c>
      <c r="R804" s="66">
        <v>12</v>
      </c>
      <c r="S804" s="72">
        <v>0.9</v>
      </c>
      <c r="T804" s="72"/>
      <c r="U804" s="79"/>
      <c r="V804" s="73"/>
      <c r="W804" s="73">
        <f t="shared" si="145"/>
        <v>0</v>
      </c>
      <c r="X804" s="73">
        <f t="shared" si="146"/>
        <v>246555139.5</v>
      </c>
      <c r="Y804" s="73">
        <f t="shared" si="147"/>
        <v>0</v>
      </c>
      <c r="Z804" s="73">
        <f t="shared" si="148"/>
        <v>-246555139.5</v>
      </c>
      <c r="AA804" s="75" t="str">
        <f t="shared" si="149"/>
        <v>No se realizó gasto en este corte</v>
      </c>
      <c r="AB804" s="76" t="str">
        <f t="shared" si="150"/>
        <v>Costo eficiente: se está gastando menos de lo presupuestado</v>
      </c>
      <c r="AC804" s="76">
        <f t="shared" si="151"/>
        <v>0</v>
      </c>
      <c r="AD804" s="76" t="str">
        <f t="shared" si="152"/>
        <v>Sin Línea Base</v>
      </c>
      <c r="AE804" s="77">
        <f t="shared" si="153"/>
        <v>0</v>
      </c>
      <c r="AF804" s="77">
        <f t="shared" si="154"/>
        <v>-273950155</v>
      </c>
      <c r="AG804" s="78" t="str">
        <f>VLOOKUP(Indicador!E848,[1]Diccionario!C$1:AC$150,27,0)</f>
        <v>https://growdatasas.sharepoint.com/:x:/r/sites/Gestiondocumental/Administrativa/GD/Financiera/_layouts/15/Doc.aspx?sourcedoc=%7B2970928D-0288-4D5D-952F-67732B5D2028%7D&amp;file=251216_MODELO_FINANCIERO_SDH_V.2.0__V7.5%20VF.xlsm&amp;action=default&amp;mobileredirect=true</v>
      </c>
      <c r="AH804" s="78">
        <v>1</v>
      </c>
      <c r="AI804" s="78">
        <v>1</v>
      </c>
      <c r="AJ804" s="78"/>
      <c r="AK804" s="78" t="s">
        <v>319</v>
      </c>
    </row>
    <row r="805" spans="1:37" ht="18.75" customHeight="1" x14ac:dyDescent="0.25">
      <c r="A805" s="64">
        <v>2026</v>
      </c>
      <c r="B805" s="65" t="s">
        <v>57</v>
      </c>
      <c r="C805" s="66" t="s">
        <v>448</v>
      </c>
      <c r="D805" s="67">
        <v>46014.698107638891</v>
      </c>
      <c r="E805" s="66" t="s">
        <v>449</v>
      </c>
      <c r="F805" s="66" t="s">
        <v>40</v>
      </c>
      <c r="G805" s="66" t="s">
        <v>450</v>
      </c>
      <c r="H805" s="66" t="s">
        <v>451</v>
      </c>
      <c r="I805" s="66" t="s">
        <v>63</v>
      </c>
      <c r="J805" s="66" t="s">
        <v>438</v>
      </c>
      <c r="K805" s="66" t="s">
        <v>126</v>
      </c>
      <c r="L805" s="68">
        <f>VLOOKUP(E805,[1]Diccionario!C$2:AC$150,22,0)</f>
        <v>273950155</v>
      </c>
      <c r="M805" s="69">
        <f>VLOOKUP(E805,[1]Diccionario!C$2:AC$150,24,0)</f>
        <v>46023</v>
      </c>
      <c r="N805" s="70">
        <f>VLOOKUP(E805,[1]Diccionario!C$2:AC$150,25,0)</f>
        <v>46387</v>
      </c>
      <c r="O805" s="71">
        <f>VLOOKUP(E805,[1]Diccionario!C$2:AC$150,26,0)</f>
        <v>12</v>
      </c>
      <c r="P805" s="71">
        <f t="shared" si="144"/>
        <v>0</v>
      </c>
      <c r="Q805" s="71">
        <v>12</v>
      </c>
      <c r="R805" s="66">
        <v>12</v>
      </c>
      <c r="S805" s="72">
        <v>1</v>
      </c>
      <c r="T805" s="72"/>
      <c r="U805" s="79"/>
      <c r="V805" s="73"/>
      <c r="W805" s="73">
        <f t="shared" si="145"/>
        <v>0</v>
      </c>
      <c r="X805" s="73">
        <f t="shared" si="146"/>
        <v>273950155</v>
      </c>
      <c r="Y805" s="73">
        <f t="shared" si="147"/>
        <v>0</v>
      </c>
      <c r="Z805" s="73">
        <f t="shared" si="148"/>
        <v>-273950155</v>
      </c>
      <c r="AA805" s="75" t="str">
        <f t="shared" si="149"/>
        <v>No se realizó gasto en este corte</v>
      </c>
      <c r="AB805" s="76" t="str">
        <f t="shared" si="150"/>
        <v>Costo eficiente: se está gastando menos de lo presupuestado</v>
      </c>
      <c r="AC805" s="76">
        <f t="shared" si="151"/>
        <v>0</v>
      </c>
      <c r="AD805" s="76" t="str">
        <f t="shared" si="152"/>
        <v>Sin Línea Base</v>
      </c>
      <c r="AE805" s="77">
        <f t="shared" si="153"/>
        <v>0</v>
      </c>
      <c r="AF805" s="77">
        <f t="shared" si="154"/>
        <v>-273950155</v>
      </c>
      <c r="AG805" s="78" t="str">
        <f>VLOOKUP(Indicador!E849,[1]Diccionario!C$1:AC$150,27,0)</f>
        <v>https://growdatasas.sharepoint.com/:x:/r/sites/Gestiondocumental/Administrativa/GD/Financiera/_layouts/15/Doc.aspx?sourcedoc=%7B2970928D-0288-4D5D-952F-67732B5D2028%7D&amp;file=251216_MODELO_FINANCIERO_SDH_V.2.0__V7.5%20VF.xlsm&amp;action=default&amp;mobileredirect=true</v>
      </c>
      <c r="AH805" s="78">
        <v>1</v>
      </c>
      <c r="AI805" s="78">
        <v>1</v>
      </c>
      <c r="AJ805" s="78"/>
      <c r="AK805" s="78" t="s">
        <v>319</v>
      </c>
    </row>
    <row r="806" spans="1:37" ht="18.75" customHeight="1" x14ac:dyDescent="0.25">
      <c r="A806" s="64">
        <v>2025</v>
      </c>
      <c r="B806" s="65" t="s">
        <v>56</v>
      </c>
      <c r="C806" s="66" t="s">
        <v>452</v>
      </c>
      <c r="D806" s="67">
        <v>46020.703303703704</v>
      </c>
      <c r="E806" s="66" t="s">
        <v>453</v>
      </c>
      <c r="F806" s="66" t="s">
        <v>95</v>
      </c>
      <c r="G806" s="66" t="s">
        <v>454</v>
      </c>
      <c r="H806" s="66" t="s">
        <v>455</v>
      </c>
      <c r="I806" s="66" t="s">
        <v>78</v>
      </c>
      <c r="J806" s="66" t="s">
        <v>456</v>
      </c>
      <c r="K806" s="66" t="s">
        <v>45</v>
      </c>
      <c r="L806" s="68">
        <f>VLOOKUP(E806,[1]Diccionario!C$2:AC$150,22,0)</f>
        <v>484465444</v>
      </c>
      <c r="M806" s="69">
        <f>VLOOKUP(E806,[1]Diccionario!C$2:AC$150,24,0)</f>
        <v>45965</v>
      </c>
      <c r="N806" s="70">
        <f>VLOOKUP(E806,[1]Diccionario!C$2:AC$150,25,0)</f>
        <v>46695</v>
      </c>
      <c r="O806" s="71">
        <f>VLOOKUP(E806,[1]Diccionario!C$2:AC$150,26,0)</f>
        <v>24</v>
      </c>
      <c r="P806" s="71">
        <f t="shared" si="144"/>
        <v>-23</v>
      </c>
      <c r="Q806" s="71">
        <v>1</v>
      </c>
      <c r="R806" s="66">
        <v>25</v>
      </c>
      <c r="S806" s="72">
        <v>0.05</v>
      </c>
      <c r="T806" s="72">
        <v>0.05</v>
      </c>
      <c r="U806" s="93">
        <f>TablaIndicador[[#This Row],[Costo Mensual]]</f>
        <v>359238432.67000002</v>
      </c>
      <c r="V806" s="74">
        <v>359238432.67000002</v>
      </c>
      <c r="W806" s="73">
        <f t="shared" si="145"/>
        <v>24223272.200000003</v>
      </c>
      <c r="X806" s="73">
        <f t="shared" si="146"/>
        <v>24223272.200000003</v>
      </c>
      <c r="Y806" s="73">
        <f t="shared" si="147"/>
        <v>-335015160.47000003</v>
      </c>
      <c r="Z806" s="73">
        <f t="shared" si="148"/>
        <v>0</v>
      </c>
      <c r="AA806" s="75">
        <f t="shared" si="149"/>
        <v>6.7429511981675253E-2</v>
      </c>
      <c r="AB806" s="76" t="str">
        <f t="shared" si="150"/>
        <v>Costo ineficiente: se está gastando más de lo presupuestado</v>
      </c>
      <c r="AC806" s="76">
        <f t="shared" si="151"/>
        <v>1</v>
      </c>
      <c r="AD806" s="76" t="str">
        <f t="shared" si="152"/>
        <v>Proyecto a tiempo según lo planificado</v>
      </c>
      <c r="AE806" s="77">
        <f t="shared" si="153"/>
        <v>7184768653.3999987</v>
      </c>
      <c r="AF806" s="77">
        <f t="shared" si="154"/>
        <v>6700303209.3999987</v>
      </c>
      <c r="AG806" s="78">
        <f>VLOOKUP(Indicador!E754,[1]Diccionario!C$1:AC$150,27,0)</f>
        <v>0</v>
      </c>
      <c r="AH806" s="78">
        <v>1</v>
      </c>
      <c r="AI806" s="78">
        <v>1</v>
      </c>
      <c r="AJ806" s="78"/>
      <c r="AK806" s="78" t="s">
        <v>319</v>
      </c>
    </row>
    <row r="807" spans="1:37" ht="18.75" customHeight="1" x14ac:dyDescent="0.25">
      <c r="A807" s="64">
        <v>2025</v>
      </c>
      <c r="B807" s="65" t="s">
        <v>57</v>
      </c>
      <c r="C807" s="66" t="s">
        <v>452</v>
      </c>
      <c r="D807" s="67">
        <v>46020.703303703704</v>
      </c>
      <c r="E807" s="66" t="s">
        <v>453</v>
      </c>
      <c r="F807" s="66" t="s">
        <v>95</v>
      </c>
      <c r="G807" s="66" t="s">
        <v>454</v>
      </c>
      <c r="H807" s="66" t="s">
        <v>455</v>
      </c>
      <c r="I807" s="66" t="s">
        <v>78</v>
      </c>
      <c r="J807" s="66" t="s">
        <v>456</v>
      </c>
      <c r="K807" s="66" t="s">
        <v>45</v>
      </c>
      <c r="L807" s="68">
        <f>VLOOKUP(E807,[1]Diccionario!C$2:AC$150,22,0)</f>
        <v>484465444</v>
      </c>
      <c r="M807" s="69">
        <f>VLOOKUP(E807,[1]Diccionario!C$2:AC$150,24,0)</f>
        <v>45965</v>
      </c>
      <c r="N807" s="70">
        <f>VLOOKUP(E807,[1]Diccionario!C$2:AC$150,25,0)</f>
        <v>46695</v>
      </c>
      <c r="O807" s="71">
        <f>VLOOKUP(E807,[1]Diccionario!C$2:AC$150,26,0)</f>
        <v>24</v>
      </c>
      <c r="P807" s="71">
        <f t="shared" si="144"/>
        <v>-22</v>
      </c>
      <c r="Q807" s="71">
        <v>2</v>
      </c>
      <c r="R807" s="66">
        <v>25</v>
      </c>
      <c r="S807" s="72">
        <v>0.1</v>
      </c>
      <c r="T807" s="72">
        <v>0.1</v>
      </c>
      <c r="U807" s="93">
        <f>U806+TablaIndicador[[#This Row],[Costo Mensual]]</f>
        <v>373557082.87</v>
      </c>
      <c r="V807" s="74">
        <v>14318650.199999999</v>
      </c>
      <c r="W807" s="73">
        <f t="shared" si="145"/>
        <v>48446544.400000006</v>
      </c>
      <c r="X807" s="73">
        <f t="shared" si="146"/>
        <v>48446544.400000006</v>
      </c>
      <c r="Y807" s="73">
        <f t="shared" si="147"/>
        <v>-325110538.47000003</v>
      </c>
      <c r="Z807" s="73">
        <f t="shared" si="148"/>
        <v>0</v>
      </c>
      <c r="AA807" s="75">
        <f t="shared" si="149"/>
        <v>0.12968980276800074</v>
      </c>
      <c r="AB807" s="76" t="str">
        <f t="shared" si="150"/>
        <v>Costo ineficiente: se está gastando más de lo presupuestado</v>
      </c>
      <c r="AC807" s="76">
        <f t="shared" si="151"/>
        <v>1</v>
      </c>
      <c r="AD807" s="76" t="str">
        <f t="shared" si="152"/>
        <v>Proyecto a tiempo según lo planificado</v>
      </c>
      <c r="AE807" s="77">
        <f t="shared" si="153"/>
        <v>3735570828.6999993</v>
      </c>
      <c r="AF807" s="77">
        <f t="shared" si="154"/>
        <v>3251105384.6999993</v>
      </c>
      <c r="AG807" s="78">
        <f>VLOOKUP(Indicador!E755,[1]Diccionario!C$1:AC$150,27,0)</f>
        <v>0</v>
      </c>
      <c r="AH807" s="78">
        <v>1</v>
      </c>
      <c r="AI807" s="78">
        <v>1</v>
      </c>
      <c r="AJ807" s="78"/>
      <c r="AK807" s="78" t="s">
        <v>319</v>
      </c>
    </row>
    <row r="808" spans="1:37" ht="18.75" customHeight="1" x14ac:dyDescent="0.25">
      <c r="A808" s="64">
        <v>2026</v>
      </c>
      <c r="B808" s="65" t="s">
        <v>37</v>
      </c>
      <c r="C808" s="66" t="s">
        <v>452</v>
      </c>
      <c r="D808" s="67">
        <v>46020.703303703704</v>
      </c>
      <c r="E808" s="66" t="s">
        <v>453</v>
      </c>
      <c r="F808" s="66" t="s">
        <v>95</v>
      </c>
      <c r="G808" s="66" t="s">
        <v>454</v>
      </c>
      <c r="H808" s="66" t="s">
        <v>455</v>
      </c>
      <c r="I808" s="66" t="s">
        <v>78</v>
      </c>
      <c r="J808" s="66" t="s">
        <v>456</v>
      </c>
      <c r="K808" s="66" t="s">
        <v>45</v>
      </c>
      <c r="L808" s="68">
        <f>VLOOKUP(E808,[1]Diccionario!C$2:AC$150,22,0)</f>
        <v>484465444</v>
      </c>
      <c r="M808" s="69">
        <f>VLOOKUP(E808,[1]Diccionario!C$2:AC$150,24,0)</f>
        <v>45965</v>
      </c>
      <c r="N808" s="70">
        <f>VLOOKUP(E808,[1]Diccionario!C$2:AC$150,25,0)</f>
        <v>46695</v>
      </c>
      <c r="O808" s="71">
        <f>VLOOKUP(E808,[1]Diccionario!C$2:AC$150,26,0)</f>
        <v>24</v>
      </c>
      <c r="P808" s="71">
        <f t="shared" si="144"/>
        <v>-21</v>
      </c>
      <c r="Q808" s="71">
        <v>3</v>
      </c>
      <c r="R808" s="66">
        <v>25</v>
      </c>
      <c r="S808" s="72">
        <v>0.15</v>
      </c>
      <c r="T808" s="72">
        <v>0.15</v>
      </c>
      <c r="U808" s="93">
        <f>U807+TablaIndicador[[#This Row],[Costo Mensual]]</f>
        <v>373557082.87</v>
      </c>
      <c r="V808" s="94">
        <v>0</v>
      </c>
      <c r="W808" s="73">
        <f t="shared" si="145"/>
        <v>72669816.599999994</v>
      </c>
      <c r="X808" s="73">
        <f t="shared" si="146"/>
        <v>72669816.599999994</v>
      </c>
      <c r="Y808" s="73">
        <f t="shared" si="147"/>
        <v>-300887266.26999998</v>
      </c>
      <c r="Z808" s="73">
        <f t="shared" si="148"/>
        <v>0</v>
      </c>
      <c r="AA808" s="75">
        <f t="shared" si="149"/>
        <v>0.19453470415200105</v>
      </c>
      <c r="AB808" s="76" t="str">
        <f t="shared" si="150"/>
        <v>Costo ineficiente: se está gastando más de lo presupuestado</v>
      </c>
      <c r="AC808" s="76">
        <f t="shared" si="151"/>
        <v>1</v>
      </c>
      <c r="AD808" s="76" t="str">
        <f t="shared" si="152"/>
        <v>Proyecto a tiempo según lo planificado</v>
      </c>
      <c r="AE808" s="77">
        <f t="shared" si="153"/>
        <v>2490380552.4666672</v>
      </c>
      <c r="AF808" s="77">
        <f t="shared" si="154"/>
        <v>2005915108.4666672</v>
      </c>
      <c r="AG808" s="78">
        <f>VLOOKUP(Indicador!E756,[1]Diccionario!C$1:AC$150,27,0)</f>
        <v>0</v>
      </c>
      <c r="AH808" s="78">
        <v>1</v>
      </c>
      <c r="AI808" s="78">
        <v>1</v>
      </c>
      <c r="AJ808" s="78"/>
      <c r="AK808" s="78" t="s">
        <v>319</v>
      </c>
    </row>
    <row r="809" spans="1:37" ht="18.75" customHeight="1" x14ac:dyDescent="0.25">
      <c r="A809" s="64">
        <v>2026</v>
      </c>
      <c r="B809" s="65" t="s">
        <v>47</v>
      </c>
      <c r="C809" s="66" t="s">
        <v>452</v>
      </c>
      <c r="D809" s="67">
        <v>46020.703303703704</v>
      </c>
      <c r="E809" s="66" t="s">
        <v>453</v>
      </c>
      <c r="F809" s="66" t="s">
        <v>95</v>
      </c>
      <c r="G809" s="66" t="s">
        <v>454</v>
      </c>
      <c r="H809" s="66" t="s">
        <v>455</v>
      </c>
      <c r="I809" s="66" t="s">
        <v>78</v>
      </c>
      <c r="J809" s="66" t="s">
        <v>456</v>
      </c>
      <c r="K809" s="66" t="s">
        <v>45</v>
      </c>
      <c r="L809" s="68">
        <f>VLOOKUP(E809,[1]Diccionario!C$2:AC$150,22,0)</f>
        <v>484465444</v>
      </c>
      <c r="M809" s="69">
        <f>VLOOKUP(E809,[1]Diccionario!C$2:AC$150,24,0)</f>
        <v>45965</v>
      </c>
      <c r="N809" s="70">
        <f>VLOOKUP(E809,[1]Diccionario!C$2:AC$150,25,0)</f>
        <v>46695</v>
      </c>
      <c r="O809" s="71">
        <f>VLOOKUP(E809,[1]Diccionario!C$2:AC$150,26,0)</f>
        <v>24</v>
      </c>
      <c r="P809" s="71">
        <f t="shared" si="144"/>
        <v>-20</v>
      </c>
      <c r="Q809" s="71">
        <v>4</v>
      </c>
      <c r="R809" s="66">
        <v>25</v>
      </c>
      <c r="S809" s="72">
        <v>0.2</v>
      </c>
      <c r="T809" s="72">
        <v>0.21</v>
      </c>
      <c r="U809" s="93">
        <f>U808+TablaIndicador[[#This Row],[Costo Mensual]]</f>
        <v>373557082.87</v>
      </c>
      <c r="V809" s="73">
        <v>0</v>
      </c>
      <c r="W809" s="73">
        <f t="shared" si="145"/>
        <v>101737743.23999999</v>
      </c>
      <c r="X809" s="73">
        <f t="shared" si="146"/>
        <v>96893088.800000012</v>
      </c>
      <c r="Y809" s="73">
        <f t="shared" si="147"/>
        <v>-271819339.63</v>
      </c>
      <c r="Z809" s="73">
        <f t="shared" si="148"/>
        <v>4844654.4399999827</v>
      </c>
      <c r="AA809" s="75">
        <f t="shared" si="149"/>
        <v>0.27234858581280147</v>
      </c>
      <c r="AB809" s="76" t="str">
        <f t="shared" si="150"/>
        <v>Costo ineficiente: se está gastando más de lo presupuestado</v>
      </c>
      <c r="AC809" s="76">
        <f t="shared" si="151"/>
        <v>1.0499999999999998</v>
      </c>
      <c r="AD809" s="76" t="str">
        <f t="shared" si="152"/>
        <v>Proyecto adelantado respecto al cronograma</v>
      </c>
      <c r="AE809" s="77">
        <f t="shared" si="153"/>
        <v>1778843251.761905</v>
      </c>
      <c r="AF809" s="77">
        <f t="shared" si="154"/>
        <v>1294377807.761905</v>
      </c>
      <c r="AG809" s="78">
        <f>VLOOKUP(Indicador!E757,[1]Diccionario!C$1:AC$150,27,0)</f>
        <v>0</v>
      </c>
      <c r="AH809" s="78">
        <v>1</v>
      </c>
      <c r="AI809" s="78">
        <v>1</v>
      </c>
      <c r="AJ809" s="78"/>
      <c r="AK809" s="78" t="s">
        <v>319</v>
      </c>
    </row>
    <row r="810" spans="1:37" ht="18.75" customHeight="1" x14ac:dyDescent="0.25">
      <c r="A810" s="64">
        <v>2026</v>
      </c>
      <c r="B810" s="65" t="s">
        <v>48</v>
      </c>
      <c r="C810" s="66" t="s">
        <v>452</v>
      </c>
      <c r="D810" s="67">
        <v>46020.703303703704</v>
      </c>
      <c r="E810" s="66" t="s">
        <v>453</v>
      </c>
      <c r="F810" s="66" t="s">
        <v>95</v>
      </c>
      <c r="G810" s="66" t="s">
        <v>454</v>
      </c>
      <c r="H810" s="66" t="s">
        <v>455</v>
      </c>
      <c r="I810" s="66" t="s">
        <v>78</v>
      </c>
      <c r="J810" s="66" t="s">
        <v>456</v>
      </c>
      <c r="K810" s="66" t="s">
        <v>45</v>
      </c>
      <c r="L810" s="68">
        <f>VLOOKUP(E810,[1]Diccionario!C$2:AC$150,22,0)</f>
        <v>484465444</v>
      </c>
      <c r="M810" s="69">
        <f>VLOOKUP(E810,[1]Diccionario!C$2:AC$150,24,0)</f>
        <v>45965</v>
      </c>
      <c r="N810" s="70">
        <f>VLOOKUP(E810,[1]Diccionario!C$2:AC$150,25,0)</f>
        <v>46695</v>
      </c>
      <c r="O810" s="71">
        <f>VLOOKUP(E810,[1]Diccionario!C$2:AC$150,26,0)</f>
        <v>24</v>
      </c>
      <c r="P810" s="71">
        <f t="shared" si="144"/>
        <v>-19</v>
      </c>
      <c r="Q810" s="71">
        <v>5</v>
      </c>
      <c r="R810" s="66">
        <v>25</v>
      </c>
      <c r="S810" s="72">
        <v>0.22</v>
      </c>
      <c r="T810" s="72"/>
      <c r="U810" s="93">
        <f>U809+TablaIndicador[[#This Row],[Costo Mensual]]</f>
        <v>373557082.87</v>
      </c>
      <c r="V810" s="73">
        <v>0</v>
      </c>
      <c r="W810" s="73">
        <f t="shared" si="145"/>
        <v>0</v>
      </c>
      <c r="X810" s="73">
        <f t="shared" si="146"/>
        <v>106582397.68000001</v>
      </c>
      <c r="Y810" s="73">
        <f t="shared" si="147"/>
        <v>-373557082.87</v>
      </c>
      <c r="Z810" s="73">
        <f t="shared" si="148"/>
        <v>-106582397.68000001</v>
      </c>
      <c r="AA810" s="75">
        <f t="shared" si="149"/>
        <v>0</v>
      </c>
      <c r="AB810" s="76" t="str">
        <f t="shared" si="150"/>
        <v>No calculado</v>
      </c>
      <c r="AC810" s="76">
        <f t="shared" si="151"/>
        <v>0</v>
      </c>
      <c r="AD810" s="76" t="str">
        <f t="shared" si="152"/>
        <v>Sin Línea Base</v>
      </c>
      <c r="AE810" s="77">
        <f t="shared" si="153"/>
        <v>0</v>
      </c>
      <c r="AF810" s="77">
        <f t="shared" si="154"/>
        <v>-484465444</v>
      </c>
      <c r="AG810" s="78">
        <f>VLOOKUP(Indicador!E758,[1]Diccionario!C$1:AC$150,27,0)</f>
        <v>0</v>
      </c>
      <c r="AH810" s="78">
        <v>1</v>
      </c>
      <c r="AI810" s="78">
        <v>1</v>
      </c>
      <c r="AJ810" s="78"/>
      <c r="AK810" s="78" t="s">
        <v>319</v>
      </c>
    </row>
    <row r="811" spans="1:37" ht="18.75" customHeight="1" x14ac:dyDescent="0.25">
      <c r="A811" s="64">
        <v>2026</v>
      </c>
      <c r="B811" s="65" t="s">
        <v>49</v>
      </c>
      <c r="C811" s="66" t="s">
        <v>452</v>
      </c>
      <c r="D811" s="67">
        <v>46020.703303703704</v>
      </c>
      <c r="E811" s="66" t="s">
        <v>453</v>
      </c>
      <c r="F811" s="66" t="s">
        <v>95</v>
      </c>
      <c r="G811" s="66" t="s">
        <v>454</v>
      </c>
      <c r="H811" s="66" t="s">
        <v>455</v>
      </c>
      <c r="I811" s="66" t="s">
        <v>78</v>
      </c>
      <c r="J811" s="66" t="s">
        <v>456</v>
      </c>
      <c r="K811" s="66" t="s">
        <v>45</v>
      </c>
      <c r="L811" s="68">
        <f>VLOOKUP(E811,[1]Diccionario!C$2:AC$150,22,0)</f>
        <v>484465444</v>
      </c>
      <c r="M811" s="69">
        <f>VLOOKUP(E811,[1]Diccionario!C$2:AC$150,24,0)</f>
        <v>45965</v>
      </c>
      <c r="N811" s="70">
        <f>VLOOKUP(E811,[1]Diccionario!C$2:AC$150,25,0)</f>
        <v>46695</v>
      </c>
      <c r="O811" s="71">
        <f>VLOOKUP(E811,[1]Diccionario!C$2:AC$150,26,0)</f>
        <v>24</v>
      </c>
      <c r="P811" s="71">
        <f t="shared" si="144"/>
        <v>-18</v>
      </c>
      <c r="Q811" s="71">
        <v>6</v>
      </c>
      <c r="R811" s="66">
        <v>25</v>
      </c>
      <c r="S811" s="72">
        <v>0.26</v>
      </c>
      <c r="T811" s="72"/>
      <c r="U811" s="93">
        <f>U810+TablaIndicador[[#This Row],[Costo Mensual]]</f>
        <v>373557082.87</v>
      </c>
      <c r="V811" s="73">
        <v>0</v>
      </c>
      <c r="W811" s="73">
        <f t="shared" si="145"/>
        <v>0</v>
      </c>
      <c r="X811" s="73">
        <f t="shared" si="146"/>
        <v>125961015.44</v>
      </c>
      <c r="Y811" s="73">
        <f t="shared" si="147"/>
        <v>-373557082.87</v>
      </c>
      <c r="Z811" s="73">
        <f t="shared" si="148"/>
        <v>-125961015.44</v>
      </c>
      <c r="AA811" s="75">
        <f t="shared" si="149"/>
        <v>0</v>
      </c>
      <c r="AB811" s="76" t="str">
        <f t="shared" si="150"/>
        <v>No calculado</v>
      </c>
      <c r="AC811" s="76">
        <f t="shared" si="151"/>
        <v>0</v>
      </c>
      <c r="AD811" s="76" t="str">
        <f t="shared" si="152"/>
        <v>Sin Línea Base</v>
      </c>
      <c r="AE811" s="77">
        <f t="shared" si="153"/>
        <v>0</v>
      </c>
      <c r="AF811" s="77">
        <f t="shared" si="154"/>
        <v>-484465444</v>
      </c>
      <c r="AG811" s="78">
        <f>VLOOKUP(Indicador!E759,[1]Diccionario!C$1:AC$150,27,0)</f>
        <v>0</v>
      </c>
      <c r="AH811" s="78">
        <v>1</v>
      </c>
      <c r="AI811" s="78">
        <v>1</v>
      </c>
      <c r="AJ811" s="78"/>
      <c r="AK811" s="78" t="s">
        <v>319</v>
      </c>
    </row>
    <row r="812" spans="1:37" ht="18.75" customHeight="1" x14ac:dyDescent="0.25">
      <c r="A812" s="64">
        <v>2026</v>
      </c>
      <c r="B812" s="65" t="s">
        <v>50</v>
      </c>
      <c r="C812" s="66" t="s">
        <v>452</v>
      </c>
      <c r="D812" s="67">
        <v>46020.703303703704</v>
      </c>
      <c r="E812" s="66" t="s">
        <v>453</v>
      </c>
      <c r="F812" s="66" t="s">
        <v>95</v>
      </c>
      <c r="G812" s="66" t="s">
        <v>454</v>
      </c>
      <c r="H812" s="66" t="s">
        <v>455</v>
      </c>
      <c r="I812" s="66" t="s">
        <v>78</v>
      </c>
      <c r="J812" s="66" t="s">
        <v>456</v>
      </c>
      <c r="K812" s="66" t="s">
        <v>45</v>
      </c>
      <c r="L812" s="68">
        <f>VLOOKUP(E812,[1]Diccionario!C$2:AC$150,22,0)</f>
        <v>484465444</v>
      </c>
      <c r="M812" s="69">
        <f>VLOOKUP(E812,[1]Diccionario!C$2:AC$150,24,0)</f>
        <v>45965</v>
      </c>
      <c r="N812" s="70">
        <f>VLOOKUP(E812,[1]Diccionario!C$2:AC$150,25,0)</f>
        <v>46695</v>
      </c>
      <c r="O812" s="71">
        <f>VLOOKUP(E812,[1]Diccionario!C$2:AC$150,26,0)</f>
        <v>24</v>
      </c>
      <c r="P812" s="71">
        <f t="shared" si="144"/>
        <v>-17</v>
      </c>
      <c r="Q812" s="71">
        <v>7</v>
      </c>
      <c r="R812" s="66">
        <v>25</v>
      </c>
      <c r="S812" s="72">
        <v>0.3</v>
      </c>
      <c r="T812" s="72"/>
      <c r="U812" s="93">
        <f>U811+TablaIndicador[[#This Row],[Costo Mensual]]</f>
        <v>373557082.87</v>
      </c>
      <c r="V812" s="73">
        <v>0</v>
      </c>
      <c r="W812" s="73">
        <f t="shared" si="145"/>
        <v>0</v>
      </c>
      <c r="X812" s="73">
        <f t="shared" si="146"/>
        <v>145339633.19999999</v>
      </c>
      <c r="Y812" s="73">
        <f t="shared" si="147"/>
        <v>-373557082.87</v>
      </c>
      <c r="Z812" s="73">
        <f t="shared" si="148"/>
        <v>-145339633.19999999</v>
      </c>
      <c r="AA812" s="75">
        <f t="shared" si="149"/>
        <v>0</v>
      </c>
      <c r="AB812" s="76" t="str">
        <f t="shared" si="150"/>
        <v>No calculado</v>
      </c>
      <c r="AC812" s="76">
        <f t="shared" si="151"/>
        <v>0</v>
      </c>
      <c r="AD812" s="76" t="str">
        <f t="shared" si="152"/>
        <v>Sin Línea Base</v>
      </c>
      <c r="AE812" s="77">
        <f t="shared" si="153"/>
        <v>0</v>
      </c>
      <c r="AF812" s="77">
        <f t="shared" si="154"/>
        <v>-484465444</v>
      </c>
      <c r="AG812" s="78">
        <f>VLOOKUP(Indicador!E760,[1]Diccionario!C$1:AC$150,27,0)</f>
        <v>0</v>
      </c>
      <c r="AH812" s="78">
        <v>1</v>
      </c>
      <c r="AI812" s="78">
        <v>1</v>
      </c>
      <c r="AJ812" s="78"/>
      <c r="AK812" s="78" t="s">
        <v>319</v>
      </c>
    </row>
    <row r="813" spans="1:37" ht="18.75" customHeight="1" x14ac:dyDescent="0.25">
      <c r="A813" s="64">
        <v>2026</v>
      </c>
      <c r="B813" s="65" t="s">
        <v>51</v>
      </c>
      <c r="C813" s="66" t="s">
        <v>452</v>
      </c>
      <c r="D813" s="67">
        <v>46020.703303703704</v>
      </c>
      <c r="E813" s="66" t="s">
        <v>453</v>
      </c>
      <c r="F813" s="66" t="s">
        <v>95</v>
      </c>
      <c r="G813" s="66" t="s">
        <v>454</v>
      </c>
      <c r="H813" s="66" t="s">
        <v>455</v>
      </c>
      <c r="I813" s="66" t="s">
        <v>78</v>
      </c>
      <c r="J813" s="66" t="s">
        <v>456</v>
      </c>
      <c r="K813" s="66" t="s">
        <v>45</v>
      </c>
      <c r="L813" s="68">
        <f>VLOOKUP(E813,[1]Diccionario!C$2:AC$150,22,0)</f>
        <v>484465444</v>
      </c>
      <c r="M813" s="69">
        <f>VLOOKUP(E813,[1]Diccionario!C$2:AC$150,24,0)</f>
        <v>45965</v>
      </c>
      <c r="N813" s="70">
        <f>VLOOKUP(E813,[1]Diccionario!C$2:AC$150,25,0)</f>
        <v>46695</v>
      </c>
      <c r="O813" s="71">
        <f>VLOOKUP(E813,[1]Diccionario!C$2:AC$150,26,0)</f>
        <v>24</v>
      </c>
      <c r="P813" s="71">
        <f t="shared" si="144"/>
        <v>-16</v>
      </c>
      <c r="Q813" s="71">
        <v>8</v>
      </c>
      <c r="R813" s="66">
        <v>25</v>
      </c>
      <c r="S813" s="72">
        <v>0.34</v>
      </c>
      <c r="T813" s="72"/>
      <c r="U813" s="93">
        <f>U812+TablaIndicador[[#This Row],[Costo Mensual]]</f>
        <v>373557082.87</v>
      </c>
      <c r="V813" s="73">
        <v>0</v>
      </c>
      <c r="W813" s="73">
        <f t="shared" si="145"/>
        <v>0</v>
      </c>
      <c r="X813" s="73">
        <f t="shared" si="146"/>
        <v>164718250.96000001</v>
      </c>
      <c r="Y813" s="73">
        <f t="shared" si="147"/>
        <v>-373557082.87</v>
      </c>
      <c r="Z813" s="73">
        <f t="shared" si="148"/>
        <v>-164718250.96000001</v>
      </c>
      <c r="AA813" s="75">
        <f t="shared" si="149"/>
        <v>0</v>
      </c>
      <c r="AB813" s="76" t="str">
        <f t="shared" si="150"/>
        <v>No calculado</v>
      </c>
      <c r="AC813" s="76">
        <f t="shared" si="151"/>
        <v>0</v>
      </c>
      <c r="AD813" s="76" t="str">
        <f t="shared" si="152"/>
        <v>Sin Línea Base</v>
      </c>
      <c r="AE813" s="77">
        <f t="shared" si="153"/>
        <v>0</v>
      </c>
      <c r="AF813" s="77">
        <f t="shared" si="154"/>
        <v>-484465444</v>
      </c>
      <c r="AG813" s="78">
        <f>VLOOKUP(Indicador!E761,[1]Diccionario!C$1:AC$150,27,0)</f>
        <v>0</v>
      </c>
      <c r="AH813" s="78">
        <v>1</v>
      </c>
      <c r="AI813" s="78">
        <v>1</v>
      </c>
      <c r="AJ813" s="78"/>
      <c r="AK813" s="78" t="s">
        <v>319</v>
      </c>
    </row>
    <row r="814" spans="1:37" ht="18.75" customHeight="1" x14ac:dyDescent="0.25">
      <c r="A814" s="64">
        <v>2026</v>
      </c>
      <c r="B814" s="65" t="s">
        <v>52</v>
      </c>
      <c r="C814" s="66" t="s">
        <v>452</v>
      </c>
      <c r="D814" s="67">
        <v>46020.703303703704</v>
      </c>
      <c r="E814" s="66" t="s">
        <v>453</v>
      </c>
      <c r="F814" s="66" t="s">
        <v>95</v>
      </c>
      <c r="G814" s="66" t="s">
        <v>454</v>
      </c>
      <c r="H814" s="66" t="s">
        <v>455</v>
      </c>
      <c r="I814" s="66" t="s">
        <v>78</v>
      </c>
      <c r="J814" s="66" t="s">
        <v>456</v>
      </c>
      <c r="K814" s="66" t="s">
        <v>45</v>
      </c>
      <c r="L814" s="68">
        <f>VLOOKUP(E814,[1]Diccionario!C$2:AC$150,22,0)</f>
        <v>484465444</v>
      </c>
      <c r="M814" s="69">
        <f>VLOOKUP(E814,[1]Diccionario!C$2:AC$150,24,0)</f>
        <v>45965</v>
      </c>
      <c r="N814" s="70">
        <f>VLOOKUP(E814,[1]Diccionario!C$2:AC$150,25,0)</f>
        <v>46695</v>
      </c>
      <c r="O814" s="71">
        <f>VLOOKUP(E814,[1]Diccionario!C$2:AC$150,26,0)</f>
        <v>24</v>
      </c>
      <c r="P814" s="71">
        <f t="shared" si="144"/>
        <v>-15</v>
      </c>
      <c r="Q814" s="71">
        <v>9</v>
      </c>
      <c r="R814" s="66">
        <v>25</v>
      </c>
      <c r="S814" s="72">
        <v>0.372</v>
      </c>
      <c r="T814" s="72"/>
      <c r="U814" s="93">
        <f>U813+TablaIndicador[[#This Row],[Costo Mensual]]</f>
        <v>373557082.87</v>
      </c>
      <c r="V814" s="73">
        <v>0</v>
      </c>
      <c r="W814" s="73">
        <f t="shared" si="145"/>
        <v>0</v>
      </c>
      <c r="X814" s="73">
        <f t="shared" si="146"/>
        <v>180221145.16800001</v>
      </c>
      <c r="Y814" s="73">
        <f t="shared" si="147"/>
        <v>-373557082.87</v>
      </c>
      <c r="Z814" s="73">
        <f t="shared" si="148"/>
        <v>-180221145.16800001</v>
      </c>
      <c r="AA814" s="75">
        <f t="shared" si="149"/>
        <v>0</v>
      </c>
      <c r="AB814" s="76" t="str">
        <f t="shared" si="150"/>
        <v>No calculado</v>
      </c>
      <c r="AC814" s="76">
        <f t="shared" si="151"/>
        <v>0</v>
      </c>
      <c r="AD814" s="76" t="str">
        <f t="shared" si="152"/>
        <v>Sin Línea Base</v>
      </c>
      <c r="AE814" s="77">
        <f t="shared" si="153"/>
        <v>0</v>
      </c>
      <c r="AF814" s="77">
        <f t="shared" si="154"/>
        <v>-484465444</v>
      </c>
      <c r="AG814" s="78">
        <f>VLOOKUP(Indicador!E762,[1]Diccionario!C$1:AC$150,27,0)</f>
        <v>0</v>
      </c>
      <c r="AH814" s="78">
        <v>1</v>
      </c>
      <c r="AI814" s="78">
        <v>1</v>
      </c>
      <c r="AJ814" s="78"/>
      <c r="AK814" s="78" t="s">
        <v>319</v>
      </c>
    </row>
    <row r="815" spans="1:37" ht="18.75" customHeight="1" x14ac:dyDescent="0.25">
      <c r="A815" s="64">
        <v>2026</v>
      </c>
      <c r="B815" s="65" t="s">
        <v>53</v>
      </c>
      <c r="C815" s="66" t="s">
        <v>452</v>
      </c>
      <c r="D815" s="67">
        <v>46020.703303703704</v>
      </c>
      <c r="E815" s="66" t="s">
        <v>453</v>
      </c>
      <c r="F815" s="66" t="s">
        <v>95</v>
      </c>
      <c r="G815" s="66" t="s">
        <v>454</v>
      </c>
      <c r="H815" s="66" t="s">
        <v>455</v>
      </c>
      <c r="I815" s="66" t="s">
        <v>78</v>
      </c>
      <c r="J815" s="66" t="s">
        <v>456</v>
      </c>
      <c r="K815" s="66" t="s">
        <v>45</v>
      </c>
      <c r="L815" s="68">
        <f>VLOOKUP(E815,[1]Diccionario!C$2:AC$150,22,0)</f>
        <v>484465444</v>
      </c>
      <c r="M815" s="69">
        <f>VLOOKUP(E815,[1]Diccionario!C$2:AC$150,24,0)</f>
        <v>45965</v>
      </c>
      <c r="N815" s="70">
        <f>VLOOKUP(E815,[1]Diccionario!C$2:AC$150,25,0)</f>
        <v>46695</v>
      </c>
      <c r="O815" s="71">
        <f>VLOOKUP(E815,[1]Diccionario!C$2:AC$150,26,0)</f>
        <v>24</v>
      </c>
      <c r="P815" s="71">
        <f t="shared" si="144"/>
        <v>-14</v>
      </c>
      <c r="Q815" s="71">
        <v>10</v>
      </c>
      <c r="R815" s="66">
        <v>25</v>
      </c>
      <c r="S815" s="72">
        <v>0.40799999999999997</v>
      </c>
      <c r="T815" s="72"/>
      <c r="U815" s="93">
        <f>U814+TablaIndicador[[#This Row],[Costo Mensual]]</f>
        <v>373557082.87</v>
      </c>
      <c r="V815" s="73">
        <v>0</v>
      </c>
      <c r="W815" s="73">
        <f t="shared" si="145"/>
        <v>0</v>
      </c>
      <c r="X815" s="73">
        <f t="shared" si="146"/>
        <v>197661901.15199998</v>
      </c>
      <c r="Y815" s="73">
        <f t="shared" si="147"/>
        <v>-373557082.87</v>
      </c>
      <c r="Z815" s="73">
        <f t="shared" si="148"/>
        <v>-197661901.15199998</v>
      </c>
      <c r="AA815" s="75">
        <f t="shared" si="149"/>
        <v>0</v>
      </c>
      <c r="AB815" s="76" t="str">
        <f t="shared" si="150"/>
        <v>No calculado</v>
      </c>
      <c r="AC815" s="76">
        <f t="shared" si="151"/>
        <v>0</v>
      </c>
      <c r="AD815" s="76" t="str">
        <f t="shared" si="152"/>
        <v>Sin Línea Base</v>
      </c>
      <c r="AE815" s="77">
        <f t="shared" si="153"/>
        <v>0</v>
      </c>
      <c r="AF815" s="77">
        <f t="shared" si="154"/>
        <v>-484465444</v>
      </c>
      <c r="AG815" s="78">
        <f>VLOOKUP(Indicador!E763,[1]Diccionario!C$1:AC$150,27,0)</f>
        <v>0</v>
      </c>
      <c r="AH815" s="78">
        <v>1</v>
      </c>
      <c r="AI815" s="78">
        <v>1</v>
      </c>
      <c r="AJ815" s="78"/>
      <c r="AK815" s="78" t="s">
        <v>319</v>
      </c>
    </row>
    <row r="816" spans="1:37" ht="18.75" customHeight="1" x14ac:dyDescent="0.25">
      <c r="A816" s="64">
        <v>2026</v>
      </c>
      <c r="B816" s="65" t="s">
        <v>54</v>
      </c>
      <c r="C816" s="66" t="s">
        <v>452</v>
      </c>
      <c r="D816" s="67">
        <v>46020.703303703704</v>
      </c>
      <c r="E816" s="66" t="s">
        <v>453</v>
      </c>
      <c r="F816" s="66" t="s">
        <v>95</v>
      </c>
      <c r="G816" s="66" t="s">
        <v>454</v>
      </c>
      <c r="H816" s="66" t="s">
        <v>455</v>
      </c>
      <c r="I816" s="66" t="s">
        <v>78</v>
      </c>
      <c r="J816" s="66" t="s">
        <v>456</v>
      </c>
      <c r="K816" s="66" t="s">
        <v>45</v>
      </c>
      <c r="L816" s="68">
        <f>VLOOKUP(E816,[1]Diccionario!C$2:AC$150,22,0)</f>
        <v>484465444</v>
      </c>
      <c r="M816" s="69">
        <f>VLOOKUP(E816,[1]Diccionario!C$2:AC$150,24,0)</f>
        <v>45965</v>
      </c>
      <c r="N816" s="70">
        <f>VLOOKUP(E816,[1]Diccionario!C$2:AC$150,25,0)</f>
        <v>46695</v>
      </c>
      <c r="O816" s="71">
        <f>VLOOKUP(E816,[1]Diccionario!C$2:AC$150,26,0)</f>
        <v>24</v>
      </c>
      <c r="P816" s="71">
        <f t="shared" si="144"/>
        <v>-13</v>
      </c>
      <c r="Q816" s="71">
        <v>11</v>
      </c>
      <c r="R816" s="66">
        <v>25</v>
      </c>
      <c r="S816" s="72">
        <v>0.44400000000000001</v>
      </c>
      <c r="T816" s="72"/>
      <c r="U816" s="93">
        <f>U815+TablaIndicador[[#This Row],[Costo Mensual]]</f>
        <v>373557082.87</v>
      </c>
      <c r="V816" s="73">
        <v>0</v>
      </c>
      <c r="W816" s="73">
        <f t="shared" si="145"/>
        <v>0</v>
      </c>
      <c r="X816" s="73">
        <f t="shared" si="146"/>
        <v>215102657.13600001</v>
      </c>
      <c r="Y816" s="73">
        <f t="shared" si="147"/>
        <v>-373557082.87</v>
      </c>
      <c r="Z816" s="73">
        <f t="shared" si="148"/>
        <v>-215102657.13600001</v>
      </c>
      <c r="AA816" s="75">
        <f t="shared" si="149"/>
        <v>0</v>
      </c>
      <c r="AB816" s="76" t="str">
        <f t="shared" si="150"/>
        <v>No calculado</v>
      </c>
      <c r="AC816" s="76">
        <f t="shared" si="151"/>
        <v>0</v>
      </c>
      <c r="AD816" s="76" t="str">
        <f t="shared" si="152"/>
        <v>Sin Línea Base</v>
      </c>
      <c r="AE816" s="77">
        <f t="shared" si="153"/>
        <v>0</v>
      </c>
      <c r="AF816" s="77">
        <f t="shared" si="154"/>
        <v>-484465444</v>
      </c>
      <c r="AG816" s="78">
        <f>VLOOKUP(Indicador!E764,[1]Diccionario!C$1:AC$150,27,0)</f>
        <v>0</v>
      </c>
      <c r="AH816" s="78">
        <v>1</v>
      </c>
      <c r="AI816" s="78">
        <v>1</v>
      </c>
      <c r="AJ816" s="78"/>
      <c r="AK816" s="78" t="s">
        <v>319</v>
      </c>
    </row>
    <row r="817" spans="1:37" ht="18.75" customHeight="1" x14ac:dyDescent="0.25">
      <c r="A817" s="64">
        <v>2026</v>
      </c>
      <c r="B817" s="65" t="s">
        <v>55</v>
      </c>
      <c r="C817" s="66" t="s">
        <v>452</v>
      </c>
      <c r="D817" s="67">
        <v>46020.703303703704</v>
      </c>
      <c r="E817" s="66" t="s">
        <v>453</v>
      </c>
      <c r="F817" s="66" t="s">
        <v>95</v>
      </c>
      <c r="G817" s="66" t="s">
        <v>454</v>
      </c>
      <c r="H817" s="66" t="s">
        <v>455</v>
      </c>
      <c r="I817" s="66" t="s">
        <v>78</v>
      </c>
      <c r="J817" s="66" t="s">
        <v>456</v>
      </c>
      <c r="K817" s="66" t="s">
        <v>45</v>
      </c>
      <c r="L817" s="68">
        <f>VLOOKUP(E817,[1]Diccionario!C$2:AC$150,22,0)</f>
        <v>484465444</v>
      </c>
      <c r="M817" s="69">
        <f>VLOOKUP(E817,[1]Diccionario!C$2:AC$150,24,0)</f>
        <v>45965</v>
      </c>
      <c r="N817" s="70">
        <f>VLOOKUP(E817,[1]Diccionario!C$2:AC$150,25,0)</f>
        <v>46695</v>
      </c>
      <c r="O817" s="71">
        <f>VLOOKUP(E817,[1]Diccionario!C$2:AC$150,26,0)</f>
        <v>24</v>
      </c>
      <c r="P817" s="71">
        <f t="shared" si="144"/>
        <v>-12</v>
      </c>
      <c r="Q817" s="71">
        <v>12</v>
      </c>
      <c r="R817" s="66">
        <v>25</v>
      </c>
      <c r="S817" s="72">
        <v>0.48</v>
      </c>
      <c r="T817" s="72"/>
      <c r="U817" s="93">
        <f>U816+TablaIndicador[[#This Row],[Costo Mensual]]</f>
        <v>373557082.87</v>
      </c>
      <c r="V817" s="73">
        <v>0</v>
      </c>
      <c r="W817" s="73">
        <f t="shared" si="145"/>
        <v>0</v>
      </c>
      <c r="X817" s="73">
        <f t="shared" si="146"/>
        <v>232543413.12</v>
      </c>
      <c r="Y817" s="73">
        <f t="shared" si="147"/>
        <v>-373557082.87</v>
      </c>
      <c r="Z817" s="73">
        <f t="shared" si="148"/>
        <v>-232543413.12</v>
      </c>
      <c r="AA817" s="75">
        <f t="shared" si="149"/>
        <v>0</v>
      </c>
      <c r="AB817" s="76" t="str">
        <f t="shared" si="150"/>
        <v>No calculado</v>
      </c>
      <c r="AC817" s="76">
        <f t="shared" si="151"/>
        <v>0</v>
      </c>
      <c r="AD817" s="76" t="str">
        <f t="shared" si="152"/>
        <v>Sin Línea Base</v>
      </c>
      <c r="AE817" s="77">
        <f t="shared" si="153"/>
        <v>0</v>
      </c>
      <c r="AF817" s="77">
        <f t="shared" si="154"/>
        <v>-484465444</v>
      </c>
      <c r="AG817" s="78">
        <f>VLOOKUP(Indicador!E765,[1]Diccionario!C$1:AC$150,27,0)</f>
        <v>0</v>
      </c>
      <c r="AH817" s="78">
        <v>1</v>
      </c>
      <c r="AI817" s="78">
        <v>1</v>
      </c>
      <c r="AJ817" s="78"/>
      <c r="AK817" s="78" t="s">
        <v>319</v>
      </c>
    </row>
    <row r="818" spans="1:37" ht="18.75" customHeight="1" x14ac:dyDescent="0.25">
      <c r="A818" s="64">
        <v>2026</v>
      </c>
      <c r="B818" s="65" t="s">
        <v>56</v>
      </c>
      <c r="C818" s="66" t="s">
        <v>452</v>
      </c>
      <c r="D818" s="67">
        <v>46020.703303703704</v>
      </c>
      <c r="E818" s="66" t="s">
        <v>453</v>
      </c>
      <c r="F818" s="66" t="s">
        <v>95</v>
      </c>
      <c r="G818" s="66" t="s">
        <v>454</v>
      </c>
      <c r="H818" s="66" t="s">
        <v>455</v>
      </c>
      <c r="I818" s="66" t="s">
        <v>78</v>
      </c>
      <c r="J818" s="66" t="s">
        <v>456</v>
      </c>
      <c r="K818" s="66" t="s">
        <v>45</v>
      </c>
      <c r="L818" s="68">
        <f>VLOOKUP(E818,[1]Diccionario!C$2:AC$150,22,0)</f>
        <v>484465444</v>
      </c>
      <c r="M818" s="69">
        <f>VLOOKUP(E818,[1]Diccionario!C$2:AC$150,24,0)</f>
        <v>45965</v>
      </c>
      <c r="N818" s="70">
        <f>VLOOKUP(E818,[1]Diccionario!C$2:AC$150,25,0)</f>
        <v>46695</v>
      </c>
      <c r="O818" s="71">
        <f>VLOOKUP(E818,[1]Diccionario!C$2:AC$150,26,0)</f>
        <v>24</v>
      </c>
      <c r="P818" s="71">
        <f t="shared" si="144"/>
        <v>-11</v>
      </c>
      <c r="Q818" s="71">
        <v>13</v>
      </c>
      <c r="R818" s="66">
        <v>25</v>
      </c>
      <c r="S818" s="72">
        <v>0.51600000000000001</v>
      </c>
      <c r="T818" s="72"/>
      <c r="U818" s="93">
        <f>U817+TablaIndicador[[#This Row],[Costo Mensual]]</f>
        <v>373557082.87</v>
      </c>
      <c r="V818" s="73">
        <v>0</v>
      </c>
      <c r="W818" s="73">
        <f t="shared" si="145"/>
        <v>0</v>
      </c>
      <c r="X818" s="73">
        <f t="shared" si="146"/>
        <v>249984169.104</v>
      </c>
      <c r="Y818" s="73">
        <f t="shared" si="147"/>
        <v>-373557082.87</v>
      </c>
      <c r="Z818" s="73">
        <f t="shared" si="148"/>
        <v>-249984169.104</v>
      </c>
      <c r="AA818" s="75">
        <f t="shared" si="149"/>
        <v>0</v>
      </c>
      <c r="AB818" s="76" t="str">
        <f t="shared" si="150"/>
        <v>No calculado</v>
      </c>
      <c r="AC818" s="76">
        <f t="shared" si="151"/>
        <v>0</v>
      </c>
      <c r="AD818" s="76" t="str">
        <f t="shared" si="152"/>
        <v>Sin Línea Base</v>
      </c>
      <c r="AE818" s="77">
        <f t="shared" si="153"/>
        <v>0</v>
      </c>
      <c r="AF818" s="77">
        <f t="shared" si="154"/>
        <v>-484465444</v>
      </c>
      <c r="AG818" s="78">
        <f>VLOOKUP(Indicador!E766,[1]Diccionario!C$1:AC$150,27,0)</f>
        <v>0</v>
      </c>
      <c r="AH818" s="78">
        <v>1</v>
      </c>
      <c r="AI818" s="78">
        <v>1</v>
      </c>
      <c r="AJ818" s="78"/>
      <c r="AK818" s="78" t="s">
        <v>319</v>
      </c>
    </row>
    <row r="819" spans="1:37" ht="18.75" customHeight="1" x14ac:dyDescent="0.25">
      <c r="A819" s="64">
        <v>2026</v>
      </c>
      <c r="B819" s="65" t="s">
        <v>57</v>
      </c>
      <c r="C819" s="66" t="s">
        <v>452</v>
      </c>
      <c r="D819" s="67">
        <v>46020.703303703704</v>
      </c>
      <c r="E819" s="66" t="s">
        <v>453</v>
      </c>
      <c r="F819" s="66" t="s">
        <v>95</v>
      </c>
      <c r="G819" s="66" t="s">
        <v>454</v>
      </c>
      <c r="H819" s="66" t="s">
        <v>455</v>
      </c>
      <c r="I819" s="66" t="s">
        <v>78</v>
      </c>
      <c r="J819" s="66" t="s">
        <v>456</v>
      </c>
      <c r="K819" s="66" t="s">
        <v>45</v>
      </c>
      <c r="L819" s="68">
        <f>VLOOKUP(E819,[1]Diccionario!C$2:AC$150,22,0)</f>
        <v>484465444</v>
      </c>
      <c r="M819" s="69">
        <f>VLOOKUP(E819,[1]Diccionario!C$2:AC$150,24,0)</f>
        <v>45965</v>
      </c>
      <c r="N819" s="70">
        <f>VLOOKUP(E819,[1]Diccionario!C$2:AC$150,25,0)</f>
        <v>46695</v>
      </c>
      <c r="O819" s="71">
        <f>VLOOKUP(E819,[1]Diccionario!C$2:AC$150,26,0)</f>
        <v>24</v>
      </c>
      <c r="P819" s="71">
        <f t="shared" si="144"/>
        <v>-10</v>
      </c>
      <c r="Q819" s="71">
        <v>14</v>
      </c>
      <c r="R819" s="66">
        <v>25</v>
      </c>
      <c r="S819" s="72">
        <v>0.55200000000000005</v>
      </c>
      <c r="T819" s="72"/>
      <c r="U819" s="93">
        <f>U818+TablaIndicador[[#This Row],[Costo Mensual]]</f>
        <v>373557082.87</v>
      </c>
      <c r="V819" s="73">
        <v>0</v>
      </c>
      <c r="W819" s="73">
        <f t="shared" si="145"/>
        <v>0</v>
      </c>
      <c r="X819" s="73">
        <f t="shared" si="146"/>
        <v>267424925.08800003</v>
      </c>
      <c r="Y819" s="73">
        <f t="shared" si="147"/>
        <v>-373557082.87</v>
      </c>
      <c r="Z819" s="73">
        <f t="shared" si="148"/>
        <v>-267424925.08800003</v>
      </c>
      <c r="AA819" s="75">
        <f t="shared" si="149"/>
        <v>0</v>
      </c>
      <c r="AB819" s="76" t="str">
        <f t="shared" si="150"/>
        <v>No calculado</v>
      </c>
      <c r="AC819" s="76">
        <f t="shared" si="151"/>
        <v>0</v>
      </c>
      <c r="AD819" s="76" t="str">
        <f t="shared" si="152"/>
        <v>Sin Línea Base</v>
      </c>
      <c r="AE819" s="77">
        <f t="shared" si="153"/>
        <v>0</v>
      </c>
      <c r="AF819" s="77">
        <f t="shared" si="154"/>
        <v>-484465444</v>
      </c>
      <c r="AG819" s="78" t="str">
        <f>VLOOKUP(Indicador!E767,[1]Diccionario!C$1:AC$150,27,0)</f>
        <v>https://growdatasas.sharepoint.com/:x:/r/sites/Gestiondocumental/Administrativa/GD/Financiera/_layouts/15/Doc.aspx?sourcedoc=%7B43DC271C-826E-42A6-8DDC-4B4FA4BB2E01%7D&amp;file=MODELO%20FINANCIERO%20-%20RUNT%20IMPLEMENTACI%C3%93N%20CALE%2024112025%20V5.xlsm&amp;action=default&amp;mobileredirect=true</v>
      </c>
      <c r="AH819" s="78">
        <v>1</v>
      </c>
      <c r="AI819" s="78">
        <v>1</v>
      </c>
      <c r="AJ819" s="78"/>
      <c r="AK819" s="78" t="s">
        <v>319</v>
      </c>
    </row>
    <row r="820" spans="1:37" ht="18.75" customHeight="1" x14ac:dyDescent="0.25">
      <c r="A820" s="64">
        <v>2027</v>
      </c>
      <c r="B820" s="65" t="s">
        <v>37</v>
      </c>
      <c r="C820" s="66" t="s">
        <v>452</v>
      </c>
      <c r="D820" s="67">
        <v>46020.703303703704</v>
      </c>
      <c r="E820" s="66" t="s">
        <v>453</v>
      </c>
      <c r="F820" s="66" t="s">
        <v>95</v>
      </c>
      <c r="G820" s="66" t="s">
        <v>454</v>
      </c>
      <c r="H820" s="66" t="s">
        <v>455</v>
      </c>
      <c r="I820" s="66" t="s">
        <v>78</v>
      </c>
      <c r="J820" s="66" t="s">
        <v>456</v>
      </c>
      <c r="K820" s="66" t="s">
        <v>45</v>
      </c>
      <c r="L820" s="68">
        <f>VLOOKUP(E820,[1]Diccionario!C$2:AC$150,22,0)</f>
        <v>484465444</v>
      </c>
      <c r="M820" s="69">
        <f>VLOOKUP(E820,[1]Diccionario!C$2:AC$150,24,0)</f>
        <v>45965</v>
      </c>
      <c r="N820" s="70">
        <f>VLOOKUP(E820,[1]Diccionario!C$2:AC$150,25,0)</f>
        <v>46695</v>
      </c>
      <c r="O820" s="71">
        <f>VLOOKUP(E820,[1]Diccionario!C$2:AC$150,26,0)</f>
        <v>24</v>
      </c>
      <c r="P820" s="71">
        <f t="shared" si="144"/>
        <v>-9</v>
      </c>
      <c r="Q820" s="71">
        <v>15</v>
      </c>
      <c r="R820" s="66">
        <v>25</v>
      </c>
      <c r="S820" s="72">
        <v>0.58799999999999997</v>
      </c>
      <c r="T820" s="72"/>
      <c r="U820" s="93">
        <f>U819+TablaIndicador[[#This Row],[Costo Mensual]]</f>
        <v>373557082.87</v>
      </c>
      <c r="V820" s="73">
        <v>0</v>
      </c>
      <c r="W820" s="73">
        <f t="shared" si="145"/>
        <v>0</v>
      </c>
      <c r="X820" s="73">
        <f t="shared" si="146"/>
        <v>284865681.07199997</v>
      </c>
      <c r="Y820" s="73">
        <f t="shared" si="147"/>
        <v>-373557082.87</v>
      </c>
      <c r="Z820" s="73">
        <f t="shared" si="148"/>
        <v>-284865681.07199997</v>
      </c>
      <c r="AA820" s="75">
        <f t="shared" si="149"/>
        <v>0</v>
      </c>
      <c r="AB820" s="76" t="str">
        <f t="shared" si="150"/>
        <v>No calculado</v>
      </c>
      <c r="AC820" s="76">
        <f t="shared" si="151"/>
        <v>0</v>
      </c>
      <c r="AD820" s="76" t="str">
        <f t="shared" si="152"/>
        <v>Sin Línea Base</v>
      </c>
      <c r="AE820" s="77">
        <f t="shared" si="153"/>
        <v>0</v>
      </c>
      <c r="AF820" s="77">
        <f t="shared" si="154"/>
        <v>-484465444</v>
      </c>
      <c r="AG820" s="78" t="str">
        <f>VLOOKUP(Indicador!E768,[1]Diccionario!C$1:AC$150,27,0)</f>
        <v>https://growdatasas.sharepoint.com/:x:/r/sites/Gestiondocumental/Administrativa/GD/Financiera/_layouts/15/Doc.aspx?sourcedoc=%7B43DC271C-826E-42A6-8DDC-4B4FA4BB2E01%7D&amp;file=MODELO%20FINANCIERO%20-%20RUNT%20IMPLEMENTACI%C3%93N%20CALE%2024112025%20V5.xlsm&amp;action=default&amp;mobileredirect=true</v>
      </c>
      <c r="AH820" s="78">
        <v>1</v>
      </c>
      <c r="AI820" s="78">
        <v>1</v>
      </c>
      <c r="AJ820" s="78"/>
      <c r="AK820" s="78" t="s">
        <v>319</v>
      </c>
    </row>
    <row r="821" spans="1:37" ht="18.75" customHeight="1" x14ac:dyDescent="0.25">
      <c r="A821" s="64">
        <v>2027</v>
      </c>
      <c r="B821" s="65" t="s">
        <v>47</v>
      </c>
      <c r="C821" s="66" t="s">
        <v>452</v>
      </c>
      <c r="D821" s="67">
        <v>46020.703303703704</v>
      </c>
      <c r="E821" s="66" t="s">
        <v>453</v>
      </c>
      <c r="F821" s="66" t="s">
        <v>95</v>
      </c>
      <c r="G821" s="66" t="s">
        <v>454</v>
      </c>
      <c r="H821" s="66" t="s">
        <v>455</v>
      </c>
      <c r="I821" s="66" t="s">
        <v>78</v>
      </c>
      <c r="J821" s="66" t="s">
        <v>456</v>
      </c>
      <c r="K821" s="66" t="s">
        <v>45</v>
      </c>
      <c r="L821" s="68">
        <f>VLOOKUP(E821,[1]Diccionario!C$2:AC$150,22,0)</f>
        <v>484465444</v>
      </c>
      <c r="M821" s="69">
        <f>VLOOKUP(E821,[1]Diccionario!C$2:AC$150,24,0)</f>
        <v>45965</v>
      </c>
      <c r="N821" s="70">
        <f>VLOOKUP(E821,[1]Diccionario!C$2:AC$150,25,0)</f>
        <v>46695</v>
      </c>
      <c r="O821" s="71">
        <f>VLOOKUP(E821,[1]Diccionario!C$2:AC$150,26,0)</f>
        <v>24</v>
      </c>
      <c r="P821" s="71">
        <f t="shared" si="144"/>
        <v>-8</v>
      </c>
      <c r="Q821" s="71">
        <v>16</v>
      </c>
      <c r="R821" s="66">
        <v>25</v>
      </c>
      <c r="S821" s="72">
        <v>0.624</v>
      </c>
      <c r="T821" s="72"/>
      <c r="U821" s="93">
        <f>U820+TablaIndicador[[#This Row],[Costo Mensual]]</f>
        <v>373557082.87</v>
      </c>
      <c r="V821" s="73">
        <v>0</v>
      </c>
      <c r="W821" s="73">
        <f t="shared" si="145"/>
        <v>0</v>
      </c>
      <c r="X821" s="73">
        <f t="shared" si="146"/>
        <v>302306437.05599999</v>
      </c>
      <c r="Y821" s="73">
        <f t="shared" si="147"/>
        <v>-373557082.87</v>
      </c>
      <c r="Z821" s="73">
        <f t="shared" si="148"/>
        <v>-302306437.05599999</v>
      </c>
      <c r="AA821" s="75">
        <f t="shared" si="149"/>
        <v>0</v>
      </c>
      <c r="AB821" s="76" t="str">
        <f t="shared" si="150"/>
        <v>No calculado</v>
      </c>
      <c r="AC821" s="76">
        <f t="shared" si="151"/>
        <v>0</v>
      </c>
      <c r="AD821" s="76" t="str">
        <f t="shared" si="152"/>
        <v>Sin Línea Base</v>
      </c>
      <c r="AE821" s="77">
        <f t="shared" si="153"/>
        <v>0</v>
      </c>
      <c r="AF821" s="77">
        <f t="shared" si="154"/>
        <v>-484465444</v>
      </c>
      <c r="AG821" s="78" t="str">
        <f>VLOOKUP(Indicador!E769,[1]Diccionario!C$1:AC$150,27,0)</f>
        <v>https://growdatasas.sharepoint.com/:x:/r/sites/Gestiondocumental/Administrativa/GD/Financiera/_layouts/15/Doc.aspx?sourcedoc=%7B43DC271C-826E-42A6-8DDC-4B4FA4BB2E01%7D&amp;file=MODELO%20FINANCIERO%20-%20RUNT%20IMPLEMENTACI%C3%93N%20CALE%2024112025%20V5.xlsm&amp;action=default&amp;mobileredirect=true</v>
      </c>
      <c r="AH821" s="78">
        <v>1</v>
      </c>
      <c r="AI821" s="78">
        <v>1</v>
      </c>
      <c r="AJ821" s="78"/>
      <c r="AK821" s="78" t="s">
        <v>319</v>
      </c>
    </row>
    <row r="822" spans="1:37" ht="18.75" customHeight="1" x14ac:dyDescent="0.25">
      <c r="A822" s="64">
        <v>2027</v>
      </c>
      <c r="B822" s="65" t="s">
        <v>48</v>
      </c>
      <c r="C822" s="66" t="s">
        <v>452</v>
      </c>
      <c r="D822" s="67">
        <v>46020.703303703704</v>
      </c>
      <c r="E822" s="66" t="s">
        <v>453</v>
      </c>
      <c r="F822" s="66" t="s">
        <v>95</v>
      </c>
      <c r="G822" s="66" t="s">
        <v>454</v>
      </c>
      <c r="H822" s="66" t="s">
        <v>455</v>
      </c>
      <c r="I822" s="66" t="s">
        <v>78</v>
      </c>
      <c r="J822" s="66" t="s">
        <v>456</v>
      </c>
      <c r="K822" s="66" t="s">
        <v>45</v>
      </c>
      <c r="L822" s="68">
        <f>VLOOKUP(E822,[1]Diccionario!C$2:AC$150,22,0)</f>
        <v>484465444</v>
      </c>
      <c r="M822" s="69">
        <f>VLOOKUP(E822,[1]Diccionario!C$2:AC$150,24,0)</f>
        <v>45965</v>
      </c>
      <c r="N822" s="70">
        <f>VLOOKUP(E822,[1]Diccionario!C$2:AC$150,25,0)</f>
        <v>46695</v>
      </c>
      <c r="O822" s="71">
        <f>VLOOKUP(E822,[1]Diccionario!C$2:AC$150,26,0)</f>
        <v>24</v>
      </c>
      <c r="P822" s="71">
        <f t="shared" si="144"/>
        <v>-7</v>
      </c>
      <c r="Q822" s="71">
        <v>17</v>
      </c>
      <c r="R822" s="66">
        <v>25</v>
      </c>
      <c r="S822" s="72">
        <v>0.66</v>
      </c>
      <c r="T822" s="72"/>
      <c r="U822" s="93">
        <f>U821+TablaIndicador[[#This Row],[Costo Mensual]]</f>
        <v>373557082.87</v>
      </c>
      <c r="V822" s="73">
        <v>0</v>
      </c>
      <c r="W822" s="73">
        <f t="shared" si="145"/>
        <v>0</v>
      </c>
      <c r="X822" s="73">
        <f t="shared" si="146"/>
        <v>319747193.04000002</v>
      </c>
      <c r="Y822" s="73">
        <f t="shared" si="147"/>
        <v>-373557082.87</v>
      </c>
      <c r="Z822" s="73">
        <f t="shared" si="148"/>
        <v>-319747193.04000002</v>
      </c>
      <c r="AA822" s="75">
        <f t="shared" si="149"/>
        <v>0</v>
      </c>
      <c r="AB822" s="76" t="str">
        <f t="shared" si="150"/>
        <v>No calculado</v>
      </c>
      <c r="AC822" s="76">
        <f t="shared" si="151"/>
        <v>0</v>
      </c>
      <c r="AD822" s="76" t="str">
        <f t="shared" si="152"/>
        <v>Sin Línea Base</v>
      </c>
      <c r="AE822" s="77">
        <f t="shared" si="153"/>
        <v>0</v>
      </c>
      <c r="AF822" s="77">
        <f t="shared" si="154"/>
        <v>-484465444</v>
      </c>
      <c r="AG822" s="78" t="str">
        <f>VLOOKUP(Indicador!E770,[1]Diccionario!C$1:AC$150,27,0)</f>
        <v>https://growdatasas.sharepoint.com/:x:/r/sites/Gestiondocumental/Administrativa/GD/Financiera/_layouts/15/Doc.aspx?sourcedoc=%7B43DC271C-826E-42A6-8DDC-4B4FA4BB2E01%7D&amp;file=MODELO%20FINANCIERO%20-%20RUNT%20IMPLEMENTACI%C3%93N%20CALE%2024112025%20V5.xlsm&amp;action=default&amp;mobileredirect=true</v>
      </c>
      <c r="AH822" s="78">
        <v>1</v>
      </c>
      <c r="AI822" s="78">
        <v>1</v>
      </c>
      <c r="AJ822" s="78"/>
      <c r="AK822" s="78" t="s">
        <v>319</v>
      </c>
    </row>
    <row r="823" spans="1:37" ht="18.75" customHeight="1" x14ac:dyDescent="0.25">
      <c r="A823" s="64">
        <v>2027</v>
      </c>
      <c r="B823" s="65" t="s">
        <v>49</v>
      </c>
      <c r="C823" s="66" t="s">
        <v>452</v>
      </c>
      <c r="D823" s="67">
        <v>46020.703303703704</v>
      </c>
      <c r="E823" s="66" t="s">
        <v>453</v>
      </c>
      <c r="F823" s="66" t="s">
        <v>95</v>
      </c>
      <c r="G823" s="66" t="s">
        <v>454</v>
      </c>
      <c r="H823" s="66" t="s">
        <v>455</v>
      </c>
      <c r="I823" s="66" t="s">
        <v>78</v>
      </c>
      <c r="J823" s="66" t="s">
        <v>456</v>
      </c>
      <c r="K823" s="66" t="s">
        <v>45</v>
      </c>
      <c r="L823" s="68">
        <f>VLOOKUP(E823,[1]Diccionario!C$2:AC$150,22,0)</f>
        <v>484465444</v>
      </c>
      <c r="M823" s="69">
        <f>VLOOKUP(E823,[1]Diccionario!C$2:AC$150,24,0)</f>
        <v>45965</v>
      </c>
      <c r="N823" s="70">
        <f>VLOOKUP(E823,[1]Diccionario!C$2:AC$150,25,0)</f>
        <v>46695</v>
      </c>
      <c r="O823" s="71">
        <f>VLOOKUP(E823,[1]Diccionario!C$2:AC$150,26,0)</f>
        <v>24</v>
      </c>
      <c r="P823" s="71">
        <f t="shared" si="144"/>
        <v>-6</v>
      </c>
      <c r="Q823" s="71">
        <v>18</v>
      </c>
      <c r="R823" s="66">
        <v>25</v>
      </c>
      <c r="S823" s="72">
        <v>0.69599999999999995</v>
      </c>
      <c r="T823" s="72"/>
      <c r="U823" s="93">
        <f>U822+TablaIndicador[[#This Row],[Costo Mensual]]</f>
        <v>373557082.87</v>
      </c>
      <c r="V823" s="73">
        <v>0</v>
      </c>
      <c r="W823" s="73">
        <f t="shared" si="145"/>
        <v>0</v>
      </c>
      <c r="X823" s="73">
        <f t="shared" si="146"/>
        <v>337187949.02399999</v>
      </c>
      <c r="Y823" s="73">
        <f t="shared" si="147"/>
        <v>-373557082.87</v>
      </c>
      <c r="Z823" s="73">
        <f t="shared" si="148"/>
        <v>-337187949.02399999</v>
      </c>
      <c r="AA823" s="75">
        <f t="shared" si="149"/>
        <v>0</v>
      </c>
      <c r="AB823" s="76" t="str">
        <f t="shared" si="150"/>
        <v>No calculado</v>
      </c>
      <c r="AC823" s="76">
        <f t="shared" si="151"/>
        <v>0</v>
      </c>
      <c r="AD823" s="76" t="str">
        <f t="shared" si="152"/>
        <v>Sin Línea Base</v>
      </c>
      <c r="AE823" s="77">
        <f t="shared" si="153"/>
        <v>0</v>
      </c>
      <c r="AF823" s="77">
        <f t="shared" si="154"/>
        <v>-484465444</v>
      </c>
      <c r="AG823" s="78" t="str">
        <f>VLOOKUP(Indicador!E771,[1]Diccionario!C$1:AC$150,27,0)</f>
        <v>https://growdatasas.sharepoint.com/:x:/r/sites/Gestiondocumental/Administrativa/GD/Financiera/_layouts/15/Doc.aspx?sourcedoc=%7B43DC271C-826E-42A6-8DDC-4B4FA4BB2E01%7D&amp;file=MODELO%20FINANCIERO%20-%20RUNT%20IMPLEMENTACI%C3%93N%20CALE%2024112025%20V5.xlsm&amp;action=default&amp;mobileredirect=true</v>
      </c>
      <c r="AH823" s="78">
        <v>1</v>
      </c>
      <c r="AI823" s="78">
        <v>1</v>
      </c>
      <c r="AJ823" s="78"/>
      <c r="AK823" s="78" t="s">
        <v>319</v>
      </c>
    </row>
    <row r="824" spans="1:37" ht="18.75" customHeight="1" x14ac:dyDescent="0.25">
      <c r="A824" s="64">
        <v>2027</v>
      </c>
      <c r="B824" s="65" t="s">
        <v>50</v>
      </c>
      <c r="C824" s="66" t="s">
        <v>452</v>
      </c>
      <c r="D824" s="67">
        <v>46020.703303703704</v>
      </c>
      <c r="E824" s="66" t="s">
        <v>453</v>
      </c>
      <c r="F824" s="66" t="s">
        <v>95</v>
      </c>
      <c r="G824" s="66" t="s">
        <v>454</v>
      </c>
      <c r="H824" s="66" t="s">
        <v>455</v>
      </c>
      <c r="I824" s="66" t="s">
        <v>78</v>
      </c>
      <c r="J824" s="66" t="s">
        <v>456</v>
      </c>
      <c r="K824" s="66" t="s">
        <v>45</v>
      </c>
      <c r="L824" s="68">
        <f>VLOOKUP(E824,[1]Diccionario!C$2:AC$150,22,0)</f>
        <v>484465444</v>
      </c>
      <c r="M824" s="69">
        <f>VLOOKUP(E824,[1]Diccionario!C$2:AC$150,24,0)</f>
        <v>45965</v>
      </c>
      <c r="N824" s="70">
        <f>VLOOKUP(E824,[1]Diccionario!C$2:AC$150,25,0)</f>
        <v>46695</v>
      </c>
      <c r="O824" s="71">
        <f>VLOOKUP(E824,[1]Diccionario!C$2:AC$150,26,0)</f>
        <v>24</v>
      </c>
      <c r="P824" s="71">
        <f t="shared" si="144"/>
        <v>-5</v>
      </c>
      <c r="Q824" s="71">
        <v>19</v>
      </c>
      <c r="R824" s="66">
        <v>25</v>
      </c>
      <c r="S824" s="72">
        <v>0.73199999999999998</v>
      </c>
      <c r="T824" s="72"/>
      <c r="U824" s="93">
        <f>U823+TablaIndicador[[#This Row],[Costo Mensual]]</f>
        <v>373557082.87</v>
      </c>
      <c r="V824" s="73">
        <v>0</v>
      </c>
      <c r="W824" s="73">
        <f t="shared" si="145"/>
        <v>0</v>
      </c>
      <c r="X824" s="73">
        <f t="shared" si="146"/>
        <v>354628705.00800002</v>
      </c>
      <c r="Y824" s="73">
        <f t="shared" si="147"/>
        <v>-373557082.87</v>
      </c>
      <c r="Z824" s="73">
        <f t="shared" si="148"/>
        <v>-354628705.00800002</v>
      </c>
      <c r="AA824" s="75">
        <f t="shared" si="149"/>
        <v>0</v>
      </c>
      <c r="AB824" s="76" t="str">
        <f t="shared" si="150"/>
        <v>No calculado</v>
      </c>
      <c r="AC824" s="76">
        <f t="shared" si="151"/>
        <v>0</v>
      </c>
      <c r="AD824" s="76" t="str">
        <f t="shared" si="152"/>
        <v>Sin Línea Base</v>
      </c>
      <c r="AE824" s="77">
        <f t="shared" si="153"/>
        <v>0</v>
      </c>
      <c r="AF824" s="77">
        <f t="shared" si="154"/>
        <v>-484465444</v>
      </c>
      <c r="AG824" s="78" t="str">
        <f>VLOOKUP(Indicador!E772,[1]Diccionario!C$1:AC$150,27,0)</f>
        <v>https://growdatasas.sharepoint.com/:x:/r/sites/Gestiondocumental/Administrativa/GD/Financiera/_layouts/15/Doc.aspx?sourcedoc=%7B43DC271C-826E-42A6-8DDC-4B4FA4BB2E01%7D&amp;file=MODELO%20FINANCIERO%20-%20RUNT%20IMPLEMENTACI%C3%93N%20CALE%2024112025%20V5.xlsm&amp;action=default&amp;mobileredirect=true</v>
      </c>
      <c r="AH824" s="78">
        <v>1</v>
      </c>
      <c r="AI824" s="78">
        <v>1</v>
      </c>
      <c r="AJ824" s="78"/>
      <c r="AK824" s="78" t="s">
        <v>319</v>
      </c>
    </row>
    <row r="825" spans="1:37" ht="18.75" customHeight="1" x14ac:dyDescent="0.25">
      <c r="A825" s="64">
        <v>2027</v>
      </c>
      <c r="B825" s="65" t="s">
        <v>51</v>
      </c>
      <c r="C825" s="66" t="s">
        <v>452</v>
      </c>
      <c r="D825" s="67">
        <v>46020.703303703704</v>
      </c>
      <c r="E825" s="66" t="s">
        <v>453</v>
      </c>
      <c r="F825" s="66" t="s">
        <v>95</v>
      </c>
      <c r="G825" s="66" t="s">
        <v>454</v>
      </c>
      <c r="H825" s="66" t="s">
        <v>455</v>
      </c>
      <c r="I825" s="66" t="s">
        <v>78</v>
      </c>
      <c r="J825" s="66" t="s">
        <v>456</v>
      </c>
      <c r="K825" s="66" t="s">
        <v>45</v>
      </c>
      <c r="L825" s="68">
        <f>VLOOKUP(E825,[1]Diccionario!C$2:AC$150,22,0)</f>
        <v>484465444</v>
      </c>
      <c r="M825" s="69">
        <f>VLOOKUP(E825,[1]Diccionario!C$2:AC$150,24,0)</f>
        <v>45965</v>
      </c>
      <c r="N825" s="70">
        <f>VLOOKUP(E825,[1]Diccionario!C$2:AC$150,25,0)</f>
        <v>46695</v>
      </c>
      <c r="O825" s="71">
        <f>VLOOKUP(E825,[1]Diccionario!C$2:AC$150,26,0)</f>
        <v>24</v>
      </c>
      <c r="P825" s="71">
        <f t="shared" si="144"/>
        <v>-4</v>
      </c>
      <c r="Q825" s="71">
        <v>20</v>
      </c>
      <c r="R825" s="66">
        <v>25</v>
      </c>
      <c r="S825" s="72">
        <v>0.76800000000000002</v>
      </c>
      <c r="T825" s="72"/>
      <c r="U825" s="93">
        <f>U824+TablaIndicador[[#This Row],[Costo Mensual]]</f>
        <v>373557082.87</v>
      </c>
      <c r="V825" s="73">
        <v>0</v>
      </c>
      <c r="W825" s="73">
        <f t="shared" si="145"/>
        <v>0</v>
      </c>
      <c r="X825" s="73">
        <f t="shared" si="146"/>
        <v>372069460.99199998</v>
      </c>
      <c r="Y825" s="73">
        <f t="shared" si="147"/>
        <v>-373557082.87</v>
      </c>
      <c r="Z825" s="73">
        <f t="shared" si="148"/>
        <v>-372069460.99199998</v>
      </c>
      <c r="AA825" s="75">
        <f t="shared" si="149"/>
        <v>0</v>
      </c>
      <c r="AB825" s="76" t="str">
        <f t="shared" si="150"/>
        <v>No calculado</v>
      </c>
      <c r="AC825" s="76">
        <f t="shared" si="151"/>
        <v>0</v>
      </c>
      <c r="AD825" s="76" t="str">
        <f t="shared" si="152"/>
        <v>Sin Línea Base</v>
      </c>
      <c r="AE825" s="77">
        <f t="shared" si="153"/>
        <v>0</v>
      </c>
      <c r="AF825" s="77">
        <f t="shared" si="154"/>
        <v>-484465444</v>
      </c>
      <c r="AG825" s="78" t="str">
        <f>VLOOKUP(Indicador!E773,[1]Diccionario!C$1:AC$150,27,0)</f>
        <v>https://growdatasas.sharepoint.com/:x:/r/sites/Gestiondocumental/Administrativa/GD/Financiera/_layouts/15/Doc.aspx?sourcedoc=%7B43DC271C-826E-42A6-8DDC-4B4FA4BB2E01%7D&amp;file=MODELO%20FINANCIERO%20-%20RUNT%20IMPLEMENTACI%C3%93N%20CALE%2024112025%20V5.xlsm&amp;action=default&amp;mobileredirect=true</v>
      </c>
      <c r="AH825" s="78">
        <v>1</v>
      </c>
      <c r="AI825" s="78">
        <v>1</v>
      </c>
      <c r="AJ825" s="78"/>
      <c r="AK825" s="78" t="s">
        <v>319</v>
      </c>
    </row>
    <row r="826" spans="1:37" ht="18.75" customHeight="1" x14ac:dyDescent="0.25">
      <c r="A826" s="64">
        <v>2027</v>
      </c>
      <c r="B826" s="65" t="s">
        <v>52</v>
      </c>
      <c r="C826" s="66" t="s">
        <v>452</v>
      </c>
      <c r="D826" s="67">
        <v>46020.703303703704</v>
      </c>
      <c r="E826" s="66" t="s">
        <v>453</v>
      </c>
      <c r="F826" s="66" t="s">
        <v>95</v>
      </c>
      <c r="G826" s="66" t="s">
        <v>454</v>
      </c>
      <c r="H826" s="66" t="s">
        <v>455</v>
      </c>
      <c r="I826" s="66" t="s">
        <v>78</v>
      </c>
      <c r="J826" s="66" t="s">
        <v>456</v>
      </c>
      <c r="K826" s="66" t="s">
        <v>45</v>
      </c>
      <c r="L826" s="68">
        <f>VLOOKUP(E826,[1]Diccionario!C$2:AC$150,22,0)</f>
        <v>484465444</v>
      </c>
      <c r="M826" s="69">
        <f>VLOOKUP(E826,[1]Diccionario!C$2:AC$150,24,0)</f>
        <v>45965</v>
      </c>
      <c r="N826" s="70">
        <f>VLOOKUP(E826,[1]Diccionario!C$2:AC$150,25,0)</f>
        <v>46695</v>
      </c>
      <c r="O826" s="71">
        <f>VLOOKUP(E826,[1]Diccionario!C$2:AC$150,26,0)</f>
        <v>24</v>
      </c>
      <c r="P826" s="71">
        <f t="shared" si="144"/>
        <v>-3</v>
      </c>
      <c r="Q826" s="71">
        <v>21</v>
      </c>
      <c r="R826" s="66">
        <v>25</v>
      </c>
      <c r="S826" s="72">
        <v>0.80400000000000005</v>
      </c>
      <c r="T826" s="72"/>
      <c r="U826" s="93">
        <f>U825+TablaIndicador[[#This Row],[Costo Mensual]]</f>
        <v>373557082.87</v>
      </c>
      <c r="V826" s="73">
        <v>0</v>
      </c>
      <c r="W826" s="73">
        <f t="shared" si="145"/>
        <v>0</v>
      </c>
      <c r="X826" s="73">
        <f t="shared" si="146"/>
        <v>389510216.97600001</v>
      </c>
      <c r="Y826" s="73">
        <f t="shared" si="147"/>
        <v>-373557082.87</v>
      </c>
      <c r="Z826" s="73">
        <f t="shared" si="148"/>
        <v>-389510216.97600001</v>
      </c>
      <c r="AA826" s="75">
        <f t="shared" si="149"/>
        <v>0</v>
      </c>
      <c r="AB826" s="76" t="str">
        <f t="shared" si="150"/>
        <v>No calculado</v>
      </c>
      <c r="AC826" s="76">
        <f t="shared" si="151"/>
        <v>0</v>
      </c>
      <c r="AD826" s="76" t="str">
        <f t="shared" si="152"/>
        <v>Sin Línea Base</v>
      </c>
      <c r="AE826" s="77">
        <f t="shared" si="153"/>
        <v>0</v>
      </c>
      <c r="AF826" s="77">
        <f t="shared" si="154"/>
        <v>-484465444</v>
      </c>
      <c r="AG826" s="78" t="str">
        <f>VLOOKUP(Indicador!E774,[1]Diccionario!C$1:AC$150,27,0)</f>
        <v>https://growdatasas.sharepoint.com/:x:/r/sites/Gestiondocumental/Administrativa/GD/Financiera/_layouts/15/Doc.aspx?sourcedoc=%7B43DC271C-826E-42A6-8DDC-4B4FA4BB2E01%7D&amp;file=MODELO%20FINANCIERO%20-%20RUNT%20IMPLEMENTACI%C3%93N%20CALE%2024112025%20V5.xlsm&amp;action=default&amp;mobileredirect=true</v>
      </c>
      <c r="AH826" s="78">
        <v>1</v>
      </c>
      <c r="AI826" s="78">
        <v>1</v>
      </c>
      <c r="AJ826" s="78"/>
      <c r="AK826" s="78" t="s">
        <v>319</v>
      </c>
    </row>
    <row r="827" spans="1:37" ht="18.75" customHeight="1" x14ac:dyDescent="0.25">
      <c r="A827" s="64">
        <v>2027</v>
      </c>
      <c r="B827" s="65" t="s">
        <v>53</v>
      </c>
      <c r="C827" s="66" t="s">
        <v>452</v>
      </c>
      <c r="D827" s="67">
        <v>46020.703303703704</v>
      </c>
      <c r="E827" s="66" t="s">
        <v>453</v>
      </c>
      <c r="F827" s="66" t="s">
        <v>95</v>
      </c>
      <c r="G827" s="66" t="s">
        <v>454</v>
      </c>
      <c r="H827" s="66" t="s">
        <v>455</v>
      </c>
      <c r="I827" s="66" t="s">
        <v>78</v>
      </c>
      <c r="J827" s="66" t="s">
        <v>456</v>
      </c>
      <c r="K827" s="66" t="s">
        <v>45</v>
      </c>
      <c r="L827" s="68">
        <f>VLOOKUP(E827,[1]Diccionario!C$2:AC$150,22,0)</f>
        <v>484465444</v>
      </c>
      <c r="M827" s="69">
        <f>VLOOKUP(E827,[1]Diccionario!C$2:AC$150,24,0)</f>
        <v>45965</v>
      </c>
      <c r="N827" s="70">
        <f>VLOOKUP(E827,[1]Diccionario!C$2:AC$150,25,0)</f>
        <v>46695</v>
      </c>
      <c r="O827" s="71">
        <f>VLOOKUP(E827,[1]Diccionario!C$2:AC$150,26,0)</f>
        <v>24</v>
      </c>
      <c r="P827" s="71">
        <f t="shared" si="144"/>
        <v>-2</v>
      </c>
      <c r="Q827" s="71">
        <v>22</v>
      </c>
      <c r="R827" s="66">
        <v>25</v>
      </c>
      <c r="S827" s="72">
        <v>0.84</v>
      </c>
      <c r="T827" s="72"/>
      <c r="U827" s="93">
        <f>U826+TablaIndicador[[#This Row],[Costo Mensual]]</f>
        <v>373557082.87</v>
      </c>
      <c r="V827" s="73">
        <v>0</v>
      </c>
      <c r="W827" s="73">
        <f t="shared" si="145"/>
        <v>0</v>
      </c>
      <c r="X827" s="73">
        <f t="shared" si="146"/>
        <v>406950972.95999998</v>
      </c>
      <c r="Y827" s="73">
        <f t="shared" si="147"/>
        <v>-373557082.87</v>
      </c>
      <c r="Z827" s="73">
        <f t="shared" si="148"/>
        <v>-406950972.95999998</v>
      </c>
      <c r="AA827" s="75">
        <f t="shared" si="149"/>
        <v>0</v>
      </c>
      <c r="AB827" s="76" t="str">
        <f t="shared" si="150"/>
        <v>No calculado</v>
      </c>
      <c r="AC827" s="76">
        <f t="shared" si="151"/>
        <v>0</v>
      </c>
      <c r="AD827" s="76" t="str">
        <f t="shared" si="152"/>
        <v>Sin Línea Base</v>
      </c>
      <c r="AE827" s="77">
        <f t="shared" si="153"/>
        <v>0</v>
      </c>
      <c r="AF827" s="77">
        <f t="shared" si="154"/>
        <v>-484465444</v>
      </c>
      <c r="AG827" s="78" t="str">
        <f>VLOOKUP(Indicador!E775,[1]Diccionario!C$1:AC$150,27,0)</f>
        <v>https://growdatasas.sharepoint.com/:x:/r/sites/Gestiondocumental/Administrativa/GD/Financiera/_layouts/15/Doc.aspx?sourcedoc=%7B43DC271C-826E-42A6-8DDC-4B4FA4BB2E01%7D&amp;file=MODELO%20FINANCIERO%20-%20RUNT%20IMPLEMENTACI%C3%93N%20CALE%2024112025%20V5.xlsm&amp;action=default&amp;mobileredirect=true</v>
      </c>
      <c r="AH827" s="78">
        <v>1</v>
      </c>
      <c r="AI827" s="78">
        <v>1</v>
      </c>
      <c r="AJ827" s="78"/>
      <c r="AK827" s="78" t="s">
        <v>319</v>
      </c>
    </row>
    <row r="828" spans="1:37" ht="18.75" customHeight="1" x14ac:dyDescent="0.25">
      <c r="A828" s="64">
        <v>2027</v>
      </c>
      <c r="B828" s="65" t="s">
        <v>54</v>
      </c>
      <c r="C828" s="66" t="s">
        <v>452</v>
      </c>
      <c r="D828" s="67">
        <v>46020.703303703704</v>
      </c>
      <c r="E828" s="66" t="s">
        <v>453</v>
      </c>
      <c r="F828" s="66" t="s">
        <v>95</v>
      </c>
      <c r="G828" s="66" t="s">
        <v>454</v>
      </c>
      <c r="H828" s="66" t="s">
        <v>455</v>
      </c>
      <c r="I828" s="66" t="s">
        <v>78</v>
      </c>
      <c r="J828" s="66" t="s">
        <v>456</v>
      </c>
      <c r="K828" s="66" t="s">
        <v>45</v>
      </c>
      <c r="L828" s="68">
        <f>VLOOKUP(E828,[1]Diccionario!C$2:AC$150,22,0)</f>
        <v>484465444</v>
      </c>
      <c r="M828" s="69">
        <f>VLOOKUP(E828,[1]Diccionario!C$2:AC$150,24,0)</f>
        <v>45965</v>
      </c>
      <c r="N828" s="70">
        <f>VLOOKUP(E828,[1]Diccionario!C$2:AC$150,25,0)</f>
        <v>46695</v>
      </c>
      <c r="O828" s="71">
        <f>VLOOKUP(E828,[1]Diccionario!C$2:AC$150,26,0)</f>
        <v>24</v>
      </c>
      <c r="P828" s="71">
        <f t="shared" si="144"/>
        <v>-1</v>
      </c>
      <c r="Q828" s="71">
        <v>23</v>
      </c>
      <c r="R828" s="66">
        <v>25</v>
      </c>
      <c r="S828" s="72">
        <v>0.876</v>
      </c>
      <c r="T828" s="72"/>
      <c r="U828" s="93">
        <f>U827+TablaIndicador[[#This Row],[Costo Mensual]]</f>
        <v>373557082.87</v>
      </c>
      <c r="V828" s="73">
        <v>0</v>
      </c>
      <c r="W828" s="73">
        <f t="shared" si="145"/>
        <v>0</v>
      </c>
      <c r="X828" s="73">
        <f t="shared" si="146"/>
        <v>424391728.94400001</v>
      </c>
      <c r="Y828" s="73">
        <f t="shared" si="147"/>
        <v>-373557082.87</v>
      </c>
      <c r="Z828" s="73">
        <f t="shared" si="148"/>
        <v>-424391728.94400001</v>
      </c>
      <c r="AA828" s="75">
        <f t="shared" si="149"/>
        <v>0</v>
      </c>
      <c r="AB828" s="76" t="str">
        <f t="shared" si="150"/>
        <v>No calculado</v>
      </c>
      <c r="AC828" s="76">
        <f t="shared" si="151"/>
        <v>0</v>
      </c>
      <c r="AD828" s="76" t="str">
        <f t="shared" si="152"/>
        <v>Sin Línea Base</v>
      </c>
      <c r="AE828" s="77">
        <f t="shared" si="153"/>
        <v>0</v>
      </c>
      <c r="AF828" s="77">
        <f t="shared" si="154"/>
        <v>-484465444</v>
      </c>
      <c r="AG828" s="78" t="str">
        <f>VLOOKUP(Indicador!E776,[1]Diccionario!C$1:AC$150,27,0)</f>
        <v>https://growdatasas.sharepoint.com/:x:/r/sites/Gestiondocumental/Administrativa/GD/Financiera/_layouts/15/Doc.aspx?sourcedoc=%7B43DC271C-826E-42A6-8DDC-4B4FA4BB2E01%7D&amp;file=MODELO%20FINANCIERO%20-%20RUNT%20IMPLEMENTACI%C3%93N%20CALE%2024112025%20V5.xlsm&amp;action=default&amp;mobileredirect=true</v>
      </c>
      <c r="AH828" s="78">
        <v>1</v>
      </c>
      <c r="AI828" s="78">
        <v>1</v>
      </c>
      <c r="AJ828" s="78"/>
      <c r="AK828" s="78" t="s">
        <v>319</v>
      </c>
    </row>
    <row r="829" spans="1:37" ht="18.75" customHeight="1" x14ac:dyDescent="0.25">
      <c r="A829" s="64">
        <v>2027</v>
      </c>
      <c r="B829" s="65" t="s">
        <v>55</v>
      </c>
      <c r="C829" s="66" t="s">
        <v>452</v>
      </c>
      <c r="D829" s="67">
        <v>46020.703303703704</v>
      </c>
      <c r="E829" s="66" t="s">
        <v>453</v>
      </c>
      <c r="F829" s="66" t="s">
        <v>95</v>
      </c>
      <c r="G829" s="66" t="s">
        <v>454</v>
      </c>
      <c r="H829" s="66" t="s">
        <v>455</v>
      </c>
      <c r="I829" s="66" t="s">
        <v>78</v>
      </c>
      <c r="J829" s="66" t="s">
        <v>456</v>
      </c>
      <c r="K829" s="66" t="s">
        <v>45</v>
      </c>
      <c r="L829" s="68">
        <f>VLOOKUP(E829,[1]Diccionario!C$2:AC$150,22,0)</f>
        <v>484465444</v>
      </c>
      <c r="M829" s="69">
        <f>VLOOKUP(E829,[1]Diccionario!C$2:AC$150,24,0)</f>
        <v>45965</v>
      </c>
      <c r="N829" s="70">
        <f>VLOOKUP(E829,[1]Diccionario!C$2:AC$150,25,0)</f>
        <v>46695</v>
      </c>
      <c r="O829" s="71">
        <f>VLOOKUP(E829,[1]Diccionario!C$2:AC$150,26,0)</f>
        <v>24</v>
      </c>
      <c r="P829" s="71">
        <f t="shared" si="144"/>
        <v>0</v>
      </c>
      <c r="Q829" s="71">
        <v>24</v>
      </c>
      <c r="R829" s="66">
        <v>25</v>
      </c>
      <c r="S829" s="72">
        <v>0.95</v>
      </c>
      <c r="T829" s="72"/>
      <c r="U829" s="93">
        <f>U828+TablaIndicador[[#This Row],[Costo Mensual]]</f>
        <v>373557082.87</v>
      </c>
      <c r="V829" s="73">
        <v>0</v>
      </c>
      <c r="W829" s="73">
        <f t="shared" si="145"/>
        <v>0</v>
      </c>
      <c r="X829" s="73">
        <f t="shared" si="146"/>
        <v>460242171.79999995</v>
      </c>
      <c r="Y829" s="73">
        <f t="shared" si="147"/>
        <v>-373557082.87</v>
      </c>
      <c r="Z829" s="73">
        <f t="shared" si="148"/>
        <v>-460242171.79999995</v>
      </c>
      <c r="AA829" s="75">
        <f t="shared" si="149"/>
        <v>0</v>
      </c>
      <c r="AB829" s="76" t="str">
        <f t="shared" si="150"/>
        <v>No calculado</v>
      </c>
      <c r="AC829" s="76">
        <f t="shared" si="151"/>
        <v>0</v>
      </c>
      <c r="AD829" s="76" t="str">
        <f t="shared" si="152"/>
        <v>Sin Línea Base</v>
      </c>
      <c r="AE829" s="77">
        <f t="shared" si="153"/>
        <v>0</v>
      </c>
      <c r="AF829" s="77">
        <f t="shared" si="154"/>
        <v>-484465444</v>
      </c>
      <c r="AG829" s="78" t="str">
        <f>VLOOKUP(Indicador!E777,[1]Diccionario!C$1:AC$150,27,0)</f>
        <v>https://growdatasas.sharepoint.com/:x:/r/sites/Gestiondocumental/Administrativa/GD/Financiera/_layouts/15/Doc.aspx?sourcedoc=%7B43DC271C-826E-42A6-8DDC-4B4FA4BB2E01%7D&amp;file=MODELO%20FINANCIERO%20-%20RUNT%20IMPLEMENTACI%C3%93N%20CALE%2024112025%20V5.xlsm&amp;action=default&amp;mobileredirect=true</v>
      </c>
      <c r="AH829" s="78">
        <v>1</v>
      </c>
      <c r="AI829" s="78">
        <v>1</v>
      </c>
      <c r="AJ829" s="78"/>
      <c r="AK829" s="78" t="s">
        <v>319</v>
      </c>
    </row>
    <row r="830" spans="1:37" ht="18.75" customHeight="1" x14ac:dyDescent="0.25">
      <c r="A830" s="64">
        <v>2027</v>
      </c>
      <c r="B830" s="65" t="s">
        <v>56</v>
      </c>
      <c r="C830" s="66" t="s">
        <v>452</v>
      </c>
      <c r="D830" s="67">
        <v>46020.703303703704</v>
      </c>
      <c r="E830" s="66" t="s">
        <v>453</v>
      </c>
      <c r="F830" s="66" t="s">
        <v>95</v>
      </c>
      <c r="G830" s="66" t="s">
        <v>454</v>
      </c>
      <c r="H830" s="66" t="s">
        <v>455</v>
      </c>
      <c r="I830" s="66" t="s">
        <v>78</v>
      </c>
      <c r="J830" s="66" t="s">
        <v>456</v>
      </c>
      <c r="K830" s="66" t="s">
        <v>45</v>
      </c>
      <c r="L830" s="68">
        <f>VLOOKUP(E830,[1]Diccionario!C$2:AC$150,22,0)</f>
        <v>484465444</v>
      </c>
      <c r="M830" s="69">
        <f>VLOOKUP(E830,[1]Diccionario!C$2:AC$150,24,0)</f>
        <v>45965</v>
      </c>
      <c r="N830" s="70">
        <f>VLOOKUP(E830,[1]Diccionario!C$2:AC$150,25,0)</f>
        <v>46695</v>
      </c>
      <c r="O830" s="71">
        <f>VLOOKUP(E830,[1]Diccionario!C$2:AC$150,26,0)</f>
        <v>24</v>
      </c>
      <c r="P830" s="71">
        <f t="shared" si="144"/>
        <v>1</v>
      </c>
      <c r="Q830" s="71">
        <v>25</v>
      </c>
      <c r="R830" s="66">
        <v>25</v>
      </c>
      <c r="S830" s="72">
        <v>1</v>
      </c>
      <c r="T830" s="72"/>
      <c r="U830" s="93">
        <f>U829+TablaIndicador[[#This Row],[Costo Mensual]]</f>
        <v>373557082.87</v>
      </c>
      <c r="V830" s="73">
        <v>0</v>
      </c>
      <c r="W830" s="73">
        <f t="shared" si="145"/>
        <v>0</v>
      </c>
      <c r="X830" s="73">
        <f t="shared" si="146"/>
        <v>484465444</v>
      </c>
      <c r="Y830" s="73">
        <f t="shared" si="147"/>
        <v>-373557082.87</v>
      </c>
      <c r="Z830" s="73">
        <f t="shared" si="148"/>
        <v>-484465444</v>
      </c>
      <c r="AA830" s="75">
        <f t="shared" si="149"/>
        <v>0</v>
      </c>
      <c r="AB830" s="76" t="str">
        <f t="shared" si="150"/>
        <v>No calculado</v>
      </c>
      <c r="AC830" s="76">
        <f t="shared" si="151"/>
        <v>0</v>
      </c>
      <c r="AD830" s="76" t="str">
        <f t="shared" si="152"/>
        <v>Sin Línea Base</v>
      </c>
      <c r="AE830" s="77">
        <f t="shared" si="153"/>
        <v>0</v>
      </c>
      <c r="AF830" s="77">
        <f t="shared" si="154"/>
        <v>-484465444</v>
      </c>
      <c r="AG830" s="78" t="str">
        <f>VLOOKUP(Indicador!E778,[1]Diccionario!C$1:AC$150,27,0)</f>
        <v>https://growdatasas.sharepoint.com/:x:/r/sites/Gestiondocumental/Administrativa/GD/Financiera/_layouts/15/Doc.aspx?sourcedoc=%7BEE2DBDF3-CCDC-4051-9840-1FAD6578D68D%7D&amp;file=MODELO%20MINVIVIENDA%20V1.4.%20(aprobado).xlsm&amp;action=default&amp;mobileredirect=true</v>
      </c>
      <c r="AH830" s="78">
        <v>1</v>
      </c>
      <c r="AI830" s="78">
        <v>1</v>
      </c>
      <c r="AJ830" s="78"/>
      <c r="AK830" s="78" t="s">
        <v>319</v>
      </c>
    </row>
    <row r="831" spans="1:37" ht="18.75" customHeight="1" x14ac:dyDescent="0.25">
      <c r="A831" s="64">
        <v>2025</v>
      </c>
      <c r="B831" s="65" t="s">
        <v>57</v>
      </c>
      <c r="C831" s="66" t="s">
        <v>457</v>
      </c>
      <c r="D831" s="67">
        <v>46021.841486574071</v>
      </c>
      <c r="E831" s="66" t="s">
        <v>458</v>
      </c>
      <c r="F831" s="66" t="s">
        <v>140</v>
      </c>
      <c r="G831" s="66" t="s">
        <v>459</v>
      </c>
      <c r="H831" s="66" t="s">
        <v>460</v>
      </c>
      <c r="I831" s="66" t="s">
        <v>78</v>
      </c>
      <c r="J831" s="66" t="s">
        <v>438</v>
      </c>
      <c r="K831" s="66" t="s">
        <v>45</v>
      </c>
      <c r="L831" s="68">
        <f>VLOOKUP(E831,[1]Diccionario!C$2:AC$150,22,0)</f>
        <v>3013668998</v>
      </c>
      <c r="M831" s="69">
        <f>VLOOKUP(E831,[1]Diccionario!C$2:AC$150,24,0)</f>
        <v>46006</v>
      </c>
      <c r="N831" s="70">
        <f>VLOOKUP(E831,[1]Diccionario!C$2:AC$150,25,0)</f>
        <v>46766</v>
      </c>
      <c r="O831" s="71">
        <f>VLOOKUP(E831,[1]Diccionario!C$2:AC$150,26,0)</f>
        <v>24.97</v>
      </c>
      <c r="P831" s="71">
        <f t="shared" ref="P831:P894" si="156">Q831-O831</f>
        <v>-23.97</v>
      </c>
      <c r="Q831" s="71">
        <v>1</v>
      </c>
      <c r="R831" s="66">
        <v>25</v>
      </c>
      <c r="S831" s="72">
        <v>0.05</v>
      </c>
      <c r="T831" s="72">
        <v>0.05</v>
      </c>
      <c r="U831" s="73">
        <f>TablaIndicador[[#This Row],[Costo Mensual]]</f>
        <v>133639975.47</v>
      </c>
      <c r="V831" s="74">
        <v>133639975.47</v>
      </c>
      <c r="W831" s="73">
        <f t="shared" si="145"/>
        <v>150683449.90000001</v>
      </c>
      <c r="X831" s="73">
        <f t="shared" si="146"/>
        <v>150683449.90000001</v>
      </c>
      <c r="Y831" s="73">
        <f t="shared" si="147"/>
        <v>17043474.430000007</v>
      </c>
      <c r="Z831" s="73">
        <f t="shared" si="148"/>
        <v>0</v>
      </c>
      <c r="AA831" s="75">
        <f t="shared" si="149"/>
        <v>1.127532756348238</v>
      </c>
      <c r="AB831" s="76" t="str">
        <f t="shared" si="150"/>
        <v>Costo eficiente: se está gastando menos de lo presupuestado</v>
      </c>
      <c r="AC831" s="76">
        <f t="shared" si="151"/>
        <v>1</v>
      </c>
      <c r="AD831" s="76" t="str">
        <f t="shared" si="152"/>
        <v>Proyecto a tiempo según lo planificado</v>
      </c>
      <c r="AE831" s="77">
        <f t="shared" si="153"/>
        <v>2672799509.3999996</v>
      </c>
      <c r="AF831" s="77">
        <f t="shared" si="154"/>
        <v>-340869488.60000038</v>
      </c>
      <c r="AG831" s="78" t="str">
        <f>VLOOKUP(Indicador!E810,[1]Diccionario!C$1:AC$150,27,0)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31" s="78">
        <v>1</v>
      </c>
      <c r="AI831" s="78">
        <v>1</v>
      </c>
      <c r="AJ831" s="78"/>
      <c r="AK831" s="78" t="s">
        <v>319</v>
      </c>
    </row>
    <row r="832" spans="1:37" ht="18.75" customHeight="1" x14ac:dyDescent="0.25">
      <c r="A832" s="64">
        <v>2026</v>
      </c>
      <c r="B832" s="65" t="s">
        <v>37</v>
      </c>
      <c r="C832" s="66" t="s">
        <v>457</v>
      </c>
      <c r="D832" s="67">
        <v>46021.841486574071</v>
      </c>
      <c r="E832" s="66" t="s">
        <v>458</v>
      </c>
      <c r="F832" s="66" t="s">
        <v>140</v>
      </c>
      <c r="G832" s="66" t="s">
        <v>459</v>
      </c>
      <c r="H832" s="66" t="s">
        <v>460</v>
      </c>
      <c r="I832" s="66" t="s">
        <v>78</v>
      </c>
      <c r="J832" s="66" t="s">
        <v>438</v>
      </c>
      <c r="K832" s="66" t="s">
        <v>45</v>
      </c>
      <c r="L832" s="68">
        <f>VLOOKUP(E832,[1]Diccionario!C$2:AC$150,22,0)</f>
        <v>3013668998</v>
      </c>
      <c r="M832" s="69">
        <f>VLOOKUP(E832,[1]Diccionario!C$2:AC$150,24,0)</f>
        <v>46006</v>
      </c>
      <c r="N832" s="70">
        <f>VLOOKUP(E832,[1]Diccionario!C$2:AC$150,25,0)</f>
        <v>46766</v>
      </c>
      <c r="O832" s="71">
        <f>VLOOKUP(E832,[1]Diccionario!C$2:AC$150,26,0)</f>
        <v>24.97</v>
      </c>
      <c r="P832" s="71">
        <f t="shared" ca="1" si="156"/>
        <v>-21.97</v>
      </c>
      <c r="Q832" s="71">
        <f ca="1">DATEDIF(M832,TODAY(),"m")</f>
        <v>3</v>
      </c>
      <c r="R832" s="66">
        <v>25</v>
      </c>
      <c r="S832" s="72">
        <v>0.1</v>
      </c>
      <c r="T832" s="72">
        <v>0.1</v>
      </c>
      <c r="U832" s="73">
        <f>U831+TablaIndicador[[#This Row],[Costo Mensual]]</f>
        <v>133639975.47</v>
      </c>
      <c r="V832" s="73">
        <v>0</v>
      </c>
      <c r="W832" s="73">
        <f t="shared" si="145"/>
        <v>301366899.80000001</v>
      </c>
      <c r="X832" s="73">
        <f t="shared" si="146"/>
        <v>301366899.80000001</v>
      </c>
      <c r="Y832" s="73">
        <f t="shared" si="147"/>
        <v>167726924.33000001</v>
      </c>
      <c r="Z832" s="73">
        <f t="shared" si="148"/>
        <v>0</v>
      </c>
      <c r="AA832" s="75">
        <f t="shared" si="149"/>
        <v>2.255065512696476</v>
      </c>
      <c r="AB832" s="76" t="str">
        <f t="shared" si="150"/>
        <v>Costo eficiente: se está gastando menos de lo presupuestado</v>
      </c>
      <c r="AC832" s="76">
        <f t="shared" si="151"/>
        <v>1</v>
      </c>
      <c r="AD832" s="76" t="str">
        <f t="shared" si="152"/>
        <v>Proyecto a tiempo según lo planificado</v>
      </c>
      <c r="AE832" s="77">
        <f t="shared" si="153"/>
        <v>1336399754.6999998</v>
      </c>
      <c r="AF832" s="77">
        <f t="shared" si="154"/>
        <v>-1677269243.3000002</v>
      </c>
      <c r="AG832" s="78" t="str">
        <f>VLOOKUP(Indicador!E811,[1]Diccionario!C$1:AC$150,27,0)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32" s="78">
        <v>1</v>
      </c>
      <c r="AI832" s="78">
        <v>1</v>
      </c>
      <c r="AJ832" s="78"/>
      <c r="AK832" s="78" t="s">
        <v>319</v>
      </c>
    </row>
    <row r="833" spans="1:37" ht="18.75" customHeight="1" x14ac:dyDescent="0.25">
      <c r="A833" s="64">
        <v>2026</v>
      </c>
      <c r="B833" s="65" t="s">
        <v>47</v>
      </c>
      <c r="C833" s="66" t="s">
        <v>457</v>
      </c>
      <c r="D833" s="67">
        <v>46021.841486574071</v>
      </c>
      <c r="E833" s="66" t="s">
        <v>458</v>
      </c>
      <c r="F833" s="66" t="s">
        <v>140</v>
      </c>
      <c r="G833" s="66" t="s">
        <v>459</v>
      </c>
      <c r="H833" s="66" t="s">
        <v>460</v>
      </c>
      <c r="I833" s="66" t="s">
        <v>78</v>
      </c>
      <c r="J833" s="66" t="s">
        <v>438</v>
      </c>
      <c r="K833" s="66" t="s">
        <v>45</v>
      </c>
      <c r="L833" s="68">
        <f>VLOOKUP(E833,[1]Diccionario!C$2:AC$150,22,0)</f>
        <v>3013668998</v>
      </c>
      <c r="M833" s="69">
        <f>VLOOKUP(E833,[1]Diccionario!C$2:AC$150,24,0)</f>
        <v>46006</v>
      </c>
      <c r="N833" s="70">
        <f>VLOOKUP(E833,[1]Diccionario!C$2:AC$150,25,0)</f>
        <v>46766</v>
      </c>
      <c r="O833" s="71">
        <f>VLOOKUP(E833,[1]Diccionario!C$2:AC$150,26,0)</f>
        <v>24.97</v>
      </c>
      <c r="P833" s="71">
        <f t="shared" si="156"/>
        <v>-21.97</v>
      </c>
      <c r="Q833" s="71">
        <v>3</v>
      </c>
      <c r="R833" s="66">
        <v>25</v>
      </c>
      <c r="S833" s="72">
        <v>0.15</v>
      </c>
      <c r="T833" s="72">
        <v>0.15</v>
      </c>
      <c r="U833" s="73">
        <f>U832+TablaIndicador[[#This Row],[Costo Mensual]]</f>
        <v>133639975.47</v>
      </c>
      <c r="V833" s="73">
        <v>0</v>
      </c>
      <c r="W833" s="73">
        <f t="shared" si="145"/>
        <v>452050349.69999999</v>
      </c>
      <c r="X833" s="73">
        <f t="shared" si="146"/>
        <v>452050349.69999999</v>
      </c>
      <c r="Y833" s="73">
        <f t="shared" si="147"/>
        <v>318410374.23000002</v>
      </c>
      <c r="Z833" s="73">
        <f t="shared" si="148"/>
        <v>0</v>
      </c>
      <c r="AA833" s="75">
        <f t="shared" si="149"/>
        <v>3.3825982690447138</v>
      </c>
      <c r="AB833" s="76" t="str">
        <f t="shared" si="150"/>
        <v>Costo eficiente: se está gastando menos de lo presupuestado</v>
      </c>
      <c r="AC833" s="76">
        <f t="shared" si="151"/>
        <v>1</v>
      </c>
      <c r="AD833" s="76" t="str">
        <f t="shared" si="152"/>
        <v>Proyecto a tiempo según lo planificado</v>
      </c>
      <c r="AE833" s="77">
        <f t="shared" si="153"/>
        <v>890933169.79999995</v>
      </c>
      <c r="AF833" s="77">
        <f t="shared" si="154"/>
        <v>-2122735828.2</v>
      </c>
      <c r="AG833" s="78" t="str">
        <f>VLOOKUP(Indicador!E812,[1]Diccionario!C$1:AC$150,27,0)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33" s="78">
        <v>1</v>
      </c>
      <c r="AI833" s="78">
        <v>1</v>
      </c>
      <c r="AJ833" s="78"/>
      <c r="AK833" s="78" t="s">
        <v>319</v>
      </c>
    </row>
    <row r="834" spans="1:37" ht="18.75" customHeight="1" x14ac:dyDescent="0.25">
      <c r="A834" s="64">
        <v>2026</v>
      </c>
      <c r="B834" s="65" t="s">
        <v>48</v>
      </c>
      <c r="C834" s="66" t="s">
        <v>457</v>
      </c>
      <c r="D834" s="67">
        <v>46021.841486574071</v>
      </c>
      <c r="E834" s="66" t="s">
        <v>458</v>
      </c>
      <c r="F834" s="66" t="s">
        <v>140</v>
      </c>
      <c r="G834" s="66" t="s">
        <v>459</v>
      </c>
      <c r="H834" s="66" t="s">
        <v>460</v>
      </c>
      <c r="I834" s="66" t="s">
        <v>78</v>
      </c>
      <c r="J834" s="66" t="s">
        <v>438</v>
      </c>
      <c r="K834" s="66" t="s">
        <v>45</v>
      </c>
      <c r="L834" s="68">
        <f>VLOOKUP(E834,[1]Diccionario!C$2:AC$150,22,0)</f>
        <v>3013668998</v>
      </c>
      <c r="M834" s="69">
        <f>VLOOKUP(E834,[1]Diccionario!C$2:AC$150,24,0)</f>
        <v>46006</v>
      </c>
      <c r="N834" s="70">
        <f>VLOOKUP(E834,[1]Diccionario!C$2:AC$150,25,0)</f>
        <v>46766</v>
      </c>
      <c r="O834" s="71">
        <f>VLOOKUP(E834,[1]Diccionario!C$2:AC$150,26,0)</f>
        <v>24.97</v>
      </c>
      <c r="P834" s="71">
        <f t="shared" si="156"/>
        <v>-20.97</v>
      </c>
      <c r="Q834" s="71">
        <v>4</v>
      </c>
      <c r="R834" s="66">
        <v>25</v>
      </c>
      <c r="S834" s="72">
        <v>0.2</v>
      </c>
      <c r="T834" s="72"/>
      <c r="U834" s="73">
        <f>U833+TablaIndicador[[#This Row],[Costo Mensual]]</f>
        <v>133639975.47</v>
      </c>
      <c r="V834" s="73">
        <v>0</v>
      </c>
      <c r="W834" s="73">
        <f t="shared" ref="W834:W897" si="157">IFERROR(T834*L834,0)</f>
        <v>0</v>
      </c>
      <c r="X834" s="73">
        <f t="shared" ref="X834:X897" si="158">S834*L834</f>
        <v>602733799.60000002</v>
      </c>
      <c r="Y834" s="73">
        <f t="shared" ref="Y834:Y897" si="159">IFERROR(W834-U834,0)</f>
        <v>-133639975.47</v>
      </c>
      <c r="Z834" s="73">
        <f t="shared" ref="Z834:Z897" si="160">W834-X834</f>
        <v>-602733799.60000002</v>
      </c>
      <c r="AA834" s="75">
        <f t="shared" ref="AA834:AA897" si="161">IFERROR(W834/U834,"No se realizó gasto en este corte")</f>
        <v>0</v>
      </c>
      <c r="AB834" s="76" t="str">
        <f t="shared" ref="AB834:AB897" si="162">IFERROR(
  IF(OR(AA834="",AA834=0),
    "No calculado",
    IF(AA834&gt;1,"Costo eficiente: se está gastando menos de lo presupuestado",
      IF(AA834=1,"Costo según lo presupuestado",
        "Costo ineficiente: se está gastando más de lo presupuestado"))),
"No calculado")</f>
        <v>No calculado</v>
      </c>
      <c r="AC834" s="76">
        <f t="shared" ref="AC834:AC897" si="163">IFERROR(W834/X834,0)</f>
        <v>0</v>
      </c>
      <c r="AD834" s="76" t="str">
        <f t="shared" ref="AD834:AD897" si="164">IF(OR(AC834="",AC834=0),"Sin Línea Base",
IF(AC834&gt;1,"Proyecto adelantado respecto al cronograma",
IF(AC834=1,"Proyecto a tiempo según lo planificado",
IF(AC834&lt;1,"Proyecto atrasado con respecto al cronograma",
"No calculado"))))</f>
        <v>Sin Línea Base</v>
      </c>
      <c r="AE834" s="77">
        <f t="shared" ref="AE834:AE897" si="165">IFERROR(L834/AA834,0)</f>
        <v>0</v>
      </c>
      <c r="AF834" s="77">
        <f t="shared" ref="AF834:AF897" si="166">IFERROR(AE834-L834,0)</f>
        <v>-3013668998</v>
      </c>
      <c r="AG834" s="78" t="str">
        <f>VLOOKUP(Indicador!E813,[1]Diccionario!C$1:AC$150,27,0)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34" s="78">
        <v>1</v>
      </c>
      <c r="AI834" s="78">
        <v>1</v>
      </c>
      <c r="AJ834" s="78"/>
      <c r="AK834" s="78" t="s">
        <v>319</v>
      </c>
    </row>
    <row r="835" spans="1:37" ht="18.75" customHeight="1" x14ac:dyDescent="0.25">
      <c r="A835" s="64">
        <v>2026</v>
      </c>
      <c r="B835" s="65" t="s">
        <v>49</v>
      </c>
      <c r="C835" s="66" t="s">
        <v>457</v>
      </c>
      <c r="D835" s="67">
        <v>46021.841486574071</v>
      </c>
      <c r="E835" s="66" t="s">
        <v>458</v>
      </c>
      <c r="F835" s="66" t="s">
        <v>140</v>
      </c>
      <c r="G835" s="66" t="s">
        <v>459</v>
      </c>
      <c r="H835" s="66" t="s">
        <v>460</v>
      </c>
      <c r="I835" s="66" t="s">
        <v>78</v>
      </c>
      <c r="J835" s="66" t="s">
        <v>438</v>
      </c>
      <c r="K835" s="66" t="s">
        <v>45</v>
      </c>
      <c r="L835" s="68">
        <f>VLOOKUP(E835,[1]Diccionario!C$2:AC$150,22,0)</f>
        <v>3013668998</v>
      </c>
      <c r="M835" s="69">
        <f>VLOOKUP(E835,[1]Diccionario!C$2:AC$150,24,0)</f>
        <v>46006</v>
      </c>
      <c r="N835" s="70">
        <f>VLOOKUP(E835,[1]Diccionario!C$2:AC$150,25,0)</f>
        <v>46766</v>
      </c>
      <c r="O835" s="71">
        <f>VLOOKUP(E835,[1]Diccionario!C$2:AC$150,26,0)</f>
        <v>24.97</v>
      </c>
      <c r="P835" s="71">
        <f t="shared" si="156"/>
        <v>-19.97</v>
      </c>
      <c r="Q835" s="71">
        <v>5</v>
      </c>
      <c r="R835" s="66">
        <v>25</v>
      </c>
      <c r="S835" s="72">
        <v>0.25</v>
      </c>
      <c r="T835" s="72"/>
      <c r="U835" s="73">
        <f>U834+TablaIndicador[[#This Row],[Costo Mensual]]</f>
        <v>133639975.47</v>
      </c>
      <c r="V835" s="73">
        <v>0</v>
      </c>
      <c r="W835" s="73">
        <f t="shared" si="157"/>
        <v>0</v>
      </c>
      <c r="X835" s="73">
        <f t="shared" si="158"/>
        <v>753417249.5</v>
      </c>
      <c r="Y835" s="73">
        <f t="shared" si="159"/>
        <v>-133639975.47</v>
      </c>
      <c r="Z835" s="73">
        <f t="shared" si="160"/>
        <v>-753417249.5</v>
      </c>
      <c r="AA835" s="75">
        <f t="shared" si="161"/>
        <v>0</v>
      </c>
      <c r="AB835" s="76" t="str">
        <f t="shared" si="162"/>
        <v>No calculado</v>
      </c>
      <c r="AC835" s="76">
        <f t="shared" si="163"/>
        <v>0</v>
      </c>
      <c r="AD835" s="76" t="str">
        <f t="shared" si="164"/>
        <v>Sin Línea Base</v>
      </c>
      <c r="AE835" s="77">
        <f t="shared" si="165"/>
        <v>0</v>
      </c>
      <c r="AF835" s="77">
        <f t="shared" si="166"/>
        <v>-3013668998</v>
      </c>
      <c r="AG835" s="78" t="str">
        <f>VLOOKUP(Indicador!E814,[1]Diccionario!C$1:AC$150,27,0)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35" s="78">
        <v>1</v>
      </c>
      <c r="AI835" s="78">
        <v>1</v>
      </c>
      <c r="AJ835" s="78"/>
      <c r="AK835" s="78" t="s">
        <v>319</v>
      </c>
    </row>
    <row r="836" spans="1:37" ht="18.75" customHeight="1" x14ac:dyDescent="0.25">
      <c r="A836" s="64">
        <v>2026</v>
      </c>
      <c r="B836" s="65" t="s">
        <v>50</v>
      </c>
      <c r="C836" s="66" t="s">
        <v>457</v>
      </c>
      <c r="D836" s="67">
        <v>46021.841486574071</v>
      </c>
      <c r="E836" s="66" t="s">
        <v>458</v>
      </c>
      <c r="F836" s="66" t="s">
        <v>140</v>
      </c>
      <c r="G836" s="66" t="s">
        <v>459</v>
      </c>
      <c r="H836" s="66" t="s">
        <v>460</v>
      </c>
      <c r="I836" s="66" t="s">
        <v>78</v>
      </c>
      <c r="J836" s="66" t="s">
        <v>438</v>
      </c>
      <c r="K836" s="66" t="s">
        <v>45</v>
      </c>
      <c r="L836" s="68">
        <f>VLOOKUP(E836,[1]Diccionario!C$2:AC$150,22,0)</f>
        <v>3013668998</v>
      </c>
      <c r="M836" s="69">
        <f>VLOOKUP(E836,[1]Diccionario!C$2:AC$150,24,0)</f>
        <v>46006</v>
      </c>
      <c r="N836" s="70">
        <f>VLOOKUP(E836,[1]Diccionario!C$2:AC$150,25,0)</f>
        <v>46766</v>
      </c>
      <c r="O836" s="71">
        <f>VLOOKUP(E836,[1]Diccionario!C$2:AC$150,26,0)</f>
        <v>24.97</v>
      </c>
      <c r="P836" s="71">
        <f t="shared" si="156"/>
        <v>-18.97</v>
      </c>
      <c r="Q836" s="71">
        <v>6</v>
      </c>
      <c r="R836" s="66">
        <v>25</v>
      </c>
      <c r="S836" s="72">
        <v>0.27</v>
      </c>
      <c r="T836" s="72"/>
      <c r="U836" s="73">
        <f>U835+TablaIndicador[[#This Row],[Costo Mensual]]</f>
        <v>133639975.47</v>
      </c>
      <c r="V836" s="73">
        <v>0</v>
      </c>
      <c r="W836" s="73">
        <f t="shared" si="157"/>
        <v>0</v>
      </c>
      <c r="X836" s="73">
        <f t="shared" si="158"/>
        <v>813690629.46000004</v>
      </c>
      <c r="Y836" s="73">
        <f t="shared" si="159"/>
        <v>-133639975.47</v>
      </c>
      <c r="Z836" s="73">
        <f t="shared" si="160"/>
        <v>-813690629.46000004</v>
      </c>
      <c r="AA836" s="75">
        <f t="shared" si="161"/>
        <v>0</v>
      </c>
      <c r="AB836" s="76" t="str">
        <f t="shared" si="162"/>
        <v>No calculado</v>
      </c>
      <c r="AC836" s="76">
        <f t="shared" si="163"/>
        <v>0</v>
      </c>
      <c r="AD836" s="76" t="str">
        <f t="shared" si="164"/>
        <v>Sin Línea Base</v>
      </c>
      <c r="AE836" s="77">
        <f t="shared" si="165"/>
        <v>0</v>
      </c>
      <c r="AF836" s="77">
        <f t="shared" si="166"/>
        <v>-3013668998</v>
      </c>
      <c r="AG836" s="78" t="str">
        <f>VLOOKUP(Indicador!E815,[1]Diccionario!C$1:AC$150,27,0)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36" s="78">
        <v>1</v>
      </c>
      <c r="AI836" s="78">
        <v>1</v>
      </c>
      <c r="AJ836" s="78"/>
      <c r="AK836" s="78" t="s">
        <v>319</v>
      </c>
    </row>
    <row r="837" spans="1:37" ht="18.75" customHeight="1" x14ac:dyDescent="0.25">
      <c r="A837" s="64">
        <v>2026</v>
      </c>
      <c r="B837" s="65" t="s">
        <v>51</v>
      </c>
      <c r="C837" s="66" t="s">
        <v>457</v>
      </c>
      <c r="D837" s="67">
        <v>46021.841486574071</v>
      </c>
      <c r="E837" s="66" t="s">
        <v>458</v>
      </c>
      <c r="F837" s="66" t="s">
        <v>140</v>
      </c>
      <c r="G837" s="66" t="s">
        <v>459</v>
      </c>
      <c r="H837" s="66" t="s">
        <v>460</v>
      </c>
      <c r="I837" s="66" t="s">
        <v>78</v>
      </c>
      <c r="J837" s="66" t="s">
        <v>438</v>
      </c>
      <c r="K837" s="66" t="s">
        <v>45</v>
      </c>
      <c r="L837" s="68">
        <f>VLOOKUP(E837,[1]Diccionario!C$2:AC$150,22,0)</f>
        <v>3013668998</v>
      </c>
      <c r="M837" s="69">
        <f>VLOOKUP(E837,[1]Diccionario!C$2:AC$150,24,0)</f>
        <v>46006</v>
      </c>
      <c r="N837" s="70">
        <f>VLOOKUP(E837,[1]Diccionario!C$2:AC$150,25,0)</f>
        <v>46766</v>
      </c>
      <c r="O837" s="71">
        <f>VLOOKUP(E837,[1]Diccionario!C$2:AC$150,26,0)</f>
        <v>24.97</v>
      </c>
      <c r="P837" s="71">
        <f t="shared" si="156"/>
        <v>-17.97</v>
      </c>
      <c r="Q837" s="71">
        <v>7</v>
      </c>
      <c r="R837" s="66">
        <v>25</v>
      </c>
      <c r="S837" s="72">
        <v>0.32600000000000001</v>
      </c>
      <c r="T837" s="72"/>
      <c r="U837" s="73">
        <f>U836+TablaIndicador[[#This Row],[Costo Mensual]]</f>
        <v>133639975.47</v>
      </c>
      <c r="V837" s="73">
        <v>0</v>
      </c>
      <c r="W837" s="73">
        <f t="shared" si="157"/>
        <v>0</v>
      </c>
      <c r="X837" s="73">
        <f t="shared" si="158"/>
        <v>982456093.34800005</v>
      </c>
      <c r="Y837" s="73">
        <f t="shared" si="159"/>
        <v>-133639975.47</v>
      </c>
      <c r="Z837" s="73">
        <f t="shared" si="160"/>
        <v>-982456093.34800005</v>
      </c>
      <c r="AA837" s="75">
        <f t="shared" si="161"/>
        <v>0</v>
      </c>
      <c r="AB837" s="76" t="str">
        <f t="shared" si="162"/>
        <v>No calculado</v>
      </c>
      <c r="AC837" s="76">
        <f t="shared" si="163"/>
        <v>0</v>
      </c>
      <c r="AD837" s="76" t="str">
        <f t="shared" si="164"/>
        <v>Sin Línea Base</v>
      </c>
      <c r="AE837" s="77">
        <f t="shared" si="165"/>
        <v>0</v>
      </c>
      <c r="AF837" s="77">
        <f t="shared" si="166"/>
        <v>-3013668998</v>
      </c>
      <c r="AG837" s="78" t="str">
        <f>VLOOKUP(Indicador!E816,[1]Diccionario!C$1:AC$150,27,0)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37" s="78">
        <v>1</v>
      </c>
      <c r="AI837" s="78">
        <v>1</v>
      </c>
      <c r="AJ837" s="78"/>
      <c r="AK837" s="78" t="s">
        <v>319</v>
      </c>
    </row>
    <row r="838" spans="1:37" ht="18.75" customHeight="1" x14ac:dyDescent="0.25">
      <c r="A838" s="64">
        <v>2026</v>
      </c>
      <c r="B838" s="65" t="s">
        <v>52</v>
      </c>
      <c r="C838" s="66" t="s">
        <v>457</v>
      </c>
      <c r="D838" s="67">
        <v>46021.841486574071</v>
      </c>
      <c r="E838" s="66" t="s">
        <v>458</v>
      </c>
      <c r="F838" s="66" t="s">
        <v>140</v>
      </c>
      <c r="G838" s="66" t="s">
        <v>459</v>
      </c>
      <c r="H838" s="66" t="s">
        <v>460</v>
      </c>
      <c r="I838" s="66" t="s">
        <v>78</v>
      </c>
      <c r="J838" s="66" t="s">
        <v>438</v>
      </c>
      <c r="K838" s="66" t="s">
        <v>45</v>
      </c>
      <c r="L838" s="68">
        <f>VLOOKUP(E838,[1]Diccionario!C$2:AC$150,22,0)</f>
        <v>3013668998</v>
      </c>
      <c r="M838" s="69">
        <f>VLOOKUP(E838,[1]Diccionario!C$2:AC$150,24,0)</f>
        <v>46006</v>
      </c>
      <c r="N838" s="70">
        <f>VLOOKUP(E838,[1]Diccionario!C$2:AC$150,25,0)</f>
        <v>46766</v>
      </c>
      <c r="O838" s="71">
        <f>VLOOKUP(E838,[1]Diccionario!C$2:AC$150,26,0)</f>
        <v>24.97</v>
      </c>
      <c r="P838" s="71">
        <f t="shared" si="156"/>
        <v>-16.97</v>
      </c>
      <c r="Q838" s="71">
        <v>8</v>
      </c>
      <c r="R838" s="66">
        <v>25</v>
      </c>
      <c r="S838" s="72">
        <v>0.37</v>
      </c>
      <c r="T838" s="72"/>
      <c r="U838" s="73">
        <f>U837+TablaIndicador[[#This Row],[Costo Mensual]]</f>
        <v>133639975.47</v>
      </c>
      <c r="V838" s="73">
        <v>0</v>
      </c>
      <c r="W838" s="73">
        <f t="shared" si="157"/>
        <v>0</v>
      </c>
      <c r="X838" s="73">
        <f t="shared" si="158"/>
        <v>1115057529.26</v>
      </c>
      <c r="Y838" s="73">
        <f t="shared" si="159"/>
        <v>-133639975.47</v>
      </c>
      <c r="Z838" s="73">
        <f t="shared" si="160"/>
        <v>-1115057529.26</v>
      </c>
      <c r="AA838" s="75">
        <f t="shared" si="161"/>
        <v>0</v>
      </c>
      <c r="AB838" s="76" t="str">
        <f t="shared" si="162"/>
        <v>No calculado</v>
      </c>
      <c r="AC838" s="76">
        <f t="shared" si="163"/>
        <v>0</v>
      </c>
      <c r="AD838" s="76" t="str">
        <f t="shared" si="164"/>
        <v>Sin Línea Base</v>
      </c>
      <c r="AE838" s="77">
        <f t="shared" si="165"/>
        <v>0</v>
      </c>
      <c r="AF838" s="77">
        <f t="shared" si="166"/>
        <v>-3013668998</v>
      </c>
      <c r="AG838" s="78" t="str">
        <f>VLOOKUP(Indicador!E817,[1]Diccionario!C$1:AC$150,27,0)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38" s="78">
        <v>1</v>
      </c>
      <c r="AI838" s="78">
        <v>1</v>
      </c>
      <c r="AJ838" s="78"/>
      <c r="AK838" s="78" t="s">
        <v>319</v>
      </c>
    </row>
    <row r="839" spans="1:37" ht="18.75" customHeight="1" x14ac:dyDescent="0.25">
      <c r="A839" s="64">
        <v>2026</v>
      </c>
      <c r="B839" s="65" t="s">
        <v>53</v>
      </c>
      <c r="C839" s="66" t="s">
        <v>457</v>
      </c>
      <c r="D839" s="67">
        <v>46021.841486574071</v>
      </c>
      <c r="E839" s="66" t="s">
        <v>458</v>
      </c>
      <c r="F839" s="66" t="s">
        <v>140</v>
      </c>
      <c r="G839" s="66" t="s">
        <v>459</v>
      </c>
      <c r="H839" s="66" t="s">
        <v>460</v>
      </c>
      <c r="I839" s="66" t="s">
        <v>78</v>
      </c>
      <c r="J839" s="66" t="s">
        <v>438</v>
      </c>
      <c r="K839" s="66" t="s">
        <v>45</v>
      </c>
      <c r="L839" s="68">
        <f>VLOOKUP(E839,[1]Diccionario!C$2:AC$150,22,0)</f>
        <v>3013668998</v>
      </c>
      <c r="M839" s="69">
        <f>VLOOKUP(E839,[1]Diccionario!C$2:AC$150,24,0)</f>
        <v>46006</v>
      </c>
      <c r="N839" s="70">
        <f>VLOOKUP(E839,[1]Diccionario!C$2:AC$150,25,0)</f>
        <v>46766</v>
      </c>
      <c r="O839" s="71">
        <f>VLOOKUP(E839,[1]Diccionario!C$2:AC$150,26,0)</f>
        <v>24.97</v>
      </c>
      <c r="P839" s="71">
        <f t="shared" si="156"/>
        <v>-15.969999999999999</v>
      </c>
      <c r="Q839" s="71">
        <v>9</v>
      </c>
      <c r="R839" s="66">
        <v>25</v>
      </c>
      <c r="S839" s="72">
        <v>0.41399999999999998</v>
      </c>
      <c r="T839" s="72"/>
      <c r="U839" s="73">
        <f>U838+TablaIndicador[[#This Row],[Costo Mensual]]</f>
        <v>133639975.47</v>
      </c>
      <c r="V839" s="73">
        <v>0</v>
      </c>
      <c r="W839" s="73">
        <f t="shared" si="157"/>
        <v>0</v>
      </c>
      <c r="X839" s="73">
        <f t="shared" si="158"/>
        <v>1247658965.1719999</v>
      </c>
      <c r="Y839" s="73">
        <f t="shared" si="159"/>
        <v>-133639975.47</v>
      </c>
      <c r="Z839" s="73">
        <f t="shared" si="160"/>
        <v>-1247658965.1719999</v>
      </c>
      <c r="AA839" s="75">
        <f t="shared" si="161"/>
        <v>0</v>
      </c>
      <c r="AB839" s="76" t="str">
        <f t="shared" si="162"/>
        <v>No calculado</v>
      </c>
      <c r="AC839" s="76">
        <f t="shared" si="163"/>
        <v>0</v>
      </c>
      <c r="AD839" s="76" t="str">
        <f t="shared" si="164"/>
        <v>Sin Línea Base</v>
      </c>
      <c r="AE839" s="77">
        <f t="shared" si="165"/>
        <v>0</v>
      </c>
      <c r="AF839" s="77">
        <f t="shared" si="166"/>
        <v>-3013668998</v>
      </c>
      <c r="AG839" s="78" t="str">
        <f>VLOOKUP(Indicador!E818,[1]Diccionario!C$1:AC$150,27,0)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39" s="78">
        <v>1</v>
      </c>
      <c r="AI839" s="78">
        <v>1</v>
      </c>
      <c r="AJ839" s="78"/>
      <c r="AK839" s="78" t="s">
        <v>319</v>
      </c>
    </row>
    <row r="840" spans="1:37" ht="18.75" customHeight="1" x14ac:dyDescent="0.25">
      <c r="A840" s="64">
        <v>2026</v>
      </c>
      <c r="B840" s="65" t="s">
        <v>54</v>
      </c>
      <c r="C840" s="66" t="s">
        <v>457</v>
      </c>
      <c r="D840" s="67">
        <v>46021.841486574071</v>
      </c>
      <c r="E840" s="66" t="s">
        <v>458</v>
      </c>
      <c r="F840" s="66" t="s">
        <v>140</v>
      </c>
      <c r="G840" s="66" t="s">
        <v>459</v>
      </c>
      <c r="H840" s="66" t="s">
        <v>460</v>
      </c>
      <c r="I840" s="66" t="s">
        <v>78</v>
      </c>
      <c r="J840" s="66" t="s">
        <v>438</v>
      </c>
      <c r="K840" s="66" t="s">
        <v>45</v>
      </c>
      <c r="L840" s="68">
        <f>VLOOKUP(E840,[1]Diccionario!C$2:AC$150,22,0)</f>
        <v>3013668998</v>
      </c>
      <c r="M840" s="69">
        <f>VLOOKUP(E840,[1]Diccionario!C$2:AC$150,24,0)</f>
        <v>46006</v>
      </c>
      <c r="N840" s="70">
        <f>VLOOKUP(E840,[1]Diccionario!C$2:AC$150,25,0)</f>
        <v>46766</v>
      </c>
      <c r="O840" s="71">
        <f>VLOOKUP(E840,[1]Diccionario!C$2:AC$150,26,0)</f>
        <v>24.97</v>
      </c>
      <c r="P840" s="71">
        <f t="shared" si="156"/>
        <v>-14.969999999999999</v>
      </c>
      <c r="Q840" s="71">
        <v>10</v>
      </c>
      <c r="R840" s="66">
        <v>25</v>
      </c>
      <c r="S840" s="72">
        <v>0.45800000000000002</v>
      </c>
      <c r="T840" s="72"/>
      <c r="U840" s="73">
        <f>U839+TablaIndicador[[#This Row],[Costo Mensual]]</f>
        <v>133639975.47</v>
      </c>
      <c r="V840" s="73">
        <v>0</v>
      </c>
      <c r="W840" s="73">
        <f t="shared" si="157"/>
        <v>0</v>
      </c>
      <c r="X840" s="73">
        <f t="shared" si="158"/>
        <v>1380260401.0840001</v>
      </c>
      <c r="Y840" s="73">
        <f t="shared" si="159"/>
        <v>-133639975.47</v>
      </c>
      <c r="Z840" s="73">
        <f t="shared" si="160"/>
        <v>-1380260401.0840001</v>
      </c>
      <c r="AA840" s="75">
        <f t="shared" si="161"/>
        <v>0</v>
      </c>
      <c r="AB840" s="76" t="str">
        <f t="shared" si="162"/>
        <v>No calculado</v>
      </c>
      <c r="AC840" s="76">
        <f t="shared" si="163"/>
        <v>0</v>
      </c>
      <c r="AD840" s="76" t="str">
        <f t="shared" si="164"/>
        <v>Sin Línea Base</v>
      </c>
      <c r="AE840" s="77">
        <f t="shared" si="165"/>
        <v>0</v>
      </c>
      <c r="AF840" s="77">
        <f t="shared" si="166"/>
        <v>-3013668998</v>
      </c>
      <c r="AG840" s="78" t="str">
        <f>VLOOKUP(Indicador!E819,[1]Diccionario!C$1:AC$150,27,0)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40" s="78">
        <v>1</v>
      </c>
      <c r="AI840" s="78">
        <v>1</v>
      </c>
      <c r="AJ840" s="78"/>
      <c r="AK840" s="78" t="s">
        <v>319</v>
      </c>
    </row>
    <row r="841" spans="1:37" ht="18.75" customHeight="1" x14ac:dyDescent="0.25">
      <c r="A841" s="64">
        <v>2026</v>
      </c>
      <c r="B841" s="65" t="s">
        <v>55</v>
      </c>
      <c r="C841" s="66" t="s">
        <v>457</v>
      </c>
      <c r="D841" s="67">
        <v>46021.841486574071</v>
      </c>
      <c r="E841" s="66" t="s">
        <v>458</v>
      </c>
      <c r="F841" s="66" t="s">
        <v>140</v>
      </c>
      <c r="G841" s="66" t="s">
        <v>459</v>
      </c>
      <c r="H841" s="66" t="s">
        <v>460</v>
      </c>
      <c r="I841" s="66" t="s">
        <v>78</v>
      </c>
      <c r="J841" s="66" t="s">
        <v>438</v>
      </c>
      <c r="K841" s="66" t="s">
        <v>45</v>
      </c>
      <c r="L841" s="68">
        <f>VLOOKUP(E841,[1]Diccionario!C$2:AC$150,22,0)</f>
        <v>3013668998</v>
      </c>
      <c r="M841" s="69">
        <f>VLOOKUP(E841,[1]Diccionario!C$2:AC$150,24,0)</f>
        <v>46006</v>
      </c>
      <c r="N841" s="70">
        <f>VLOOKUP(E841,[1]Diccionario!C$2:AC$150,25,0)</f>
        <v>46766</v>
      </c>
      <c r="O841" s="71">
        <f>VLOOKUP(E841,[1]Diccionario!C$2:AC$150,26,0)</f>
        <v>24.97</v>
      </c>
      <c r="P841" s="71">
        <f t="shared" si="156"/>
        <v>-13.969999999999999</v>
      </c>
      <c r="Q841" s="71">
        <v>11</v>
      </c>
      <c r="R841" s="66">
        <v>25</v>
      </c>
      <c r="S841" s="72">
        <v>0.502</v>
      </c>
      <c r="T841" s="72"/>
      <c r="U841" s="73">
        <f>U840+TablaIndicador[[#This Row],[Costo Mensual]]</f>
        <v>133639975.47</v>
      </c>
      <c r="V841" s="73">
        <v>0</v>
      </c>
      <c r="W841" s="73">
        <f t="shared" si="157"/>
        <v>0</v>
      </c>
      <c r="X841" s="73">
        <f t="shared" si="158"/>
        <v>1512861836.9960001</v>
      </c>
      <c r="Y841" s="73">
        <f t="shared" si="159"/>
        <v>-133639975.47</v>
      </c>
      <c r="Z841" s="73">
        <f t="shared" si="160"/>
        <v>-1512861836.9960001</v>
      </c>
      <c r="AA841" s="75">
        <f t="shared" si="161"/>
        <v>0</v>
      </c>
      <c r="AB841" s="76" t="str">
        <f t="shared" si="162"/>
        <v>No calculado</v>
      </c>
      <c r="AC841" s="76">
        <f t="shared" si="163"/>
        <v>0</v>
      </c>
      <c r="AD841" s="76" t="str">
        <f t="shared" si="164"/>
        <v>Sin Línea Base</v>
      </c>
      <c r="AE841" s="77">
        <f t="shared" si="165"/>
        <v>0</v>
      </c>
      <c r="AF841" s="77">
        <f t="shared" si="166"/>
        <v>-3013668998</v>
      </c>
      <c r="AG841" s="78" t="str">
        <f>VLOOKUP(Indicador!E820,[1]Diccionario!C$1:AC$150,27,0)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41" s="78">
        <v>1</v>
      </c>
      <c r="AI841" s="78">
        <v>1</v>
      </c>
      <c r="AJ841" s="78"/>
      <c r="AK841" s="78" t="s">
        <v>319</v>
      </c>
    </row>
    <row r="842" spans="1:37" ht="18.75" customHeight="1" x14ac:dyDescent="0.25">
      <c r="A842" s="64">
        <v>2026</v>
      </c>
      <c r="B842" s="65" t="s">
        <v>56</v>
      </c>
      <c r="C842" s="66" t="s">
        <v>457</v>
      </c>
      <c r="D842" s="67">
        <v>46021.841486574071</v>
      </c>
      <c r="E842" s="66" t="s">
        <v>458</v>
      </c>
      <c r="F842" s="66" t="s">
        <v>140</v>
      </c>
      <c r="G842" s="66" t="s">
        <v>459</v>
      </c>
      <c r="H842" s="66" t="s">
        <v>460</v>
      </c>
      <c r="I842" s="66" t="s">
        <v>78</v>
      </c>
      <c r="J842" s="66" t="s">
        <v>438</v>
      </c>
      <c r="K842" s="66" t="s">
        <v>45</v>
      </c>
      <c r="L842" s="68">
        <f>VLOOKUP(E842,[1]Diccionario!C$2:AC$150,22,0)</f>
        <v>3013668998</v>
      </c>
      <c r="M842" s="69">
        <f>VLOOKUP(E842,[1]Diccionario!C$2:AC$150,24,0)</f>
        <v>46006</v>
      </c>
      <c r="N842" s="70">
        <f>VLOOKUP(E842,[1]Diccionario!C$2:AC$150,25,0)</f>
        <v>46766</v>
      </c>
      <c r="O842" s="71">
        <f>VLOOKUP(E842,[1]Diccionario!C$2:AC$150,26,0)</f>
        <v>24.97</v>
      </c>
      <c r="P842" s="71">
        <f t="shared" si="156"/>
        <v>-12.969999999999999</v>
      </c>
      <c r="Q842" s="71">
        <v>12</v>
      </c>
      <c r="R842" s="66">
        <v>25</v>
      </c>
      <c r="S842" s="72">
        <v>0.54600000000000004</v>
      </c>
      <c r="T842" s="72"/>
      <c r="U842" s="73">
        <f>U841+TablaIndicador[[#This Row],[Costo Mensual]]</f>
        <v>133639975.47</v>
      </c>
      <c r="V842" s="73">
        <v>0</v>
      </c>
      <c r="W842" s="73">
        <f t="shared" si="157"/>
        <v>0</v>
      </c>
      <c r="X842" s="73">
        <f t="shared" si="158"/>
        <v>1645463272.9080002</v>
      </c>
      <c r="Y842" s="73">
        <f t="shared" si="159"/>
        <v>-133639975.47</v>
      </c>
      <c r="Z842" s="73">
        <f t="shared" si="160"/>
        <v>-1645463272.9080002</v>
      </c>
      <c r="AA842" s="75">
        <f t="shared" si="161"/>
        <v>0</v>
      </c>
      <c r="AB842" s="76" t="str">
        <f t="shared" si="162"/>
        <v>No calculado</v>
      </c>
      <c r="AC842" s="76">
        <f t="shared" si="163"/>
        <v>0</v>
      </c>
      <c r="AD842" s="76" t="str">
        <f t="shared" si="164"/>
        <v>Sin Línea Base</v>
      </c>
      <c r="AE842" s="77">
        <f t="shared" si="165"/>
        <v>0</v>
      </c>
      <c r="AF842" s="77">
        <f t="shared" si="166"/>
        <v>-3013668998</v>
      </c>
      <c r="AG842" s="78" t="str">
        <f>VLOOKUP(Indicador!E821,[1]Diccionario!C$1:AC$150,27,0)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42" s="78">
        <v>1</v>
      </c>
      <c r="AI842" s="78">
        <v>1</v>
      </c>
      <c r="AJ842" s="78"/>
      <c r="AK842" s="78" t="s">
        <v>319</v>
      </c>
    </row>
    <row r="843" spans="1:37" ht="18.75" customHeight="1" x14ac:dyDescent="0.25">
      <c r="A843" s="64">
        <v>2026</v>
      </c>
      <c r="B843" s="65" t="s">
        <v>57</v>
      </c>
      <c r="C843" s="66" t="s">
        <v>457</v>
      </c>
      <c r="D843" s="67">
        <v>46021.841486574071</v>
      </c>
      <c r="E843" s="66" t="s">
        <v>458</v>
      </c>
      <c r="F843" s="66" t="s">
        <v>140</v>
      </c>
      <c r="G843" s="66" t="s">
        <v>459</v>
      </c>
      <c r="H843" s="66" t="s">
        <v>460</v>
      </c>
      <c r="I843" s="66" t="s">
        <v>78</v>
      </c>
      <c r="J843" s="66" t="s">
        <v>438</v>
      </c>
      <c r="K843" s="66" t="s">
        <v>45</v>
      </c>
      <c r="L843" s="68">
        <f>VLOOKUP(E843,[1]Diccionario!C$2:AC$150,22,0)</f>
        <v>3013668998</v>
      </c>
      <c r="M843" s="69">
        <f>VLOOKUP(E843,[1]Diccionario!C$2:AC$150,24,0)</f>
        <v>46006</v>
      </c>
      <c r="N843" s="70">
        <f>VLOOKUP(E843,[1]Diccionario!C$2:AC$150,25,0)</f>
        <v>46766</v>
      </c>
      <c r="O843" s="71">
        <f>VLOOKUP(E843,[1]Diccionario!C$2:AC$150,26,0)</f>
        <v>24.97</v>
      </c>
      <c r="P843" s="71">
        <f t="shared" si="156"/>
        <v>-11.969999999999999</v>
      </c>
      <c r="Q843" s="71">
        <v>13</v>
      </c>
      <c r="R843" s="66">
        <v>25</v>
      </c>
      <c r="S843" s="72">
        <v>0.59</v>
      </c>
      <c r="T843" s="72"/>
      <c r="U843" s="73">
        <f>U842+TablaIndicador[[#This Row],[Costo Mensual]]</f>
        <v>133639975.47</v>
      </c>
      <c r="V843" s="73">
        <v>0</v>
      </c>
      <c r="W843" s="73">
        <f t="shared" si="157"/>
        <v>0</v>
      </c>
      <c r="X843" s="73">
        <f t="shared" si="158"/>
        <v>1778064708.8199999</v>
      </c>
      <c r="Y843" s="73">
        <f t="shared" si="159"/>
        <v>-133639975.47</v>
      </c>
      <c r="Z843" s="73">
        <f t="shared" si="160"/>
        <v>-1778064708.8199999</v>
      </c>
      <c r="AA843" s="75">
        <f t="shared" si="161"/>
        <v>0</v>
      </c>
      <c r="AB843" s="76" t="str">
        <f t="shared" si="162"/>
        <v>No calculado</v>
      </c>
      <c r="AC843" s="76">
        <f t="shared" si="163"/>
        <v>0</v>
      </c>
      <c r="AD843" s="76" t="str">
        <f t="shared" si="164"/>
        <v>Sin Línea Base</v>
      </c>
      <c r="AE843" s="77">
        <f t="shared" si="165"/>
        <v>0</v>
      </c>
      <c r="AF843" s="77">
        <f t="shared" si="166"/>
        <v>-3013668998</v>
      </c>
      <c r="AG843" s="78" t="str">
        <f>VLOOKUP(Indicador!E822,[1]Diccionario!C$1:AC$150,27,0)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43" s="78">
        <v>1</v>
      </c>
      <c r="AI843" s="78">
        <v>1</v>
      </c>
      <c r="AJ843" s="78"/>
      <c r="AK843" s="78" t="s">
        <v>319</v>
      </c>
    </row>
    <row r="844" spans="1:37" ht="18.75" customHeight="1" x14ac:dyDescent="0.25">
      <c r="A844" s="64">
        <v>2027</v>
      </c>
      <c r="B844" s="65" t="s">
        <v>37</v>
      </c>
      <c r="C844" s="66" t="s">
        <v>457</v>
      </c>
      <c r="D844" s="67">
        <v>46021.841486574071</v>
      </c>
      <c r="E844" s="66" t="s">
        <v>458</v>
      </c>
      <c r="F844" s="66" t="s">
        <v>140</v>
      </c>
      <c r="G844" s="66" t="s">
        <v>459</v>
      </c>
      <c r="H844" s="66" t="s">
        <v>460</v>
      </c>
      <c r="I844" s="66" t="s">
        <v>78</v>
      </c>
      <c r="J844" s="66" t="s">
        <v>438</v>
      </c>
      <c r="K844" s="66" t="s">
        <v>45</v>
      </c>
      <c r="L844" s="68">
        <f>VLOOKUP(E844,[1]Diccionario!C$2:AC$150,22,0)</f>
        <v>3013668998</v>
      </c>
      <c r="M844" s="69">
        <f>VLOOKUP(E844,[1]Diccionario!C$2:AC$150,24,0)</f>
        <v>46006</v>
      </c>
      <c r="N844" s="70">
        <f>VLOOKUP(E844,[1]Diccionario!C$2:AC$150,25,0)</f>
        <v>46766</v>
      </c>
      <c r="O844" s="71">
        <f>VLOOKUP(E844,[1]Diccionario!C$2:AC$150,26,0)</f>
        <v>24.97</v>
      </c>
      <c r="P844" s="71">
        <f t="shared" si="156"/>
        <v>-10.969999999999999</v>
      </c>
      <c r="Q844" s="71">
        <v>14</v>
      </c>
      <c r="R844" s="66">
        <v>25</v>
      </c>
      <c r="S844" s="72">
        <v>0.63400000000000001</v>
      </c>
      <c r="T844" s="72"/>
      <c r="U844" s="73">
        <f>U843+TablaIndicador[[#This Row],[Costo Mensual]]</f>
        <v>133639975.47</v>
      </c>
      <c r="V844" s="73">
        <v>0</v>
      </c>
      <c r="W844" s="73">
        <f t="shared" si="157"/>
        <v>0</v>
      </c>
      <c r="X844" s="73">
        <f t="shared" si="158"/>
        <v>1910666144.7320001</v>
      </c>
      <c r="Y844" s="73">
        <f t="shared" si="159"/>
        <v>-133639975.47</v>
      </c>
      <c r="Z844" s="73">
        <f t="shared" si="160"/>
        <v>-1910666144.7320001</v>
      </c>
      <c r="AA844" s="75">
        <f t="shared" si="161"/>
        <v>0</v>
      </c>
      <c r="AB844" s="76" t="str">
        <f t="shared" si="162"/>
        <v>No calculado</v>
      </c>
      <c r="AC844" s="76">
        <f t="shared" si="163"/>
        <v>0</v>
      </c>
      <c r="AD844" s="76" t="str">
        <f t="shared" si="164"/>
        <v>Sin Línea Base</v>
      </c>
      <c r="AE844" s="77">
        <f t="shared" si="165"/>
        <v>0</v>
      </c>
      <c r="AF844" s="77">
        <f t="shared" si="166"/>
        <v>-3013668998</v>
      </c>
      <c r="AG844" s="78" t="str">
        <f>VLOOKUP(Indicador!E823,[1]Diccionario!C$1:AC$150,27,0)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44" s="78">
        <v>1</v>
      </c>
      <c r="AI844" s="78">
        <v>1</v>
      </c>
      <c r="AJ844" s="78"/>
      <c r="AK844" s="78" t="s">
        <v>319</v>
      </c>
    </row>
    <row r="845" spans="1:37" ht="18.75" customHeight="1" x14ac:dyDescent="0.25">
      <c r="A845" s="64">
        <v>2027</v>
      </c>
      <c r="B845" s="65" t="s">
        <v>47</v>
      </c>
      <c r="C845" s="66" t="s">
        <v>457</v>
      </c>
      <c r="D845" s="67">
        <v>46021.841486574071</v>
      </c>
      <c r="E845" s="66" t="s">
        <v>458</v>
      </c>
      <c r="F845" s="66" t="s">
        <v>140</v>
      </c>
      <c r="G845" s="66" t="s">
        <v>459</v>
      </c>
      <c r="H845" s="66" t="s">
        <v>460</v>
      </c>
      <c r="I845" s="66" t="s">
        <v>78</v>
      </c>
      <c r="J845" s="66" t="s">
        <v>438</v>
      </c>
      <c r="K845" s="66" t="s">
        <v>45</v>
      </c>
      <c r="L845" s="68">
        <f>VLOOKUP(E845,[1]Diccionario!C$2:AC$150,22,0)</f>
        <v>3013668998</v>
      </c>
      <c r="M845" s="69">
        <f>VLOOKUP(E845,[1]Diccionario!C$2:AC$150,24,0)</f>
        <v>46006</v>
      </c>
      <c r="N845" s="70">
        <f>VLOOKUP(E845,[1]Diccionario!C$2:AC$150,25,0)</f>
        <v>46766</v>
      </c>
      <c r="O845" s="71">
        <f>VLOOKUP(E845,[1]Diccionario!C$2:AC$150,26,0)</f>
        <v>24.97</v>
      </c>
      <c r="P845" s="71">
        <f t="shared" si="156"/>
        <v>-9.9699999999999989</v>
      </c>
      <c r="Q845" s="71">
        <v>15</v>
      </c>
      <c r="R845" s="66">
        <v>25</v>
      </c>
      <c r="S845" s="72">
        <v>0.67800000000000005</v>
      </c>
      <c r="T845" s="72"/>
      <c r="U845" s="73">
        <f>U844+TablaIndicador[[#This Row],[Costo Mensual]]</f>
        <v>133639975.47</v>
      </c>
      <c r="V845" s="73">
        <v>0</v>
      </c>
      <c r="W845" s="73">
        <f t="shared" si="157"/>
        <v>0</v>
      </c>
      <c r="X845" s="73">
        <f t="shared" si="158"/>
        <v>2043267580.6440001</v>
      </c>
      <c r="Y845" s="73">
        <f t="shared" si="159"/>
        <v>-133639975.47</v>
      </c>
      <c r="Z845" s="73">
        <f t="shared" si="160"/>
        <v>-2043267580.6440001</v>
      </c>
      <c r="AA845" s="75">
        <f t="shared" si="161"/>
        <v>0</v>
      </c>
      <c r="AB845" s="76" t="str">
        <f t="shared" si="162"/>
        <v>No calculado</v>
      </c>
      <c r="AC845" s="76">
        <f t="shared" si="163"/>
        <v>0</v>
      </c>
      <c r="AD845" s="76" t="str">
        <f t="shared" si="164"/>
        <v>Sin Línea Base</v>
      </c>
      <c r="AE845" s="77">
        <f t="shared" si="165"/>
        <v>0</v>
      </c>
      <c r="AF845" s="77">
        <f t="shared" si="166"/>
        <v>-3013668998</v>
      </c>
      <c r="AG845" s="78" t="str">
        <f>VLOOKUP(Indicador!E824,[1]Diccionario!C$1:AC$150,27,0)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45" s="78">
        <v>1</v>
      </c>
      <c r="AI845" s="78">
        <v>1</v>
      </c>
      <c r="AJ845" s="78"/>
      <c r="AK845" s="78" t="s">
        <v>319</v>
      </c>
    </row>
    <row r="846" spans="1:37" ht="18.75" customHeight="1" x14ac:dyDescent="0.25">
      <c r="A846" s="64">
        <v>2027</v>
      </c>
      <c r="B846" s="65" t="s">
        <v>48</v>
      </c>
      <c r="C846" s="66" t="s">
        <v>457</v>
      </c>
      <c r="D846" s="67">
        <v>46021.841486574071</v>
      </c>
      <c r="E846" s="66" t="s">
        <v>458</v>
      </c>
      <c r="F846" s="66" t="s">
        <v>140</v>
      </c>
      <c r="G846" s="66" t="s">
        <v>459</v>
      </c>
      <c r="H846" s="66" t="s">
        <v>460</v>
      </c>
      <c r="I846" s="66" t="s">
        <v>78</v>
      </c>
      <c r="J846" s="66" t="s">
        <v>438</v>
      </c>
      <c r="K846" s="66" t="s">
        <v>45</v>
      </c>
      <c r="L846" s="68">
        <f>VLOOKUP(E846,[1]Diccionario!C$2:AC$150,22,0)</f>
        <v>3013668998</v>
      </c>
      <c r="M846" s="69">
        <f>VLOOKUP(E846,[1]Diccionario!C$2:AC$150,24,0)</f>
        <v>46006</v>
      </c>
      <c r="N846" s="70">
        <f>VLOOKUP(E846,[1]Diccionario!C$2:AC$150,25,0)</f>
        <v>46766</v>
      </c>
      <c r="O846" s="71">
        <f>VLOOKUP(E846,[1]Diccionario!C$2:AC$150,26,0)</f>
        <v>24.97</v>
      </c>
      <c r="P846" s="71">
        <f t="shared" si="156"/>
        <v>-8.9699999999999989</v>
      </c>
      <c r="Q846" s="71">
        <v>16</v>
      </c>
      <c r="R846" s="66">
        <v>25</v>
      </c>
      <c r="S846" s="72">
        <v>0.72199999999999998</v>
      </c>
      <c r="T846" s="72"/>
      <c r="U846" s="73">
        <f>U845+TablaIndicador[[#This Row],[Costo Mensual]]</f>
        <v>133639975.47</v>
      </c>
      <c r="V846" s="73">
        <v>0</v>
      </c>
      <c r="W846" s="73">
        <f t="shared" si="157"/>
        <v>0</v>
      </c>
      <c r="X846" s="73">
        <f t="shared" si="158"/>
        <v>2175869016.5559998</v>
      </c>
      <c r="Y846" s="73">
        <f t="shared" si="159"/>
        <v>-133639975.47</v>
      </c>
      <c r="Z846" s="73">
        <f t="shared" si="160"/>
        <v>-2175869016.5559998</v>
      </c>
      <c r="AA846" s="75">
        <f t="shared" si="161"/>
        <v>0</v>
      </c>
      <c r="AB846" s="76" t="str">
        <f t="shared" si="162"/>
        <v>No calculado</v>
      </c>
      <c r="AC846" s="76">
        <f t="shared" si="163"/>
        <v>0</v>
      </c>
      <c r="AD846" s="76" t="str">
        <f t="shared" si="164"/>
        <v>Sin Línea Base</v>
      </c>
      <c r="AE846" s="77">
        <f t="shared" si="165"/>
        <v>0</v>
      </c>
      <c r="AF846" s="77">
        <f t="shared" si="166"/>
        <v>-3013668998</v>
      </c>
      <c r="AG846" s="78" t="str">
        <f>VLOOKUP(Indicador!E825,[1]Diccionario!C$1:AC$150,27,0)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46" s="78">
        <v>1</v>
      </c>
      <c r="AI846" s="78">
        <v>1</v>
      </c>
      <c r="AJ846" s="78"/>
      <c r="AK846" s="78" t="s">
        <v>319</v>
      </c>
    </row>
    <row r="847" spans="1:37" ht="18.75" customHeight="1" x14ac:dyDescent="0.25">
      <c r="A847" s="64">
        <v>2027</v>
      </c>
      <c r="B847" s="65" t="s">
        <v>49</v>
      </c>
      <c r="C847" s="66" t="s">
        <v>457</v>
      </c>
      <c r="D847" s="67">
        <v>46021.841486574071</v>
      </c>
      <c r="E847" s="66" t="s">
        <v>458</v>
      </c>
      <c r="F847" s="66" t="s">
        <v>140</v>
      </c>
      <c r="G847" s="66" t="s">
        <v>459</v>
      </c>
      <c r="H847" s="66" t="s">
        <v>460</v>
      </c>
      <c r="I847" s="66" t="s">
        <v>78</v>
      </c>
      <c r="J847" s="66" t="s">
        <v>438</v>
      </c>
      <c r="K847" s="66" t="s">
        <v>45</v>
      </c>
      <c r="L847" s="68">
        <f>VLOOKUP(E847,[1]Diccionario!C$2:AC$150,22,0)</f>
        <v>3013668998</v>
      </c>
      <c r="M847" s="69">
        <f>VLOOKUP(E847,[1]Diccionario!C$2:AC$150,24,0)</f>
        <v>46006</v>
      </c>
      <c r="N847" s="70">
        <f>VLOOKUP(E847,[1]Diccionario!C$2:AC$150,25,0)</f>
        <v>46766</v>
      </c>
      <c r="O847" s="71">
        <f>VLOOKUP(E847,[1]Diccionario!C$2:AC$150,26,0)</f>
        <v>24.97</v>
      </c>
      <c r="P847" s="71">
        <f t="shared" si="156"/>
        <v>-7.9699999999999989</v>
      </c>
      <c r="Q847" s="71">
        <v>17</v>
      </c>
      <c r="R847" s="66">
        <v>25</v>
      </c>
      <c r="S847" s="72">
        <v>0.75</v>
      </c>
      <c r="T847" s="72"/>
      <c r="U847" s="73">
        <f>U846+TablaIndicador[[#This Row],[Costo Mensual]]</f>
        <v>133639975.47</v>
      </c>
      <c r="V847" s="73">
        <v>0</v>
      </c>
      <c r="W847" s="73">
        <f t="shared" si="157"/>
        <v>0</v>
      </c>
      <c r="X847" s="73">
        <f t="shared" si="158"/>
        <v>2260251748.5</v>
      </c>
      <c r="Y847" s="73">
        <f t="shared" si="159"/>
        <v>-133639975.47</v>
      </c>
      <c r="Z847" s="73">
        <f t="shared" si="160"/>
        <v>-2260251748.5</v>
      </c>
      <c r="AA847" s="75">
        <f t="shared" si="161"/>
        <v>0</v>
      </c>
      <c r="AB847" s="76" t="str">
        <f t="shared" si="162"/>
        <v>No calculado</v>
      </c>
      <c r="AC847" s="76">
        <f t="shared" si="163"/>
        <v>0</v>
      </c>
      <c r="AD847" s="76" t="str">
        <f t="shared" si="164"/>
        <v>Sin Línea Base</v>
      </c>
      <c r="AE847" s="77">
        <f t="shared" si="165"/>
        <v>0</v>
      </c>
      <c r="AF847" s="77">
        <f t="shared" si="166"/>
        <v>-3013668998</v>
      </c>
      <c r="AG847" s="78" t="str">
        <f>VLOOKUP(Indicador!E826,[1]Diccionario!C$1:AC$150,27,0)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47" s="78">
        <v>1</v>
      </c>
      <c r="AI847" s="78">
        <v>1</v>
      </c>
      <c r="AJ847" s="78"/>
      <c r="AK847" s="78" t="s">
        <v>319</v>
      </c>
    </row>
    <row r="848" spans="1:37" ht="18.75" customHeight="1" x14ac:dyDescent="0.25">
      <c r="A848" s="64">
        <v>2027</v>
      </c>
      <c r="B848" s="65" t="s">
        <v>50</v>
      </c>
      <c r="C848" s="66" t="s">
        <v>457</v>
      </c>
      <c r="D848" s="67">
        <v>46021.841486574071</v>
      </c>
      <c r="E848" s="66" t="s">
        <v>458</v>
      </c>
      <c r="F848" s="66" t="s">
        <v>140</v>
      </c>
      <c r="G848" s="66" t="s">
        <v>459</v>
      </c>
      <c r="H848" s="66" t="s">
        <v>460</v>
      </c>
      <c r="I848" s="66" t="s">
        <v>78</v>
      </c>
      <c r="J848" s="66" t="s">
        <v>438</v>
      </c>
      <c r="K848" s="66" t="s">
        <v>45</v>
      </c>
      <c r="L848" s="68">
        <f>VLOOKUP(E848,[1]Diccionario!C$2:AC$150,22,0)</f>
        <v>3013668998</v>
      </c>
      <c r="M848" s="69">
        <f>VLOOKUP(E848,[1]Diccionario!C$2:AC$150,24,0)</f>
        <v>46006</v>
      </c>
      <c r="N848" s="70">
        <f>VLOOKUP(E848,[1]Diccionario!C$2:AC$150,25,0)</f>
        <v>46766</v>
      </c>
      <c r="O848" s="71">
        <f>VLOOKUP(E848,[1]Diccionario!C$2:AC$150,26,0)</f>
        <v>24.97</v>
      </c>
      <c r="P848" s="71">
        <f t="shared" si="156"/>
        <v>-6.9699999999999989</v>
      </c>
      <c r="Q848" s="71">
        <v>18</v>
      </c>
      <c r="R848" s="66">
        <v>25</v>
      </c>
      <c r="S848" s="72">
        <v>0.77</v>
      </c>
      <c r="T848" s="72"/>
      <c r="U848" s="73">
        <f>U847+TablaIndicador[[#This Row],[Costo Mensual]]</f>
        <v>133639975.47</v>
      </c>
      <c r="V848" s="73">
        <v>0</v>
      </c>
      <c r="W848" s="73">
        <f t="shared" si="157"/>
        <v>0</v>
      </c>
      <c r="X848" s="73">
        <f t="shared" si="158"/>
        <v>2320525128.46</v>
      </c>
      <c r="Y848" s="73">
        <f t="shared" si="159"/>
        <v>-133639975.47</v>
      </c>
      <c r="Z848" s="73">
        <f t="shared" si="160"/>
        <v>-2320525128.46</v>
      </c>
      <c r="AA848" s="75">
        <f t="shared" si="161"/>
        <v>0</v>
      </c>
      <c r="AB848" s="76" t="str">
        <f t="shared" si="162"/>
        <v>No calculado</v>
      </c>
      <c r="AC848" s="76">
        <f t="shared" si="163"/>
        <v>0</v>
      </c>
      <c r="AD848" s="76" t="str">
        <f t="shared" si="164"/>
        <v>Sin Línea Base</v>
      </c>
      <c r="AE848" s="77">
        <f t="shared" si="165"/>
        <v>0</v>
      </c>
      <c r="AF848" s="77">
        <f t="shared" si="166"/>
        <v>-3013668998</v>
      </c>
      <c r="AG848" s="78" t="str">
        <f>VLOOKUP(Indicador!E827,[1]Diccionario!C$1:AC$150,27,0)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48" s="78">
        <v>1</v>
      </c>
      <c r="AI848" s="78">
        <v>1</v>
      </c>
      <c r="AJ848" s="78"/>
      <c r="AK848" s="78" t="s">
        <v>319</v>
      </c>
    </row>
    <row r="849" spans="1:37" ht="18.75" customHeight="1" x14ac:dyDescent="0.25">
      <c r="A849" s="64">
        <v>2027</v>
      </c>
      <c r="B849" s="65" t="s">
        <v>51</v>
      </c>
      <c r="C849" s="66" t="s">
        <v>457</v>
      </c>
      <c r="D849" s="67">
        <v>46021.841486574071</v>
      </c>
      <c r="E849" s="66" t="s">
        <v>458</v>
      </c>
      <c r="F849" s="66" t="s">
        <v>140</v>
      </c>
      <c r="G849" s="66" t="s">
        <v>459</v>
      </c>
      <c r="H849" s="66" t="s">
        <v>460</v>
      </c>
      <c r="I849" s="66" t="s">
        <v>78</v>
      </c>
      <c r="J849" s="66" t="s">
        <v>438</v>
      </c>
      <c r="K849" s="66" t="s">
        <v>45</v>
      </c>
      <c r="L849" s="68">
        <f>VLOOKUP(E849,[1]Diccionario!C$2:AC$150,22,0)</f>
        <v>3013668998</v>
      </c>
      <c r="M849" s="69">
        <f>VLOOKUP(E849,[1]Diccionario!C$2:AC$150,24,0)</f>
        <v>46006</v>
      </c>
      <c r="N849" s="70">
        <f>VLOOKUP(E849,[1]Diccionario!C$2:AC$150,25,0)</f>
        <v>46766</v>
      </c>
      <c r="O849" s="71">
        <f>VLOOKUP(E849,[1]Diccionario!C$2:AC$150,26,0)</f>
        <v>24.97</v>
      </c>
      <c r="P849" s="71">
        <f t="shared" si="156"/>
        <v>-5.9699999999999989</v>
      </c>
      <c r="Q849" s="71">
        <v>19</v>
      </c>
      <c r="R849" s="66">
        <v>25</v>
      </c>
      <c r="S849" s="72">
        <v>0.8</v>
      </c>
      <c r="T849" s="72"/>
      <c r="U849" s="73">
        <f>U848+TablaIndicador[[#This Row],[Costo Mensual]]</f>
        <v>133639975.47</v>
      </c>
      <c r="V849" s="73">
        <v>0</v>
      </c>
      <c r="W849" s="73">
        <f t="shared" si="157"/>
        <v>0</v>
      </c>
      <c r="X849" s="73">
        <f t="shared" si="158"/>
        <v>2410935198.4000001</v>
      </c>
      <c r="Y849" s="73">
        <f t="shared" si="159"/>
        <v>-133639975.47</v>
      </c>
      <c r="Z849" s="73">
        <f t="shared" si="160"/>
        <v>-2410935198.4000001</v>
      </c>
      <c r="AA849" s="75">
        <f t="shared" si="161"/>
        <v>0</v>
      </c>
      <c r="AB849" s="76" t="str">
        <f t="shared" si="162"/>
        <v>No calculado</v>
      </c>
      <c r="AC849" s="76">
        <f t="shared" si="163"/>
        <v>0</v>
      </c>
      <c r="AD849" s="76" t="str">
        <f t="shared" si="164"/>
        <v>Sin Línea Base</v>
      </c>
      <c r="AE849" s="77">
        <f t="shared" si="165"/>
        <v>0</v>
      </c>
      <c r="AF849" s="77">
        <f t="shared" si="166"/>
        <v>-3013668998</v>
      </c>
      <c r="AG849" s="78" t="str">
        <f>VLOOKUP(Indicador!E828,[1]Diccionario!C$1:AC$150,27,0)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49" s="78">
        <v>1</v>
      </c>
      <c r="AI849" s="78">
        <v>1</v>
      </c>
      <c r="AJ849" s="78"/>
      <c r="AK849" s="78" t="s">
        <v>319</v>
      </c>
    </row>
    <row r="850" spans="1:37" ht="18.75" customHeight="1" x14ac:dyDescent="0.25">
      <c r="A850" s="64">
        <v>2027</v>
      </c>
      <c r="B850" s="65" t="s">
        <v>52</v>
      </c>
      <c r="C850" s="66" t="s">
        <v>457</v>
      </c>
      <c r="D850" s="67">
        <v>46021.841486574071</v>
      </c>
      <c r="E850" s="66" t="s">
        <v>458</v>
      </c>
      <c r="F850" s="66" t="s">
        <v>140</v>
      </c>
      <c r="G850" s="66" t="s">
        <v>459</v>
      </c>
      <c r="H850" s="66" t="s">
        <v>460</v>
      </c>
      <c r="I850" s="66" t="s">
        <v>78</v>
      </c>
      <c r="J850" s="66" t="s">
        <v>438</v>
      </c>
      <c r="K850" s="66" t="s">
        <v>45</v>
      </c>
      <c r="L850" s="68">
        <f>VLOOKUP(E850,[1]Diccionario!C$2:AC$150,22,0)</f>
        <v>3013668998</v>
      </c>
      <c r="M850" s="69">
        <f>VLOOKUP(E850,[1]Diccionario!C$2:AC$150,24,0)</f>
        <v>46006</v>
      </c>
      <c r="N850" s="70">
        <f>VLOOKUP(E850,[1]Diccionario!C$2:AC$150,25,0)</f>
        <v>46766</v>
      </c>
      <c r="O850" s="71">
        <f>VLOOKUP(E850,[1]Diccionario!C$2:AC$150,26,0)</f>
        <v>24.97</v>
      </c>
      <c r="P850" s="71">
        <f t="shared" si="156"/>
        <v>-4.9699999999999989</v>
      </c>
      <c r="Q850" s="71">
        <v>20</v>
      </c>
      <c r="R850" s="66">
        <v>25</v>
      </c>
      <c r="S850" s="72">
        <v>0.82</v>
      </c>
      <c r="T850" s="72"/>
      <c r="U850" s="73">
        <f>U849+TablaIndicador[[#This Row],[Costo Mensual]]</f>
        <v>133639975.47</v>
      </c>
      <c r="V850" s="73">
        <v>0</v>
      </c>
      <c r="W850" s="73">
        <f t="shared" si="157"/>
        <v>0</v>
      </c>
      <c r="X850" s="73">
        <f t="shared" si="158"/>
        <v>2471208578.3599997</v>
      </c>
      <c r="Y850" s="73">
        <f t="shared" si="159"/>
        <v>-133639975.47</v>
      </c>
      <c r="Z850" s="73">
        <f t="shared" si="160"/>
        <v>-2471208578.3599997</v>
      </c>
      <c r="AA850" s="75">
        <f t="shared" si="161"/>
        <v>0</v>
      </c>
      <c r="AB850" s="76" t="str">
        <f t="shared" si="162"/>
        <v>No calculado</v>
      </c>
      <c r="AC850" s="76">
        <f t="shared" si="163"/>
        <v>0</v>
      </c>
      <c r="AD850" s="76" t="str">
        <f t="shared" si="164"/>
        <v>Sin Línea Base</v>
      </c>
      <c r="AE850" s="77">
        <f t="shared" si="165"/>
        <v>0</v>
      </c>
      <c r="AF850" s="77">
        <f t="shared" si="166"/>
        <v>-3013668998</v>
      </c>
      <c r="AG850" s="78" t="str">
        <f>VLOOKUP(Indicador!E829,[1]Diccionario!C$1:AC$150,27,0)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50" s="78">
        <v>1</v>
      </c>
      <c r="AI850" s="78">
        <v>1</v>
      </c>
      <c r="AJ850" s="78"/>
      <c r="AK850" s="78" t="s">
        <v>319</v>
      </c>
    </row>
    <row r="851" spans="1:37" ht="18.75" customHeight="1" x14ac:dyDescent="0.25">
      <c r="A851" s="64">
        <v>2027</v>
      </c>
      <c r="B851" s="65" t="s">
        <v>53</v>
      </c>
      <c r="C851" s="66" t="s">
        <v>457</v>
      </c>
      <c r="D851" s="67">
        <v>46021.841486574071</v>
      </c>
      <c r="E851" s="66" t="s">
        <v>458</v>
      </c>
      <c r="F851" s="66" t="s">
        <v>140</v>
      </c>
      <c r="G851" s="66" t="s">
        <v>459</v>
      </c>
      <c r="H851" s="66" t="s">
        <v>460</v>
      </c>
      <c r="I851" s="66" t="s">
        <v>78</v>
      </c>
      <c r="J851" s="66" t="s">
        <v>438</v>
      </c>
      <c r="K851" s="66" t="s">
        <v>45</v>
      </c>
      <c r="L851" s="68">
        <f>VLOOKUP(E851,[1]Diccionario!C$2:AC$150,22,0)</f>
        <v>3013668998</v>
      </c>
      <c r="M851" s="69">
        <f>VLOOKUP(E851,[1]Diccionario!C$2:AC$150,24,0)</f>
        <v>46006</v>
      </c>
      <c r="N851" s="70">
        <f>VLOOKUP(E851,[1]Diccionario!C$2:AC$150,25,0)</f>
        <v>46766</v>
      </c>
      <c r="O851" s="71">
        <f>VLOOKUP(E851,[1]Diccionario!C$2:AC$150,26,0)</f>
        <v>24.97</v>
      </c>
      <c r="P851" s="71">
        <f t="shared" si="156"/>
        <v>-3.9699999999999989</v>
      </c>
      <c r="Q851" s="71">
        <v>21</v>
      </c>
      <c r="R851" s="66">
        <v>25</v>
      </c>
      <c r="S851" s="72">
        <v>0.87</v>
      </c>
      <c r="T851" s="72"/>
      <c r="U851" s="73">
        <f>U850+TablaIndicador[[#This Row],[Costo Mensual]]</f>
        <v>133639975.47</v>
      </c>
      <c r="V851" s="73">
        <v>0</v>
      </c>
      <c r="W851" s="73">
        <f t="shared" si="157"/>
        <v>0</v>
      </c>
      <c r="X851" s="73">
        <f t="shared" si="158"/>
        <v>2621892028.2599998</v>
      </c>
      <c r="Y851" s="73">
        <f t="shared" si="159"/>
        <v>-133639975.47</v>
      </c>
      <c r="Z851" s="73">
        <f t="shared" si="160"/>
        <v>-2621892028.2599998</v>
      </c>
      <c r="AA851" s="75">
        <f t="shared" si="161"/>
        <v>0</v>
      </c>
      <c r="AB851" s="76" t="str">
        <f t="shared" si="162"/>
        <v>No calculado</v>
      </c>
      <c r="AC851" s="76">
        <f t="shared" si="163"/>
        <v>0</v>
      </c>
      <c r="AD851" s="76" t="str">
        <f t="shared" si="164"/>
        <v>Sin Línea Base</v>
      </c>
      <c r="AE851" s="77">
        <f t="shared" si="165"/>
        <v>0</v>
      </c>
      <c r="AF851" s="77">
        <f t="shared" si="166"/>
        <v>-3013668998</v>
      </c>
      <c r="AG851" s="78" t="str">
        <f>VLOOKUP(Indicador!E830,[1]Diccionario!C$1:AC$150,27,0)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51" s="78">
        <v>1</v>
      </c>
      <c r="AI851" s="78">
        <v>1</v>
      </c>
      <c r="AJ851" s="78"/>
      <c r="AK851" s="78" t="s">
        <v>319</v>
      </c>
    </row>
    <row r="852" spans="1:37" ht="18.75" customHeight="1" x14ac:dyDescent="0.25">
      <c r="A852" s="64">
        <v>2027</v>
      </c>
      <c r="B852" s="65" t="s">
        <v>54</v>
      </c>
      <c r="C852" s="66" t="s">
        <v>457</v>
      </c>
      <c r="D852" s="67">
        <v>46021.841486574071</v>
      </c>
      <c r="E852" s="66" t="s">
        <v>458</v>
      </c>
      <c r="F852" s="66" t="s">
        <v>140</v>
      </c>
      <c r="G852" s="66" t="s">
        <v>459</v>
      </c>
      <c r="H852" s="66" t="s">
        <v>460</v>
      </c>
      <c r="I852" s="66" t="s">
        <v>78</v>
      </c>
      <c r="J852" s="66" t="s">
        <v>438</v>
      </c>
      <c r="K852" s="66" t="s">
        <v>45</v>
      </c>
      <c r="L852" s="68">
        <f>VLOOKUP(E852,[1]Diccionario!C$2:AC$150,22,0)</f>
        <v>3013668998</v>
      </c>
      <c r="M852" s="69">
        <f>VLOOKUP(E852,[1]Diccionario!C$2:AC$150,24,0)</f>
        <v>46006</v>
      </c>
      <c r="N852" s="70">
        <f>VLOOKUP(E852,[1]Diccionario!C$2:AC$150,25,0)</f>
        <v>46766</v>
      </c>
      <c r="O852" s="71">
        <f>VLOOKUP(E852,[1]Diccionario!C$2:AC$150,26,0)</f>
        <v>24.97</v>
      </c>
      <c r="P852" s="71">
        <f t="shared" si="156"/>
        <v>-2.9699999999999989</v>
      </c>
      <c r="Q852" s="71">
        <v>22</v>
      </c>
      <c r="R852" s="66">
        <v>25</v>
      </c>
      <c r="S852" s="72">
        <v>0.89800000000000002</v>
      </c>
      <c r="T852" s="72"/>
      <c r="U852" s="73">
        <f>U851+TablaIndicador[[#This Row],[Costo Mensual]]</f>
        <v>133639975.47</v>
      </c>
      <c r="V852" s="73">
        <v>0</v>
      </c>
      <c r="W852" s="73">
        <f t="shared" si="157"/>
        <v>0</v>
      </c>
      <c r="X852" s="73">
        <f t="shared" si="158"/>
        <v>2706274760.204</v>
      </c>
      <c r="Y852" s="73">
        <f t="shared" si="159"/>
        <v>-133639975.47</v>
      </c>
      <c r="Z852" s="73">
        <f t="shared" si="160"/>
        <v>-2706274760.204</v>
      </c>
      <c r="AA852" s="75">
        <f t="shared" si="161"/>
        <v>0</v>
      </c>
      <c r="AB852" s="76" t="str">
        <f t="shared" si="162"/>
        <v>No calculado</v>
      </c>
      <c r="AC852" s="76">
        <f t="shared" si="163"/>
        <v>0</v>
      </c>
      <c r="AD852" s="76" t="str">
        <f t="shared" si="164"/>
        <v>Sin Línea Base</v>
      </c>
      <c r="AE852" s="77">
        <f t="shared" si="165"/>
        <v>0</v>
      </c>
      <c r="AF852" s="77">
        <f t="shared" si="166"/>
        <v>-3013668998</v>
      </c>
      <c r="AG852" s="78" t="str">
        <f>VLOOKUP(Indicador!E831,[1]Diccionario!C$1:AC$150,27,0)</f>
        <v>https://growdatasas.sharepoint.com/:x:/r/sites/Gestiondocumental/Administrativa/GD/Financiera/_layouts/15/Doc.aspx?sourcedoc=%7B2970928D-0288-4D5D-952F-67732B5D2028%7D&amp;file=251216_MODELO_FINANCIERO_SDH_V.2.0__V7.5%20VF.xlsm&amp;action=default&amp;mobileredirect=true</v>
      </c>
      <c r="AH852" s="78">
        <v>1</v>
      </c>
      <c r="AI852" s="78">
        <v>1</v>
      </c>
      <c r="AJ852" s="78"/>
      <c r="AK852" s="78" t="s">
        <v>319</v>
      </c>
    </row>
    <row r="853" spans="1:37" ht="18.75" customHeight="1" x14ac:dyDescent="0.25">
      <c r="A853" s="64">
        <v>2027</v>
      </c>
      <c r="B853" s="65" t="s">
        <v>55</v>
      </c>
      <c r="C853" s="66" t="s">
        <v>457</v>
      </c>
      <c r="D853" s="67">
        <v>46021.841486574071</v>
      </c>
      <c r="E853" s="66" t="s">
        <v>458</v>
      </c>
      <c r="F853" s="66" t="s">
        <v>140</v>
      </c>
      <c r="G853" s="66" t="s">
        <v>459</v>
      </c>
      <c r="H853" s="66" t="s">
        <v>460</v>
      </c>
      <c r="I853" s="66" t="s">
        <v>78</v>
      </c>
      <c r="J853" s="66" t="s">
        <v>438</v>
      </c>
      <c r="K853" s="66" t="s">
        <v>45</v>
      </c>
      <c r="L853" s="68">
        <f>VLOOKUP(E853,[1]Diccionario!C$2:AC$150,22,0)</f>
        <v>3013668998</v>
      </c>
      <c r="M853" s="69">
        <f>VLOOKUP(E853,[1]Diccionario!C$2:AC$150,24,0)</f>
        <v>46006</v>
      </c>
      <c r="N853" s="70">
        <f>VLOOKUP(E853,[1]Diccionario!C$2:AC$150,25,0)</f>
        <v>46766</v>
      </c>
      <c r="O853" s="71">
        <f>VLOOKUP(E853,[1]Diccionario!C$2:AC$150,26,0)</f>
        <v>24.97</v>
      </c>
      <c r="P853" s="71">
        <f t="shared" si="156"/>
        <v>-1.9699999999999989</v>
      </c>
      <c r="Q853" s="71">
        <v>23</v>
      </c>
      <c r="R853" s="66">
        <v>25</v>
      </c>
      <c r="S853" s="72">
        <v>0.92</v>
      </c>
      <c r="T853" s="72"/>
      <c r="U853" s="73">
        <f>U852+TablaIndicador[[#This Row],[Costo Mensual]]</f>
        <v>133639975.47</v>
      </c>
      <c r="V853" s="73">
        <v>0</v>
      </c>
      <c r="W853" s="73">
        <f t="shared" si="157"/>
        <v>0</v>
      </c>
      <c r="X853" s="73">
        <f t="shared" si="158"/>
        <v>2772575478.1600003</v>
      </c>
      <c r="Y853" s="73">
        <f t="shared" si="159"/>
        <v>-133639975.47</v>
      </c>
      <c r="Z853" s="73">
        <f t="shared" si="160"/>
        <v>-2772575478.1600003</v>
      </c>
      <c r="AA853" s="75">
        <f t="shared" si="161"/>
        <v>0</v>
      </c>
      <c r="AB853" s="76" t="str">
        <f t="shared" si="162"/>
        <v>No calculado</v>
      </c>
      <c r="AC853" s="76">
        <f t="shared" si="163"/>
        <v>0</v>
      </c>
      <c r="AD853" s="76" t="str">
        <f t="shared" si="164"/>
        <v>Sin Línea Base</v>
      </c>
      <c r="AE853" s="77">
        <f t="shared" si="165"/>
        <v>0</v>
      </c>
      <c r="AF853" s="77">
        <f t="shared" si="166"/>
        <v>-3013668998</v>
      </c>
      <c r="AG853" s="78" t="str">
        <f>VLOOKUP(Indicador!E832,[1]Diccionario!C$1:AC$150,27,0)</f>
        <v>https://growdatasas.sharepoint.com/:x:/r/sites/Gestiondocumental/Administrativa/GD/Financiera/_layouts/15/Doc.aspx?sourcedoc=%7B2970928D-0288-4D5D-952F-67732B5D2028%7D&amp;file=251216_MODELO_FINANCIERO_SDH_V.2.0__V7.5%20VF.xlsm&amp;action=default&amp;mobileredirect=true</v>
      </c>
      <c r="AH853" s="78">
        <v>1</v>
      </c>
      <c r="AI853" s="78">
        <v>1</v>
      </c>
      <c r="AJ853" s="78"/>
      <c r="AK853" s="78" t="s">
        <v>319</v>
      </c>
    </row>
    <row r="854" spans="1:37" ht="18.75" customHeight="1" x14ac:dyDescent="0.25">
      <c r="A854" s="64">
        <v>2027</v>
      </c>
      <c r="B854" s="65" t="s">
        <v>56</v>
      </c>
      <c r="C854" s="66" t="s">
        <v>457</v>
      </c>
      <c r="D854" s="67">
        <v>46021.841486574071</v>
      </c>
      <c r="E854" s="66" t="s">
        <v>458</v>
      </c>
      <c r="F854" s="66" t="s">
        <v>140</v>
      </c>
      <c r="G854" s="66" t="s">
        <v>459</v>
      </c>
      <c r="H854" s="66" t="s">
        <v>460</v>
      </c>
      <c r="I854" s="66" t="s">
        <v>78</v>
      </c>
      <c r="J854" s="66" t="s">
        <v>438</v>
      </c>
      <c r="K854" s="66" t="s">
        <v>45</v>
      </c>
      <c r="L854" s="68">
        <f>VLOOKUP(E854,[1]Diccionario!C$2:AC$150,22,0)</f>
        <v>3013668998</v>
      </c>
      <c r="M854" s="69">
        <f>VLOOKUP(E854,[1]Diccionario!C$2:AC$150,24,0)</f>
        <v>46006</v>
      </c>
      <c r="N854" s="70">
        <f>VLOOKUP(E854,[1]Diccionario!C$2:AC$150,25,0)</f>
        <v>46766</v>
      </c>
      <c r="O854" s="71">
        <f>VLOOKUP(E854,[1]Diccionario!C$2:AC$150,26,0)</f>
        <v>24.97</v>
      </c>
      <c r="P854" s="71">
        <f t="shared" si="156"/>
        <v>-0.96999999999999886</v>
      </c>
      <c r="Q854" s="71">
        <v>24</v>
      </c>
      <c r="R854" s="66">
        <v>25</v>
      </c>
      <c r="S854" s="72">
        <v>0.94</v>
      </c>
      <c r="T854" s="72"/>
      <c r="U854" s="73">
        <f>U853+TablaIndicador[[#This Row],[Costo Mensual]]</f>
        <v>133639975.47</v>
      </c>
      <c r="V854" s="73">
        <v>0</v>
      </c>
      <c r="W854" s="73">
        <f t="shared" si="157"/>
        <v>0</v>
      </c>
      <c r="X854" s="73">
        <f t="shared" si="158"/>
        <v>2832848858.1199999</v>
      </c>
      <c r="Y854" s="73">
        <f t="shared" si="159"/>
        <v>-133639975.47</v>
      </c>
      <c r="Z854" s="73">
        <f t="shared" si="160"/>
        <v>-2832848858.1199999</v>
      </c>
      <c r="AA854" s="75">
        <f t="shared" si="161"/>
        <v>0</v>
      </c>
      <c r="AB854" s="76" t="str">
        <f t="shared" si="162"/>
        <v>No calculado</v>
      </c>
      <c r="AC854" s="76">
        <f t="shared" si="163"/>
        <v>0</v>
      </c>
      <c r="AD854" s="76" t="str">
        <f t="shared" si="164"/>
        <v>Sin Línea Base</v>
      </c>
      <c r="AE854" s="77">
        <f t="shared" si="165"/>
        <v>0</v>
      </c>
      <c r="AF854" s="77">
        <f t="shared" si="166"/>
        <v>-3013668998</v>
      </c>
      <c r="AG854" s="78" t="str">
        <f>VLOOKUP(Indicador!E833,[1]Diccionario!C$1:AC$150,27,0)</f>
        <v>https://growdatasas.sharepoint.com/:x:/r/sites/Gestiondocumental/Administrativa/GD/Financiera/_layouts/15/Doc.aspx?sourcedoc=%7B2970928D-0288-4D5D-952F-67732B5D2028%7D&amp;file=251216_MODELO_FINANCIERO_SDH_V.2.0__V7.5%20VF.xlsm&amp;action=default&amp;mobileredirect=true</v>
      </c>
      <c r="AH854" s="78">
        <v>1</v>
      </c>
      <c r="AI854" s="78">
        <v>1</v>
      </c>
      <c r="AJ854" s="78"/>
      <c r="AK854" s="78" t="s">
        <v>319</v>
      </c>
    </row>
    <row r="855" spans="1:37" ht="18.75" customHeight="1" x14ac:dyDescent="0.25">
      <c r="A855" s="64">
        <v>2027</v>
      </c>
      <c r="B855" s="65" t="s">
        <v>57</v>
      </c>
      <c r="C855" s="66" t="s">
        <v>457</v>
      </c>
      <c r="D855" s="67">
        <v>46021.841486574071</v>
      </c>
      <c r="E855" s="66" t="s">
        <v>458</v>
      </c>
      <c r="F855" s="66" t="s">
        <v>140</v>
      </c>
      <c r="G855" s="66" t="s">
        <v>459</v>
      </c>
      <c r="H855" s="66" t="s">
        <v>460</v>
      </c>
      <c r="I855" s="66" t="s">
        <v>78</v>
      </c>
      <c r="J855" s="66" t="s">
        <v>438</v>
      </c>
      <c r="K855" s="66" t="s">
        <v>45</v>
      </c>
      <c r="L855" s="68">
        <f>VLOOKUP(E855,[1]Diccionario!C$2:AC$150,22,0)</f>
        <v>3013668998</v>
      </c>
      <c r="M855" s="69">
        <f>VLOOKUP(E855,[1]Diccionario!C$2:AC$150,24,0)</f>
        <v>46006</v>
      </c>
      <c r="N855" s="70">
        <f>VLOOKUP(E855,[1]Diccionario!C$2:AC$150,25,0)</f>
        <v>46766</v>
      </c>
      <c r="O855" s="71">
        <f>VLOOKUP(E855,[1]Diccionario!C$2:AC$150,26,0)</f>
        <v>24.97</v>
      </c>
      <c r="P855" s="71">
        <f t="shared" si="156"/>
        <v>3.0000000000001137E-2</v>
      </c>
      <c r="Q855" s="71">
        <v>25</v>
      </c>
      <c r="R855" s="66">
        <v>25</v>
      </c>
      <c r="S855" s="72">
        <v>0.98</v>
      </c>
      <c r="T855" s="72"/>
      <c r="U855" s="73">
        <f>U854+TablaIndicador[[#This Row],[Costo Mensual]]</f>
        <v>133639975.47</v>
      </c>
      <c r="V855" s="73">
        <v>0</v>
      </c>
      <c r="W855" s="73">
        <f t="shared" si="157"/>
        <v>0</v>
      </c>
      <c r="X855" s="73">
        <f t="shared" si="158"/>
        <v>2953395618.04</v>
      </c>
      <c r="Y855" s="73">
        <f t="shared" si="159"/>
        <v>-133639975.47</v>
      </c>
      <c r="Z855" s="73">
        <f t="shared" si="160"/>
        <v>-2953395618.04</v>
      </c>
      <c r="AA855" s="75">
        <f t="shared" si="161"/>
        <v>0</v>
      </c>
      <c r="AB855" s="76" t="str">
        <f t="shared" si="162"/>
        <v>No calculado</v>
      </c>
      <c r="AC855" s="76">
        <f t="shared" si="163"/>
        <v>0</v>
      </c>
      <c r="AD855" s="76" t="str">
        <f t="shared" si="164"/>
        <v>Sin Línea Base</v>
      </c>
      <c r="AE855" s="77">
        <f t="shared" si="165"/>
        <v>0</v>
      </c>
      <c r="AF855" s="77">
        <f t="shared" si="166"/>
        <v>-3013668998</v>
      </c>
      <c r="AG855" s="78" t="str">
        <f>VLOOKUP(Indicador!E834,[1]Diccionario!C$1:AC$150,27,0)</f>
        <v>https://growdatasas.sharepoint.com/:x:/r/sites/Gestiondocumental/Administrativa/GD/Financiera/_layouts/15/Doc.aspx?sourcedoc=%7B2970928D-0288-4D5D-952F-67732B5D2028%7D&amp;file=251216_MODELO_FINANCIERO_SDH_V.2.0__V7.5%20VF.xlsm&amp;action=default&amp;mobileredirect=true</v>
      </c>
      <c r="AH855" s="78">
        <v>1</v>
      </c>
      <c r="AI855" s="78">
        <v>1</v>
      </c>
      <c r="AJ855" s="78"/>
      <c r="AK855" s="78" t="s">
        <v>319</v>
      </c>
    </row>
    <row r="856" spans="1:37" ht="18.75" customHeight="1" x14ac:dyDescent="0.25">
      <c r="A856" s="64">
        <v>2028</v>
      </c>
      <c r="B856" s="65" t="s">
        <v>37</v>
      </c>
      <c r="C856" s="66" t="s">
        <v>457</v>
      </c>
      <c r="D856" s="67">
        <v>46021.841486574071</v>
      </c>
      <c r="E856" s="66" t="s">
        <v>458</v>
      </c>
      <c r="F856" s="66" t="s">
        <v>140</v>
      </c>
      <c r="G856" s="66" t="s">
        <v>459</v>
      </c>
      <c r="H856" s="66" t="s">
        <v>460</v>
      </c>
      <c r="I856" s="66" t="s">
        <v>78</v>
      </c>
      <c r="J856" s="66" t="s">
        <v>438</v>
      </c>
      <c r="K856" s="66" t="s">
        <v>45</v>
      </c>
      <c r="L856" s="68">
        <f>VLOOKUP(E856,[1]Diccionario!C$2:AC$150,22,0)</f>
        <v>3013668998</v>
      </c>
      <c r="M856" s="69">
        <f>VLOOKUP(E856,[1]Diccionario!C$2:AC$150,24,0)</f>
        <v>46006</v>
      </c>
      <c r="N856" s="70">
        <f>VLOOKUP(E856,[1]Diccionario!C$2:AC$150,25,0)</f>
        <v>46766</v>
      </c>
      <c r="O856" s="71">
        <f>VLOOKUP(E856,[1]Diccionario!C$2:AC$150,26,0)</f>
        <v>24.97</v>
      </c>
      <c r="P856" s="71">
        <f t="shared" si="156"/>
        <v>1.0300000000000011</v>
      </c>
      <c r="Q856" s="71">
        <v>26</v>
      </c>
      <c r="R856" s="66">
        <v>25</v>
      </c>
      <c r="S856" s="72">
        <v>1</v>
      </c>
      <c r="T856" s="72"/>
      <c r="U856" s="73">
        <f>U855+TablaIndicador[[#This Row],[Costo Mensual]]</f>
        <v>133639975.47</v>
      </c>
      <c r="V856" s="73">
        <v>0</v>
      </c>
      <c r="W856" s="73">
        <f t="shared" si="157"/>
        <v>0</v>
      </c>
      <c r="X856" s="73">
        <f t="shared" si="158"/>
        <v>3013668998</v>
      </c>
      <c r="Y856" s="73">
        <f t="shared" si="159"/>
        <v>-133639975.47</v>
      </c>
      <c r="Z856" s="73">
        <f t="shared" si="160"/>
        <v>-3013668998</v>
      </c>
      <c r="AA856" s="75">
        <f t="shared" si="161"/>
        <v>0</v>
      </c>
      <c r="AB856" s="76" t="str">
        <f t="shared" si="162"/>
        <v>No calculado</v>
      </c>
      <c r="AC856" s="76">
        <f t="shared" si="163"/>
        <v>0</v>
      </c>
      <c r="AD856" s="76" t="str">
        <f t="shared" si="164"/>
        <v>Sin Línea Base</v>
      </c>
      <c r="AE856" s="77">
        <f t="shared" si="165"/>
        <v>0</v>
      </c>
      <c r="AF856" s="77">
        <f t="shared" si="166"/>
        <v>-3013668998</v>
      </c>
      <c r="AG856" s="78" t="str">
        <f>VLOOKUP(Indicador!E835,[1]Diccionario!C$1:AC$150,27,0)</f>
        <v>https://growdatasas.sharepoint.com/:x:/r/sites/Gestiondocumental/Administrativa/GD/Financiera/_layouts/15/Doc.aspx?sourcedoc=%7B2970928D-0288-4D5D-952F-67732B5D2028%7D&amp;file=251216_MODELO_FINANCIERO_SDH_V.2.0__V7.5%20VF.xlsm&amp;action=default&amp;mobileredirect=true</v>
      </c>
      <c r="AH856" s="78">
        <v>1</v>
      </c>
      <c r="AI856" s="78">
        <v>1</v>
      </c>
      <c r="AJ856" s="78"/>
      <c r="AK856" s="78" t="s">
        <v>319</v>
      </c>
    </row>
    <row r="857" spans="1:37" ht="18.75" customHeight="1" x14ac:dyDescent="0.25">
      <c r="A857" s="64">
        <v>2025</v>
      </c>
      <c r="B857" s="65" t="s">
        <v>56</v>
      </c>
      <c r="C857" s="66" t="s">
        <v>461</v>
      </c>
      <c r="D857" s="67">
        <v>46041.077208368057</v>
      </c>
      <c r="E857" s="66" t="s">
        <v>462</v>
      </c>
      <c r="F857" s="66" t="s">
        <v>151</v>
      </c>
      <c r="G857" s="66" t="s">
        <v>463</v>
      </c>
      <c r="H857" s="66" t="s">
        <v>464</v>
      </c>
      <c r="I857" s="66" t="s">
        <v>63</v>
      </c>
      <c r="J857" s="66" t="s">
        <v>465</v>
      </c>
      <c r="K857" s="66" t="s">
        <v>45</v>
      </c>
      <c r="L857" s="68">
        <f>VLOOKUP(E857,[1]Diccionario!C$2:AC$150,22,0)</f>
        <v>1965212706</v>
      </c>
      <c r="M857" s="69">
        <f>VLOOKUP(E857,[1]Diccionario!C$2:AC$150,24,0)</f>
        <v>45971</v>
      </c>
      <c r="N857" s="70">
        <f>VLOOKUP(E857,[1]Diccionario!C$2:AC$150,25,0)</f>
        <v>46022</v>
      </c>
      <c r="O857" s="71">
        <f>VLOOKUP(E857,[1]Diccionario!C$2:AC$150,26,0)</f>
        <v>1.7</v>
      </c>
      <c r="P857" s="71">
        <f t="shared" si="156"/>
        <v>-0.7</v>
      </c>
      <c r="Q857" s="71">
        <v>1</v>
      </c>
      <c r="R857" s="66">
        <v>2</v>
      </c>
      <c r="S857" s="72">
        <v>0.5</v>
      </c>
      <c r="T857" s="72">
        <v>0.5</v>
      </c>
      <c r="U857" s="73">
        <f>TablaIndicador[[#This Row],[Costo Mensual]]</f>
        <v>0</v>
      </c>
      <c r="V857" s="73">
        <v>0</v>
      </c>
      <c r="W857" s="73">
        <f t="shared" si="157"/>
        <v>982606353</v>
      </c>
      <c r="X857" s="73">
        <f t="shared" si="158"/>
        <v>982606353</v>
      </c>
      <c r="Y857" s="73">
        <f t="shared" si="159"/>
        <v>982606353</v>
      </c>
      <c r="Z857" s="73">
        <f t="shared" si="160"/>
        <v>0</v>
      </c>
      <c r="AA857" s="75" t="str">
        <f t="shared" si="161"/>
        <v>No se realizó gasto en este corte</v>
      </c>
      <c r="AB857" s="76" t="str">
        <f t="shared" si="162"/>
        <v>Costo eficiente: se está gastando menos de lo presupuestado</v>
      </c>
      <c r="AC857" s="76">
        <f t="shared" si="163"/>
        <v>1</v>
      </c>
      <c r="AD857" s="76" t="str">
        <f t="shared" si="164"/>
        <v>Proyecto a tiempo según lo planificado</v>
      </c>
      <c r="AE857" s="77">
        <f t="shared" si="165"/>
        <v>0</v>
      </c>
      <c r="AF857" s="77">
        <f t="shared" si="166"/>
        <v>-1965212706</v>
      </c>
      <c r="AG857" s="78" t="str">
        <f>VLOOKUP(Indicador!E779,[1]Diccionario!C$1:AC$150,27,0)</f>
        <v>https://growdatasas.sharepoint.com/:x:/r/sites/Gestiondocumental/Administrativa/GD/Financiera/_layouts/15/Doc.aspx?sourcedoc=%7BEE2DBDF3-CCDC-4051-9840-1FAD6578D68D%7D&amp;file=MODELO%20MINVIVIENDA%20V1.4.%20(aprobado).xlsm&amp;action=default&amp;mobileredirect=true</v>
      </c>
      <c r="AH857" s="78">
        <v>1</v>
      </c>
      <c r="AI857" s="78">
        <v>1</v>
      </c>
      <c r="AJ857" s="78"/>
      <c r="AK857" s="78" t="s">
        <v>319</v>
      </c>
    </row>
    <row r="858" spans="1:37" ht="18.75" customHeight="1" x14ac:dyDescent="0.25">
      <c r="A858" s="64">
        <v>2025</v>
      </c>
      <c r="B858" s="65" t="s">
        <v>57</v>
      </c>
      <c r="C858" s="66" t="s">
        <v>461</v>
      </c>
      <c r="D858" s="67">
        <v>46041.077208368057</v>
      </c>
      <c r="E858" s="66" t="s">
        <v>462</v>
      </c>
      <c r="F858" s="66" t="s">
        <v>151</v>
      </c>
      <c r="G858" s="66" t="s">
        <v>463</v>
      </c>
      <c r="H858" s="66" t="s">
        <v>464</v>
      </c>
      <c r="I858" s="66" t="s">
        <v>63</v>
      </c>
      <c r="J858" s="66" t="s">
        <v>465</v>
      </c>
      <c r="K858" s="66" t="s">
        <v>45</v>
      </c>
      <c r="L858" s="68">
        <f>VLOOKUP(E858,[1]Diccionario!C$2:AC$150,22,0)</f>
        <v>1965212706</v>
      </c>
      <c r="M858" s="69">
        <f>VLOOKUP(E858,[1]Diccionario!C$2:AC$150,24,0)</f>
        <v>45971</v>
      </c>
      <c r="N858" s="70">
        <f>VLOOKUP(E858,[1]Diccionario!C$2:AC$150,25,0)</f>
        <v>46022</v>
      </c>
      <c r="O858" s="71">
        <f>VLOOKUP(E858,[1]Diccionario!C$2:AC$150,26,0)</f>
        <v>1.7</v>
      </c>
      <c r="P858" s="71">
        <f t="shared" si="156"/>
        <v>0.30000000000000004</v>
      </c>
      <c r="Q858" s="71">
        <v>2</v>
      </c>
      <c r="R858" s="66">
        <v>2</v>
      </c>
      <c r="S858" s="72">
        <v>1</v>
      </c>
      <c r="T858" s="72">
        <v>0.75</v>
      </c>
      <c r="U858" s="73">
        <f>U857+TablaIndicador[[#This Row],[Costo Mensual]]</f>
        <v>0</v>
      </c>
      <c r="V858" s="73">
        <v>0</v>
      </c>
      <c r="W858" s="73">
        <f t="shared" si="157"/>
        <v>1473909529.5</v>
      </c>
      <c r="X858" s="73">
        <f t="shared" si="158"/>
        <v>1965212706</v>
      </c>
      <c r="Y858" s="73">
        <f t="shared" si="159"/>
        <v>1473909529.5</v>
      </c>
      <c r="Z858" s="73">
        <f t="shared" si="160"/>
        <v>-491303176.5</v>
      </c>
      <c r="AA858" s="75" t="str">
        <f t="shared" si="161"/>
        <v>No se realizó gasto en este corte</v>
      </c>
      <c r="AB858" s="76" t="str">
        <f t="shared" si="162"/>
        <v>Costo eficiente: se está gastando menos de lo presupuestado</v>
      </c>
      <c r="AC858" s="76">
        <f t="shared" si="163"/>
        <v>0.75</v>
      </c>
      <c r="AD858" s="76" t="str">
        <f t="shared" si="164"/>
        <v>Proyecto atrasado con respecto al cronograma</v>
      </c>
      <c r="AE858" s="77">
        <f t="shared" si="165"/>
        <v>0</v>
      </c>
      <c r="AF858" s="77">
        <f t="shared" si="166"/>
        <v>-1965212706</v>
      </c>
      <c r="AG858" s="78" t="str">
        <f>VLOOKUP(Indicador!E780,[1]Diccionario!C$1:AC$150,27,0)</f>
        <v>https://growdatasas.sharepoint.com/:x:/r/sites/Gestiondocumental/Administrativa/GD/Financiera/_layouts/15/Doc.aspx?sourcedoc=%7BEE2DBDF3-CCDC-4051-9840-1FAD6578D68D%7D&amp;file=MODELO%20MINVIVIENDA%20V1.4.%20(aprobado).xlsm&amp;action=default&amp;mobileredirect=true</v>
      </c>
      <c r="AH858" s="78">
        <v>1</v>
      </c>
      <c r="AI858" s="78">
        <v>1</v>
      </c>
      <c r="AJ858" s="78"/>
      <c r="AK858" s="78" t="s">
        <v>319</v>
      </c>
    </row>
    <row r="859" spans="1:37" ht="18.75" customHeight="1" x14ac:dyDescent="0.25">
      <c r="A859" s="64">
        <v>2026</v>
      </c>
      <c r="B859" s="65" t="s">
        <v>37</v>
      </c>
      <c r="C859" s="66" t="s">
        <v>461</v>
      </c>
      <c r="D859" s="67">
        <v>46041.077208368057</v>
      </c>
      <c r="E859" s="66" t="s">
        <v>462</v>
      </c>
      <c r="F859" s="66" t="s">
        <v>151</v>
      </c>
      <c r="G859" s="66" t="s">
        <v>463</v>
      </c>
      <c r="H859" s="66" t="s">
        <v>464</v>
      </c>
      <c r="I859" s="66" t="s">
        <v>63</v>
      </c>
      <c r="J859" s="66" t="s">
        <v>465</v>
      </c>
      <c r="K859" s="66" t="s">
        <v>45</v>
      </c>
      <c r="L859" s="68">
        <f>VLOOKUP(E859,[1]Diccionario!C$2:AC$150,22,0)</f>
        <v>1965212706</v>
      </c>
      <c r="M859" s="69">
        <f>VLOOKUP(E859,[1]Diccionario!C$2:AC$150,24,0)</f>
        <v>45971</v>
      </c>
      <c r="N859" s="70">
        <f>VLOOKUP(E859,[1]Diccionario!C$2:AC$150,25,0)</f>
        <v>46022</v>
      </c>
      <c r="O859" s="71">
        <f>VLOOKUP(E859,[1]Diccionario!C$2:AC$150,26,0)</f>
        <v>1.7</v>
      </c>
      <c r="P859" s="71">
        <f t="shared" ca="1" si="156"/>
        <v>2.2999999999999998</v>
      </c>
      <c r="Q859" s="71">
        <f ca="1">DATEDIF(M859,TODAY(),"m")</f>
        <v>4</v>
      </c>
      <c r="R859" s="66">
        <v>2</v>
      </c>
      <c r="S859" s="72">
        <v>1</v>
      </c>
      <c r="T859" s="72">
        <v>1</v>
      </c>
      <c r="U859" s="73">
        <f>U858+TablaIndicador[[#This Row],[Costo Mensual]]</f>
        <v>1752220898.0999999</v>
      </c>
      <c r="V859" s="73">
        <v>1752220898.0999999</v>
      </c>
      <c r="W859" s="73">
        <f t="shared" si="157"/>
        <v>1965212706</v>
      </c>
      <c r="X859" s="73">
        <f t="shared" si="158"/>
        <v>1965212706</v>
      </c>
      <c r="Y859" s="73">
        <f t="shared" si="159"/>
        <v>212991807.9000001</v>
      </c>
      <c r="Z859" s="73">
        <f t="shared" si="160"/>
        <v>0</v>
      </c>
      <c r="AA859" s="75">
        <f t="shared" si="161"/>
        <v>1.1215553405001364</v>
      </c>
      <c r="AB859" s="76" t="str">
        <f t="shared" si="162"/>
        <v>Costo eficiente: se está gastando menos de lo presupuestado</v>
      </c>
      <c r="AC859" s="76">
        <f t="shared" si="163"/>
        <v>1</v>
      </c>
      <c r="AD859" s="76" t="str">
        <f t="shared" si="164"/>
        <v>Proyecto a tiempo según lo planificado</v>
      </c>
      <c r="AE859" s="77">
        <f t="shared" si="165"/>
        <v>1752220898.0999997</v>
      </c>
      <c r="AF859" s="77">
        <f t="shared" si="166"/>
        <v>-212991807.90000033</v>
      </c>
      <c r="AG859" s="78" t="str">
        <f>VLOOKUP(Indicador!E781,[1]Diccionario!C$1:AC$150,27,0)</f>
        <v>https://growdatasas.sharepoint.com/:x:/r/sites/Gestiondocumental/Administrativa/GD/Financiera/_layouts/15/Doc.aspx?sourcedoc=%7BEE2DBDF3-CCDC-4051-9840-1FAD6578D68D%7D&amp;file=MODELO%20MINVIVIENDA%20V1.4.%20(aprobado).xlsm&amp;action=default&amp;mobileredirect=true</v>
      </c>
      <c r="AH859" s="78">
        <v>1</v>
      </c>
      <c r="AI859" s="78">
        <v>1</v>
      </c>
      <c r="AJ859" s="78"/>
      <c r="AK859" s="78" t="s">
        <v>319</v>
      </c>
    </row>
    <row r="860" spans="1:37" ht="18.75" customHeight="1" x14ac:dyDescent="0.25">
      <c r="A860" s="64">
        <v>2025</v>
      </c>
      <c r="B860" s="65" t="s">
        <v>57</v>
      </c>
      <c r="C860" s="66" t="s">
        <v>466</v>
      </c>
      <c r="D860" s="67">
        <v>46048.831253240744</v>
      </c>
      <c r="E860" s="66" t="s">
        <v>467</v>
      </c>
      <c r="F860" s="66" t="s">
        <v>40</v>
      </c>
      <c r="G860" s="66" t="s">
        <v>468</v>
      </c>
      <c r="H860" s="66" t="s">
        <v>469</v>
      </c>
      <c r="I860" s="66" t="s">
        <v>63</v>
      </c>
      <c r="J860" s="66" t="s">
        <v>470</v>
      </c>
      <c r="K860" s="66" t="s">
        <v>45</v>
      </c>
      <c r="L860" s="68">
        <f>VLOOKUP(E860,[1]Diccionario!C$2:AC$150,22,0)</f>
        <v>164669199</v>
      </c>
      <c r="M860" s="69">
        <f>VLOOKUP(E860,[1]Diccionario!C$2:AC$150,24,0)</f>
        <v>45992</v>
      </c>
      <c r="N860" s="70">
        <f>VLOOKUP(E860,[1]Diccionario!C$2:AC$150,25,0)</f>
        <v>46233</v>
      </c>
      <c r="O860" s="71">
        <f>VLOOKUP(E860,[1]Diccionario!C$2:AC$150,26,0)</f>
        <v>7.97</v>
      </c>
      <c r="P860" s="71">
        <f t="shared" si="156"/>
        <v>-6.97</v>
      </c>
      <c r="Q860" s="71">
        <v>1</v>
      </c>
      <c r="R860" s="66">
        <v>8</v>
      </c>
      <c r="S860" s="72">
        <v>0.1</v>
      </c>
      <c r="T860" s="72">
        <v>0.1</v>
      </c>
      <c r="U860" s="73">
        <f>TablaIndicador[[#This Row],[Costo Mensual]]</f>
        <v>0</v>
      </c>
      <c r="V860" s="74">
        <v>0</v>
      </c>
      <c r="W860" s="73">
        <f t="shared" si="157"/>
        <v>16466919.9</v>
      </c>
      <c r="X860" s="73">
        <f t="shared" si="158"/>
        <v>16466919.9</v>
      </c>
      <c r="Y860" s="73">
        <f t="shared" si="159"/>
        <v>16466919.9</v>
      </c>
      <c r="Z860" s="73">
        <f t="shared" si="160"/>
        <v>0</v>
      </c>
      <c r="AA860" s="75" t="str">
        <f t="shared" si="161"/>
        <v>No se realizó gasto en este corte</v>
      </c>
      <c r="AB860" s="76" t="str">
        <f t="shared" si="162"/>
        <v>Costo eficiente: se está gastando menos de lo presupuestado</v>
      </c>
      <c r="AC860" s="76">
        <f t="shared" si="163"/>
        <v>1</v>
      </c>
      <c r="AD860" s="76" t="str">
        <f t="shared" si="164"/>
        <v>Proyecto a tiempo según lo planificado</v>
      </c>
      <c r="AE860" s="77">
        <f t="shared" si="165"/>
        <v>0</v>
      </c>
      <c r="AF860" s="77">
        <f t="shared" si="166"/>
        <v>-164669199</v>
      </c>
      <c r="AG860" s="78" t="str">
        <f>VLOOKUP(Indicador!E800,[1]Diccionario!C$1:AC$150,27,0)</f>
        <v>https://growdatasas.sharepoint.com/:x:/r/sites/Gestiondocumental/Administrativa/GD/Financiera/_layouts/15/Doc.aspx?sourcedoc=%7BD8C5B8CC-D9E3-4D31-8BCE-513A1CE313F5%7D&amp;file=20251301%20MODELO%20FINANCIERO%20FUNCION%20PUBLICA%20V4.xlsm&amp;action=default&amp;mobileredirect=true</v>
      </c>
      <c r="AH860" s="78">
        <v>1</v>
      </c>
      <c r="AI860" s="78">
        <v>1</v>
      </c>
      <c r="AJ860" s="78"/>
      <c r="AK860" s="78" t="s">
        <v>319</v>
      </c>
    </row>
    <row r="861" spans="1:37" ht="18.75" customHeight="1" x14ac:dyDescent="0.25">
      <c r="A861" s="64">
        <v>2026</v>
      </c>
      <c r="B861" s="65" t="s">
        <v>37</v>
      </c>
      <c r="C861" s="66" t="s">
        <v>466</v>
      </c>
      <c r="D861" s="67">
        <v>46048.831253240744</v>
      </c>
      <c r="E861" s="66" t="s">
        <v>467</v>
      </c>
      <c r="F861" s="66" t="s">
        <v>40</v>
      </c>
      <c r="G861" s="66" t="s">
        <v>468</v>
      </c>
      <c r="H861" s="66" t="s">
        <v>469</v>
      </c>
      <c r="I861" s="66" t="s">
        <v>63</v>
      </c>
      <c r="J861" s="66" t="s">
        <v>470</v>
      </c>
      <c r="K861" s="66" t="s">
        <v>45</v>
      </c>
      <c r="L861" s="68">
        <f>VLOOKUP(E861,[1]Diccionario!C$2:AC$150,22,0)</f>
        <v>164669199</v>
      </c>
      <c r="M861" s="69">
        <f>VLOOKUP(E861,[1]Diccionario!C$2:AC$150,24,0)</f>
        <v>45992</v>
      </c>
      <c r="N861" s="70">
        <f>VLOOKUP(E861,[1]Diccionario!C$2:AC$150,25,0)</f>
        <v>46233</v>
      </c>
      <c r="O861" s="71">
        <f>VLOOKUP(E861,[1]Diccionario!C$2:AC$150,26,0)</f>
        <v>7.97</v>
      </c>
      <c r="P861" s="71">
        <f t="shared" si="156"/>
        <v>-5.97</v>
      </c>
      <c r="Q861" s="71">
        <v>2</v>
      </c>
      <c r="R861" s="66">
        <v>8</v>
      </c>
      <c r="S861" s="72">
        <v>0.2</v>
      </c>
      <c r="T861" s="72">
        <v>0.2</v>
      </c>
      <c r="U861" s="73">
        <f>U860+TablaIndicador[[#This Row],[Costo Mensual]]</f>
        <v>4385646</v>
      </c>
      <c r="V861" s="74">
        <v>4385646</v>
      </c>
      <c r="W861" s="73">
        <f t="shared" si="157"/>
        <v>32933839.800000001</v>
      </c>
      <c r="X861" s="73">
        <f t="shared" si="158"/>
        <v>32933839.800000001</v>
      </c>
      <c r="Y861" s="73">
        <f t="shared" si="159"/>
        <v>28548193.800000001</v>
      </c>
      <c r="Z861" s="73">
        <f t="shared" si="160"/>
        <v>0</v>
      </c>
      <c r="AA861" s="75">
        <f t="shared" si="161"/>
        <v>7.5094615023647604</v>
      </c>
      <c r="AB861" s="76" t="str">
        <f t="shared" si="162"/>
        <v>Costo eficiente: se está gastando menos de lo presupuestado</v>
      </c>
      <c r="AC861" s="76">
        <f t="shared" si="163"/>
        <v>1</v>
      </c>
      <c r="AD861" s="76" t="str">
        <f t="shared" si="164"/>
        <v>Proyecto a tiempo según lo planificado</v>
      </c>
      <c r="AE861" s="77">
        <f t="shared" si="165"/>
        <v>21928230</v>
      </c>
      <c r="AF861" s="77">
        <f t="shared" si="166"/>
        <v>-142740969</v>
      </c>
      <c r="AG861" s="78" t="str">
        <f>VLOOKUP(Indicador!E801,[1]Diccionario!C$1:AC$150,27,0)</f>
        <v>https://growdatasas.sharepoint.com/:x:/r/sites/Gestiondocumental/Administrativa/GD/Financiera/_layouts/15/Doc.aspx?sourcedoc=%7BD8C5B8CC-D9E3-4D31-8BCE-513A1CE313F5%7D&amp;file=20251301%20MODELO%20FINANCIERO%20FUNCION%20PUBLICA%20V4.xlsm&amp;action=default&amp;mobileredirect=true</v>
      </c>
      <c r="AH861" s="78">
        <v>1</v>
      </c>
      <c r="AI861" s="78">
        <v>1</v>
      </c>
      <c r="AJ861" s="78"/>
      <c r="AK861" s="78" t="s">
        <v>319</v>
      </c>
    </row>
    <row r="862" spans="1:37" ht="18.75" customHeight="1" x14ac:dyDescent="0.25">
      <c r="A862" s="64">
        <v>2026</v>
      </c>
      <c r="B862" s="65" t="s">
        <v>47</v>
      </c>
      <c r="C862" s="66" t="s">
        <v>466</v>
      </c>
      <c r="D862" s="67">
        <v>46048.831253240744</v>
      </c>
      <c r="E862" s="66" t="s">
        <v>467</v>
      </c>
      <c r="F862" s="66" t="s">
        <v>40</v>
      </c>
      <c r="G862" s="66" t="s">
        <v>468</v>
      </c>
      <c r="H862" s="66" t="s">
        <v>469</v>
      </c>
      <c r="I862" s="66" t="s">
        <v>63</v>
      </c>
      <c r="J862" s="66" t="s">
        <v>470</v>
      </c>
      <c r="K862" s="66" t="s">
        <v>45</v>
      </c>
      <c r="L862" s="68">
        <f>VLOOKUP(E862,[1]Diccionario!C$2:AC$150,22,0)</f>
        <v>164669199</v>
      </c>
      <c r="M862" s="69">
        <f>VLOOKUP(E862,[1]Diccionario!C$2:AC$150,24,0)</f>
        <v>45992</v>
      </c>
      <c r="N862" s="70">
        <f>VLOOKUP(E862,[1]Diccionario!C$2:AC$150,25,0)</f>
        <v>46233</v>
      </c>
      <c r="O862" s="71">
        <f>VLOOKUP(E862,[1]Diccionario!C$2:AC$150,26,0)</f>
        <v>7.97</v>
      </c>
      <c r="P862" s="71">
        <f t="shared" si="156"/>
        <v>-4.97</v>
      </c>
      <c r="Q862" s="71">
        <v>3</v>
      </c>
      <c r="R862" s="66">
        <v>8</v>
      </c>
      <c r="S862" s="72">
        <v>0.3</v>
      </c>
      <c r="T862" s="72">
        <v>0.32</v>
      </c>
      <c r="U862" s="73">
        <f>U861+TablaIndicador[[#This Row],[Costo Mensual]]</f>
        <v>6691617</v>
      </c>
      <c r="V862" s="74">
        <v>2305971</v>
      </c>
      <c r="W862" s="73">
        <f t="shared" si="157"/>
        <v>52694143.68</v>
      </c>
      <c r="X862" s="73">
        <f t="shared" si="158"/>
        <v>49400759.699999996</v>
      </c>
      <c r="Y862" s="73">
        <f t="shared" si="159"/>
        <v>46002526.68</v>
      </c>
      <c r="Z862" s="73">
        <f t="shared" si="160"/>
        <v>3293383.9800000042</v>
      </c>
      <c r="AA862" s="75">
        <f t="shared" si="161"/>
        <v>7.8746502795960973</v>
      </c>
      <c r="AB862" s="76" t="str">
        <f t="shared" si="162"/>
        <v>Costo eficiente: se está gastando menos de lo presupuestado</v>
      </c>
      <c r="AC862" s="76">
        <f t="shared" si="163"/>
        <v>1.0666666666666667</v>
      </c>
      <c r="AD862" s="76" t="str">
        <f t="shared" si="164"/>
        <v>Proyecto adelantado respecto al cronograma</v>
      </c>
      <c r="AE862" s="77">
        <f t="shared" si="165"/>
        <v>20911303.125</v>
      </c>
      <c r="AF862" s="77">
        <f t="shared" si="166"/>
        <v>-143757895.875</v>
      </c>
      <c r="AG862" s="78" t="str">
        <f>VLOOKUP(Indicador!E802,[1]Diccionario!C$1:AC$150,27,0)</f>
        <v>https://growdatasas.sharepoint.com/:x:/r/sites/Gestiondocumental/Administrativa/GD/Financiera/_layouts/15/Doc.aspx?sourcedoc=%7BD8C5B8CC-D9E3-4D31-8BCE-513A1CE313F5%7D&amp;file=20251301%20MODELO%20FINANCIERO%20FUNCION%20PUBLICA%20V4.xlsm&amp;action=default&amp;mobileredirect=true</v>
      </c>
      <c r="AH862" s="78">
        <v>1</v>
      </c>
      <c r="AI862" s="78">
        <v>1</v>
      </c>
      <c r="AJ862" s="78"/>
      <c r="AK862" s="78" t="s">
        <v>319</v>
      </c>
    </row>
    <row r="863" spans="1:37" ht="18.75" customHeight="1" x14ac:dyDescent="0.25">
      <c r="A863" s="64">
        <v>2026</v>
      </c>
      <c r="B863" s="65" t="s">
        <v>48</v>
      </c>
      <c r="C863" s="66" t="s">
        <v>466</v>
      </c>
      <c r="D863" s="67">
        <v>46048.831253240744</v>
      </c>
      <c r="E863" s="66" t="s">
        <v>467</v>
      </c>
      <c r="F863" s="66" t="s">
        <v>40</v>
      </c>
      <c r="G863" s="66" t="s">
        <v>468</v>
      </c>
      <c r="H863" s="66" t="s">
        <v>469</v>
      </c>
      <c r="I863" s="66" t="s">
        <v>63</v>
      </c>
      <c r="J863" s="66" t="s">
        <v>470</v>
      </c>
      <c r="K863" s="66" t="s">
        <v>45</v>
      </c>
      <c r="L863" s="68">
        <f>VLOOKUP(E863,[1]Diccionario!C$2:AC$150,22,0)</f>
        <v>164669199</v>
      </c>
      <c r="M863" s="69">
        <f>VLOOKUP(E863,[1]Diccionario!C$2:AC$150,24,0)</f>
        <v>45992</v>
      </c>
      <c r="N863" s="70">
        <f>VLOOKUP(E863,[1]Diccionario!C$2:AC$150,25,0)</f>
        <v>46233</v>
      </c>
      <c r="O863" s="71">
        <f>VLOOKUP(E863,[1]Diccionario!C$2:AC$150,26,0)</f>
        <v>7.97</v>
      </c>
      <c r="P863" s="71">
        <f t="shared" si="156"/>
        <v>-3.9699999999999998</v>
      </c>
      <c r="Q863" s="71">
        <v>4</v>
      </c>
      <c r="R863" s="66">
        <v>8</v>
      </c>
      <c r="S863" s="72">
        <v>0.5</v>
      </c>
      <c r="T863" s="72"/>
      <c r="U863" s="73">
        <f>U862+TablaIndicador[[#This Row],[Costo Mensual]]</f>
        <v>6691617</v>
      </c>
      <c r="V863" s="73">
        <v>0</v>
      </c>
      <c r="W863" s="73">
        <f t="shared" si="157"/>
        <v>0</v>
      </c>
      <c r="X863" s="73">
        <f t="shared" si="158"/>
        <v>82334599.5</v>
      </c>
      <c r="Y863" s="73">
        <f t="shared" si="159"/>
        <v>-6691617</v>
      </c>
      <c r="Z863" s="73">
        <f t="shared" si="160"/>
        <v>-82334599.5</v>
      </c>
      <c r="AA863" s="75">
        <f t="shared" si="161"/>
        <v>0</v>
      </c>
      <c r="AB863" s="76" t="str">
        <f t="shared" si="162"/>
        <v>No calculado</v>
      </c>
      <c r="AC863" s="76">
        <f t="shared" si="163"/>
        <v>0</v>
      </c>
      <c r="AD863" s="76" t="str">
        <f t="shared" si="164"/>
        <v>Sin Línea Base</v>
      </c>
      <c r="AE863" s="77">
        <f t="shared" si="165"/>
        <v>0</v>
      </c>
      <c r="AF863" s="77">
        <f t="shared" si="166"/>
        <v>-164669199</v>
      </c>
      <c r="AG863" s="78" t="str">
        <f>VLOOKUP(Indicador!E803,[1]Diccionario!C$1:AC$150,27,0)</f>
        <v>https://growdatasas.sharepoint.com/:x:/r/sites/Gestiondocumental/Administrativa/GD/Financiera/_layouts/15/Doc.aspx?sourcedoc=%7BD8C5B8CC-D9E3-4D31-8BCE-513A1CE313F5%7D&amp;file=20251301%20MODELO%20FINANCIERO%20FUNCION%20PUBLICA%20V4.xlsm&amp;action=default&amp;mobileredirect=true</v>
      </c>
      <c r="AH863" s="78">
        <v>1</v>
      </c>
      <c r="AI863" s="78">
        <v>1</v>
      </c>
      <c r="AJ863" s="78"/>
      <c r="AK863" s="78" t="s">
        <v>319</v>
      </c>
    </row>
    <row r="864" spans="1:37" ht="18.75" customHeight="1" x14ac:dyDescent="0.25">
      <c r="A864" s="64">
        <v>2026</v>
      </c>
      <c r="B864" s="65" t="s">
        <v>49</v>
      </c>
      <c r="C864" s="66" t="s">
        <v>466</v>
      </c>
      <c r="D864" s="67">
        <v>46048.831253240744</v>
      </c>
      <c r="E864" s="66" t="s">
        <v>467</v>
      </c>
      <c r="F864" s="66" t="s">
        <v>40</v>
      </c>
      <c r="G864" s="66" t="s">
        <v>468</v>
      </c>
      <c r="H864" s="66" t="s">
        <v>469</v>
      </c>
      <c r="I864" s="66" t="s">
        <v>63</v>
      </c>
      <c r="J864" s="66" t="s">
        <v>470</v>
      </c>
      <c r="K864" s="66" t="s">
        <v>45</v>
      </c>
      <c r="L864" s="68">
        <f>VLOOKUP(E864,[1]Diccionario!C$2:AC$150,22,0)</f>
        <v>164669199</v>
      </c>
      <c r="M864" s="69">
        <f>VLOOKUP(E864,[1]Diccionario!C$2:AC$150,24,0)</f>
        <v>45992</v>
      </c>
      <c r="N864" s="70">
        <f>VLOOKUP(E864,[1]Diccionario!C$2:AC$150,25,0)</f>
        <v>46233</v>
      </c>
      <c r="O864" s="71">
        <f>VLOOKUP(E864,[1]Diccionario!C$2:AC$150,26,0)</f>
        <v>7.97</v>
      </c>
      <c r="P864" s="71">
        <f t="shared" si="156"/>
        <v>-2.9699999999999998</v>
      </c>
      <c r="Q864" s="71">
        <v>5</v>
      </c>
      <c r="R864" s="66">
        <v>8</v>
      </c>
      <c r="S864" s="72">
        <v>0.7</v>
      </c>
      <c r="T864" s="72"/>
      <c r="U864" s="73">
        <f>U863+TablaIndicador[[#This Row],[Costo Mensual]]</f>
        <v>6691617</v>
      </c>
      <c r="V864" s="73">
        <v>0</v>
      </c>
      <c r="W864" s="73">
        <f t="shared" si="157"/>
        <v>0</v>
      </c>
      <c r="X864" s="73">
        <f t="shared" si="158"/>
        <v>115268439.3</v>
      </c>
      <c r="Y864" s="73">
        <f t="shared" si="159"/>
        <v>-6691617</v>
      </c>
      <c r="Z864" s="73">
        <f t="shared" si="160"/>
        <v>-115268439.3</v>
      </c>
      <c r="AA864" s="75">
        <f t="shared" si="161"/>
        <v>0</v>
      </c>
      <c r="AB864" s="76" t="str">
        <f t="shared" si="162"/>
        <v>No calculado</v>
      </c>
      <c r="AC864" s="76">
        <f t="shared" si="163"/>
        <v>0</v>
      </c>
      <c r="AD864" s="76" t="str">
        <f t="shared" si="164"/>
        <v>Sin Línea Base</v>
      </c>
      <c r="AE864" s="77">
        <f t="shared" si="165"/>
        <v>0</v>
      </c>
      <c r="AF864" s="77">
        <f t="shared" si="166"/>
        <v>-164669199</v>
      </c>
      <c r="AG864" s="78" t="str">
        <f>VLOOKUP(Indicador!E804,[1]Diccionario!C$1:AC$150,27,0)</f>
        <v>https://growdatasas.sharepoint.com/:x:/r/sites/Gestiondocumental/Administrativa/GD/Financiera/_layouts/15/Doc.aspx?sourcedoc=%7BD8C5B8CC-D9E3-4D31-8BCE-513A1CE313F5%7D&amp;file=20251301%20MODELO%20FINANCIERO%20FUNCION%20PUBLICA%20V4.xlsm&amp;action=default&amp;mobileredirect=true</v>
      </c>
      <c r="AH864" s="78">
        <v>1</v>
      </c>
      <c r="AI864" s="78">
        <v>1</v>
      </c>
      <c r="AJ864" s="78"/>
      <c r="AK864" s="78" t="s">
        <v>319</v>
      </c>
    </row>
    <row r="865" spans="1:37" ht="18.75" customHeight="1" x14ac:dyDescent="0.25">
      <c r="A865" s="64">
        <v>2026</v>
      </c>
      <c r="B865" s="65" t="s">
        <v>50</v>
      </c>
      <c r="C865" s="66" t="s">
        <v>466</v>
      </c>
      <c r="D865" s="67">
        <v>46048.831253240744</v>
      </c>
      <c r="E865" s="66" t="s">
        <v>467</v>
      </c>
      <c r="F865" s="66" t="s">
        <v>40</v>
      </c>
      <c r="G865" s="66" t="s">
        <v>468</v>
      </c>
      <c r="H865" s="66" t="s">
        <v>469</v>
      </c>
      <c r="I865" s="66" t="s">
        <v>63</v>
      </c>
      <c r="J865" s="66" t="s">
        <v>470</v>
      </c>
      <c r="K865" s="66" t="s">
        <v>45</v>
      </c>
      <c r="L865" s="68">
        <f>VLOOKUP(E865,[1]Diccionario!C$2:AC$150,22,0)</f>
        <v>164669199</v>
      </c>
      <c r="M865" s="69">
        <f>VLOOKUP(E865,[1]Diccionario!C$2:AC$150,24,0)</f>
        <v>45992</v>
      </c>
      <c r="N865" s="70">
        <f>VLOOKUP(E865,[1]Diccionario!C$2:AC$150,25,0)</f>
        <v>46233</v>
      </c>
      <c r="O865" s="71">
        <f>VLOOKUP(E865,[1]Diccionario!C$2:AC$150,26,0)</f>
        <v>7.97</v>
      </c>
      <c r="P865" s="71">
        <f t="shared" si="156"/>
        <v>-1.9699999999999998</v>
      </c>
      <c r="Q865" s="71">
        <v>6</v>
      </c>
      <c r="R865" s="66">
        <v>8</v>
      </c>
      <c r="S865" s="72">
        <v>0.8</v>
      </c>
      <c r="T865" s="72"/>
      <c r="U865" s="73">
        <f>U864+TablaIndicador[[#This Row],[Costo Mensual]]</f>
        <v>6691617</v>
      </c>
      <c r="V865" s="73">
        <v>0</v>
      </c>
      <c r="W865" s="73">
        <f t="shared" si="157"/>
        <v>0</v>
      </c>
      <c r="X865" s="73">
        <f t="shared" si="158"/>
        <v>131735359.2</v>
      </c>
      <c r="Y865" s="73">
        <f t="shared" si="159"/>
        <v>-6691617</v>
      </c>
      <c r="Z865" s="73">
        <f t="shared" si="160"/>
        <v>-131735359.2</v>
      </c>
      <c r="AA865" s="75">
        <f t="shared" si="161"/>
        <v>0</v>
      </c>
      <c r="AB865" s="76" t="str">
        <f t="shared" si="162"/>
        <v>No calculado</v>
      </c>
      <c r="AC865" s="76">
        <f t="shared" si="163"/>
        <v>0</v>
      </c>
      <c r="AD865" s="76" t="str">
        <f t="shared" si="164"/>
        <v>Sin Línea Base</v>
      </c>
      <c r="AE865" s="77">
        <f t="shared" si="165"/>
        <v>0</v>
      </c>
      <c r="AF865" s="77">
        <f t="shared" si="166"/>
        <v>-164669199</v>
      </c>
      <c r="AG865" s="78" t="str">
        <f>VLOOKUP(Indicador!E805,[1]Diccionario!C$1:AC$150,27,0)</f>
        <v>https://growdatasas.sharepoint.com/:x:/r/sites/Gestiondocumental/Administrativa/GD/Financiera/_layouts/15/Doc.aspx?sourcedoc=%7BD8C5B8CC-D9E3-4D31-8BCE-513A1CE313F5%7D&amp;file=20251301%20MODELO%20FINANCIERO%20FUNCION%20PUBLICA%20V4.xlsm&amp;action=default&amp;mobileredirect=true</v>
      </c>
      <c r="AH865" s="78">
        <v>1</v>
      </c>
      <c r="AI865" s="78">
        <v>1</v>
      </c>
      <c r="AJ865" s="78"/>
      <c r="AK865" s="78" t="s">
        <v>319</v>
      </c>
    </row>
    <row r="866" spans="1:37" ht="18.75" customHeight="1" x14ac:dyDescent="0.25">
      <c r="A866" s="64">
        <v>2026</v>
      </c>
      <c r="B866" s="65" t="s">
        <v>51</v>
      </c>
      <c r="C866" s="66" t="s">
        <v>466</v>
      </c>
      <c r="D866" s="67">
        <v>46048.831253240744</v>
      </c>
      <c r="E866" s="66" t="s">
        <v>467</v>
      </c>
      <c r="F866" s="66" t="s">
        <v>40</v>
      </c>
      <c r="G866" s="66" t="s">
        <v>468</v>
      </c>
      <c r="H866" s="66" t="s">
        <v>469</v>
      </c>
      <c r="I866" s="66" t="s">
        <v>63</v>
      </c>
      <c r="J866" s="66" t="s">
        <v>470</v>
      </c>
      <c r="K866" s="66" t="s">
        <v>45</v>
      </c>
      <c r="L866" s="68">
        <f>VLOOKUP(E866,[1]Diccionario!C$2:AC$150,22,0)</f>
        <v>164669199</v>
      </c>
      <c r="M866" s="69">
        <f>VLOOKUP(E866,[1]Diccionario!C$2:AC$150,24,0)</f>
        <v>45992</v>
      </c>
      <c r="N866" s="70">
        <f>VLOOKUP(E866,[1]Diccionario!C$2:AC$150,25,0)</f>
        <v>46233</v>
      </c>
      <c r="O866" s="71">
        <f>VLOOKUP(E866,[1]Diccionario!C$2:AC$150,26,0)</f>
        <v>7.97</v>
      </c>
      <c r="P866" s="71">
        <f t="shared" si="156"/>
        <v>-0.96999999999999975</v>
      </c>
      <c r="Q866" s="71">
        <v>7</v>
      </c>
      <c r="R866" s="66">
        <v>8</v>
      </c>
      <c r="S866" s="72">
        <v>0.9</v>
      </c>
      <c r="T866" s="72"/>
      <c r="U866" s="73">
        <f>U865+TablaIndicador[[#This Row],[Costo Mensual]]</f>
        <v>6691617</v>
      </c>
      <c r="V866" s="73">
        <v>0</v>
      </c>
      <c r="W866" s="73">
        <f t="shared" si="157"/>
        <v>0</v>
      </c>
      <c r="X866" s="73">
        <f t="shared" si="158"/>
        <v>148202279.09999999</v>
      </c>
      <c r="Y866" s="73">
        <f t="shared" si="159"/>
        <v>-6691617</v>
      </c>
      <c r="Z866" s="73">
        <f t="shared" si="160"/>
        <v>-148202279.09999999</v>
      </c>
      <c r="AA866" s="75">
        <f t="shared" si="161"/>
        <v>0</v>
      </c>
      <c r="AB866" s="76" t="str">
        <f t="shared" si="162"/>
        <v>No calculado</v>
      </c>
      <c r="AC866" s="76">
        <f t="shared" si="163"/>
        <v>0</v>
      </c>
      <c r="AD866" s="76" t="str">
        <f t="shared" si="164"/>
        <v>Sin Línea Base</v>
      </c>
      <c r="AE866" s="77">
        <f t="shared" si="165"/>
        <v>0</v>
      </c>
      <c r="AF866" s="77">
        <f t="shared" si="166"/>
        <v>-164669199</v>
      </c>
      <c r="AG866" s="78" t="str">
        <f>VLOOKUP(Indicador!E806,[1]Diccionario!C$1:AC$150,27,0)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66" s="78">
        <v>1</v>
      </c>
      <c r="AI866" s="78">
        <v>1</v>
      </c>
      <c r="AJ866" s="78"/>
      <c r="AK866" s="78" t="s">
        <v>319</v>
      </c>
    </row>
    <row r="867" spans="1:37" ht="18.75" customHeight="1" x14ac:dyDescent="0.25">
      <c r="A867" s="64">
        <v>2026</v>
      </c>
      <c r="B867" s="65" t="s">
        <v>52</v>
      </c>
      <c r="C867" s="66" t="s">
        <v>466</v>
      </c>
      <c r="D867" s="67">
        <v>46048.831253240744</v>
      </c>
      <c r="E867" s="66" t="s">
        <v>467</v>
      </c>
      <c r="F867" s="66" t="s">
        <v>40</v>
      </c>
      <c r="G867" s="66" t="s">
        <v>468</v>
      </c>
      <c r="H867" s="66" t="s">
        <v>469</v>
      </c>
      <c r="I867" s="66" t="s">
        <v>63</v>
      </c>
      <c r="J867" s="66" t="s">
        <v>470</v>
      </c>
      <c r="K867" s="66" t="s">
        <v>45</v>
      </c>
      <c r="L867" s="68">
        <f>VLOOKUP(E867,[1]Diccionario!C$2:AC$150,22,0)</f>
        <v>164669199</v>
      </c>
      <c r="M867" s="69">
        <f>VLOOKUP(E867,[1]Diccionario!C$2:AC$150,24,0)</f>
        <v>45992</v>
      </c>
      <c r="N867" s="70">
        <f>VLOOKUP(E867,[1]Diccionario!C$2:AC$150,25,0)</f>
        <v>46233</v>
      </c>
      <c r="O867" s="71">
        <f>VLOOKUP(E867,[1]Diccionario!C$2:AC$150,26,0)</f>
        <v>7.97</v>
      </c>
      <c r="P867" s="71">
        <f t="shared" si="156"/>
        <v>3.0000000000000249E-2</v>
      </c>
      <c r="Q867" s="71">
        <v>8</v>
      </c>
      <c r="R867" s="66">
        <v>8</v>
      </c>
      <c r="S867" s="72">
        <v>1</v>
      </c>
      <c r="T867" s="72"/>
      <c r="U867" s="73">
        <f>U866+TablaIndicador[[#This Row],[Costo Mensual]]</f>
        <v>6691617</v>
      </c>
      <c r="V867" s="73">
        <v>0</v>
      </c>
      <c r="W867" s="73">
        <f t="shared" si="157"/>
        <v>0</v>
      </c>
      <c r="X867" s="73">
        <f t="shared" si="158"/>
        <v>164669199</v>
      </c>
      <c r="Y867" s="73">
        <f t="shared" si="159"/>
        <v>-6691617</v>
      </c>
      <c r="Z867" s="73">
        <f t="shared" si="160"/>
        <v>-164669199</v>
      </c>
      <c r="AA867" s="75">
        <f t="shared" si="161"/>
        <v>0</v>
      </c>
      <c r="AB867" s="76" t="str">
        <f t="shared" si="162"/>
        <v>No calculado</v>
      </c>
      <c r="AC867" s="76">
        <f t="shared" si="163"/>
        <v>0</v>
      </c>
      <c r="AD867" s="76" t="str">
        <f t="shared" si="164"/>
        <v>Sin Línea Base</v>
      </c>
      <c r="AE867" s="77">
        <f t="shared" si="165"/>
        <v>0</v>
      </c>
      <c r="AF867" s="77">
        <f t="shared" si="166"/>
        <v>-164669199</v>
      </c>
      <c r="AG867" s="78" t="str">
        <f>VLOOKUP(Indicador!E807,[1]Diccionario!C$1:AC$150,27,0)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867" s="78">
        <v>1</v>
      </c>
      <c r="AI867" s="78">
        <v>1</v>
      </c>
      <c r="AJ867" s="78"/>
      <c r="AK867" s="78" t="s">
        <v>319</v>
      </c>
    </row>
    <row r="868" spans="1:37" ht="18.75" customHeight="1" x14ac:dyDescent="0.25">
      <c r="A868" s="64">
        <v>2026</v>
      </c>
      <c r="B868" s="65" t="s">
        <v>47</v>
      </c>
      <c r="C868" s="66" t="s">
        <v>471</v>
      </c>
      <c r="D868" s="67">
        <v>46048.901636655093</v>
      </c>
      <c r="E868" s="66" t="s">
        <v>472</v>
      </c>
      <c r="F868" s="66" t="s">
        <v>95</v>
      </c>
      <c r="G868" s="66" t="s">
        <v>473</v>
      </c>
      <c r="H868" s="66" t="s">
        <v>474</v>
      </c>
      <c r="I868" s="66" t="s">
        <v>63</v>
      </c>
      <c r="J868" s="66" t="s">
        <v>475</v>
      </c>
      <c r="K868" s="66" t="s">
        <v>45</v>
      </c>
      <c r="L868" s="68">
        <f>VLOOKUP(E868,[1]Diccionario!C$2:AC$150,22,0)</f>
        <v>1203158624</v>
      </c>
      <c r="M868" s="69">
        <f>VLOOKUP(E868,[1]Diccionario!C$2:AC$150,24,0)</f>
        <v>46054</v>
      </c>
      <c r="N868" s="70">
        <f>VLOOKUP(E868,[1]Diccionario!C$2:AC$150,25,0)</f>
        <v>46112</v>
      </c>
      <c r="O868" s="71">
        <f>VLOOKUP(E868,[1]Diccionario!C$2:AC$150,26,0)</f>
        <v>2</v>
      </c>
      <c r="P868" s="71">
        <f t="shared" ca="1" si="156"/>
        <v>0</v>
      </c>
      <c r="Q868" s="71">
        <f t="shared" ref="Q868:Q887" ca="1" si="167">DATEDIF(M868,TODAY(),"m")</f>
        <v>2</v>
      </c>
      <c r="R868" s="66">
        <v>2</v>
      </c>
      <c r="S868" s="72">
        <v>0.5</v>
      </c>
      <c r="T868" s="72">
        <v>0.5</v>
      </c>
      <c r="U868" s="81">
        <f>TablaIndicador[[#This Row],[Costo Mensual]]</f>
        <v>778636786.94999993</v>
      </c>
      <c r="V868" s="81">
        <v>778636786.94999993</v>
      </c>
      <c r="W868" s="73">
        <f t="shared" si="157"/>
        <v>601579312</v>
      </c>
      <c r="X868" s="73">
        <f t="shared" si="158"/>
        <v>601579312</v>
      </c>
      <c r="Y868" s="73">
        <f t="shared" si="159"/>
        <v>-177057474.94999993</v>
      </c>
      <c r="Z868" s="73">
        <f t="shared" si="160"/>
        <v>0</v>
      </c>
      <c r="AA868" s="75">
        <f t="shared" si="161"/>
        <v>0.77260581837707387</v>
      </c>
      <c r="AB868" s="76" t="str">
        <f t="shared" si="162"/>
        <v>Costo ineficiente: se está gastando más de lo presupuestado</v>
      </c>
      <c r="AC868" s="76">
        <f t="shared" si="163"/>
        <v>1</v>
      </c>
      <c r="AD868" s="76" t="str">
        <f t="shared" si="164"/>
        <v>Proyecto a tiempo según lo planificado</v>
      </c>
      <c r="AE868" s="77">
        <f t="shared" si="165"/>
        <v>1557273573.8999999</v>
      </c>
      <c r="AF868" s="77">
        <f t="shared" si="166"/>
        <v>354114949.89999986</v>
      </c>
      <c r="AG868" s="78" t="str">
        <f>VLOOKUP(Indicador!E920,[1]Diccionario!C$1:AC$150,27,0)</f>
        <v>https://growdatasas.sharepoint.com/:x:/r/sites/Gestiondocumental/Administrativa/GD/Financiera/_layouts/15/Doc.aspx?sourcedoc=%7B69FFBD03-5B13-48F9-8F84-54729A673BE7%7D&amp;file=MODELO%20FINANCIERO%20PREVISORA.xlsm&amp;action=default&amp;mobileredirect=true</v>
      </c>
      <c r="AH868" s="78">
        <v>1</v>
      </c>
      <c r="AI868" s="78">
        <v>1</v>
      </c>
      <c r="AJ868" s="78"/>
      <c r="AK868" s="78" t="s">
        <v>319</v>
      </c>
    </row>
    <row r="869" spans="1:37" ht="18.75" customHeight="1" x14ac:dyDescent="0.25">
      <c r="A869" s="64">
        <v>2026</v>
      </c>
      <c r="B869" s="65" t="s">
        <v>48</v>
      </c>
      <c r="C869" s="66" t="s">
        <v>471</v>
      </c>
      <c r="D869" s="67">
        <v>46048.901636655093</v>
      </c>
      <c r="E869" s="66" t="s">
        <v>472</v>
      </c>
      <c r="F869" s="66" t="s">
        <v>95</v>
      </c>
      <c r="G869" s="66" t="s">
        <v>473</v>
      </c>
      <c r="H869" s="66" t="s">
        <v>474</v>
      </c>
      <c r="I869" s="66" t="s">
        <v>63</v>
      </c>
      <c r="J869" s="66" t="s">
        <v>475</v>
      </c>
      <c r="K869" s="66" t="s">
        <v>45</v>
      </c>
      <c r="L869" s="68">
        <f>VLOOKUP(E869,[1]Diccionario!C$2:AC$150,22,0)</f>
        <v>1203158624</v>
      </c>
      <c r="M869" s="69">
        <f>VLOOKUP(E869,[1]Diccionario!C$2:AC$150,24,0)</f>
        <v>46054</v>
      </c>
      <c r="N869" s="70">
        <f>VLOOKUP(E869,[1]Diccionario!C$2:AC$150,25,0)</f>
        <v>46112</v>
      </c>
      <c r="O869" s="71">
        <f>VLOOKUP(E869,[1]Diccionario!C$2:AC$150,26,0)</f>
        <v>2</v>
      </c>
      <c r="P869" s="71">
        <f t="shared" ca="1" si="156"/>
        <v>0</v>
      </c>
      <c r="Q869" s="71">
        <f t="shared" ca="1" si="167"/>
        <v>2</v>
      </c>
      <c r="R869" s="66">
        <v>2</v>
      </c>
      <c r="S869" s="72">
        <v>0.5</v>
      </c>
      <c r="T869" s="72">
        <v>1</v>
      </c>
      <c r="U869" s="81">
        <f>U868+TablaIndicador[[#This Row],[Costo Mensual]]</f>
        <v>801484786.94999993</v>
      </c>
      <c r="V869" s="81">
        <v>22848000</v>
      </c>
      <c r="W869" s="73">
        <f t="shared" si="157"/>
        <v>1203158624</v>
      </c>
      <c r="X869" s="73">
        <f t="shared" si="158"/>
        <v>601579312</v>
      </c>
      <c r="Y869" s="73">
        <f t="shared" si="159"/>
        <v>401673837.05000007</v>
      </c>
      <c r="Z869" s="73">
        <f t="shared" si="160"/>
        <v>601579312</v>
      </c>
      <c r="AA869" s="75">
        <f t="shared" si="161"/>
        <v>1.5011621475418699</v>
      </c>
      <c r="AB869" s="76" t="str">
        <f t="shared" si="162"/>
        <v>Costo eficiente: se está gastando menos de lo presupuestado</v>
      </c>
      <c r="AC869" s="76">
        <f t="shared" si="163"/>
        <v>2</v>
      </c>
      <c r="AD869" s="76" t="str">
        <f t="shared" si="164"/>
        <v>Proyecto adelantado respecto al cronograma</v>
      </c>
      <c r="AE869" s="77">
        <f t="shared" si="165"/>
        <v>801484786.94999993</v>
      </c>
      <c r="AF869" s="77">
        <f t="shared" si="166"/>
        <v>-401673837.05000007</v>
      </c>
      <c r="AG869" s="78" t="str">
        <f>VLOOKUP(Indicador!E921,[1]Diccionario!C$1:AC$150,27,0)</f>
        <v>https://growdatasas.sharepoint.com/:x:/r/sites/Gestiondocumental/Administrativa/GD/Financiera/_layouts/15/Doc.aspx?sourcedoc=%7B69FFBD03-5B13-48F9-8F84-54729A673BE7%7D&amp;file=MODELO%20FINANCIERO%20PREVISORA.xlsm&amp;action=default&amp;mobileredirect=true</v>
      </c>
      <c r="AH869" s="78">
        <v>1</v>
      </c>
      <c r="AI869" s="78">
        <v>1</v>
      </c>
      <c r="AJ869" s="78"/>
      <c r="AK869" s="78" t="s">
        <v>319</v>
      </c>
    </row>
    <row r="870" spans="1:37" ht="18.75" customHeight="1" x14ac:dyDescent="0.25">
      <c r="A870" s="11">
        <v>2026</v>
      </c>
      <c r="B870" s="12" t="s">
        <v>476</v>
      </c>
      <c r="C870" s="15" t="s">
        <v>471</v>
      </c>
      <c r="D870" s="39">
        <v>46048.901636655093</v>
      </c>
      <c r="E870" s="15" t="s">
        <v>477</v>
      </c>
      <c r="F870" s="15" t="s">
        <v>40</v>
      </c>
      <c r="G870" s="15" t="s">
        <v>478</v>
      </c>
      <c r="H870" s="15" t="s">
        <v>479</v>
      </c>
      <c r="I870" s="15" t="s">
        <v>78</v>
      </c>
      <c r="J870" s="15">
        <v>403</v>
      </c>
      <c r="K870" s="15" t="s">
        <v>291</v>
      </c>
      <c r="L870" s="17">
        <f>VLOOKUP(E870,[1]Diccionario!C$2:AC$150,22,0)</f>
        <v>233040579</v>
      </c>
      <c r="M870" s="18">
        <f>VLOOKUP(E870,[1]Diccionario!C$2:AC$150,24,0)</f>
        <v>46054</v>
      </c>
      <c r="N870" s="19">
        <f>VLOOKUP(E870,[1]Diccionario!C$2:AC$150,25,0)</f>
        <v>46387</v>
      </c>
      <c r="O870" s="20">
        <f>VLOOKUP(E870,[1]Diccionario!C$2:AC$150,26,0)</f>
        <v>11</v>
      </c>
      <c r="P870" s="20">
        <f t="shared" ca="1" si="156"/>
        <v>-9</v>
      </c>
      <c r="Q870" s="20">
        <f t="shared" ca="1" si="167"/>
        <v>2</v>
      </c>
      <c r="R870" s="15">
        <v>2</v>
      </c>
      <c r="S870" s="21">
        <v>0.08</v>
      </c>
      <c r="T870" s="21">
        <v>5.0000000000000001E-3</v>
      </c>
      <c r="U870" s="22"/>
      <c r="V870" s="24"/>
      <c r="W870" s="24">
        <f t="shared" si="157"/>
        <v>1165202.895</v>
      </c>
      <c r="X870" s="24">
        <f t="shared" si="158"/>
        <v>18643246.32</v>
      </c>
      <c r="Y870" s="24">
        <f t="shared" si="159"/>
        <v>1165202.895</v>
      </c>
      <c r="Z870" s="24">
        <f t="shared" si="160"/>
        <v>-17478043.425000001</v>
      </c>
      <c r="AA870" s="25" t="str">
        <f t="shared" si="161"/>
        <v>No se realizó gasto en este corte</v>
      </c>
      <c r="AB870" s="26" t="str">
        <f t="shared" si="162"/>
        <v>Costo eficiente: se está gastando menos de lo presupuestado</v>
      </c>
      <c r="AC870" s="26">
        <f t="shared" si="163"/>
        <v>6.25E-2</v>
      </c>
      <c r="AD870" s="26" t="str">
        <f t="shared" si="164"/>
        <v>Proyecto atrasado con respecto al cronograma</v>
      </c>
      <c r="AE870" s="27">
        <f t="shared" si="165"/>
        <v>0</v>
      </c>
      <c r="AF870" s="27">
        <f t="shared" si="166"/>
        <v>-233040579</v>
      </c>
      <c r="AG870" s="28" t="str">
        <f>VLOOKUP(Indicador!E921,[1]Diccionario!C$1:AC$150,27,0)</f>
        <v>https://growdatasas.sharepoint.com/:x:/r/sites/Gestiondocumental/Administrativa/GD/Financiera/_layouts/15/Doc.aspx?sourcedoc=%7B69FFBD03-5B13-48F9-8F84-54729A673BE7%7D&amp;file=MODELO%20FINANCIERO%20PREVISORA.xlsm&amp;action=default&amp;mobileredirect=true</v>
      </c>
      <c r="AH870" s="28">
        <v>1</v>
      </c>
      <c r="AI870" s="28">
        <v>1</v>
      </c>
      <c r="AJ870" s="28"/>
      <c r="AK870" s="28"/>
    </row>
    <row r="871" spans="1:37" ht="18.75" customHeight="1" x14ac:dyDescent="0.25">
      <c r="A871" s="11">
        <v>2026</v>
      </c>
      <c r="B871" s="12" t="s">
        <v>47</v>
      </c>
      <c r="C871" s="15" t="s">
        <v>471</v>
      </c>
      <c r="D871" s="39">
        <v>46048.901636655093</v>
      </c>
      <c r="E871" s="15" t="s">
        <v>477</v>
      </c>
      <c r="F871" s="15" t="s">
        <v>40</v>
      </c>
      <c r="G871" s="15" t="s">
        <v>478</v>
      </c>
      <c r="H871" s="15" t="s">
        <v>479</v>
      </c>
      <c r="I871" s="15" t="s">
        <v>78</v>
      </c>
      <c r="J871" s="15">
        <v>403</v>
      </c>
      <c r="K871" s="15" t="s">
        <v>291</v>
      </c>
      <c r="L871" s="17">
        <f>VLOOKUP(E871,[1]Diccionario!C$2:AC$150,22,0)</f>
        <v>233040579</v>
      </c>
      <c r="M871" s="18">
        <f>VLOOKUP(E871,[1]Diccionario!C$2:AC$150,24,0)</f>
        <v>46054</v>
      </c>
      <c r="N871" s="19">
        <f>VLOOKUP(E871,[1]Diccionario!C$2:AC$150,25,0)</f>
        <v>46387</v>
      </c>
      <c r="O871" s="20">
        <f>VLOOKUP(E871,[1]Diccionario!C$2:AC$150,26,0)</f>
        <v>11</v>
      </c>
      <c r="P871" s="20">
        <f t="shared" ca="1" si="156"/>
        <v>-9</v>
      </c>
      <c r="Q871" s="20">
        <f t="shared" ca="1" si="167"/>
        <v>2</v>
      </c>
      <c r="R871" s="15">
        <v>2</v>
      </c>
      <c r="S871" s="21">
        <v>0.16</v>
      </c>
      <c r="T871" s="21"/>
      <c r="U871" s="22"/>
      <c r="V871" s="24"/>
      <c r="W871" s="24">
        <f t="shared" si="157"/>
        <v>0</v>
      </c>
      <c r="X871" s="24">
        <f t="shared" si="158"/>
        <v>37286492.640000001</v>
      </c>
      <c r="Y871" s="24">
        <f t="shared" si="159"/>
        <v>0</v>
      </c>
      <c r="Z871" s="24">
        <f t="shared" si="160"/>
        <v>-37286492.640000001</v>
      </c>
      <c r="AA871" s="25" t="str">
        <f t="shared" si="161"/>
        <v>No se realizó gasto en este corte</v>
      </c>
      <c r="AB871" s="26" t="str">
        <f t="shared" si="162"/>
        <v>Costo eficiente: se está gastando menos de lo presupuestado</v>
      </c>
      <c r="AC871" s="26">
        <f t="shared" si="163"/>
        <v>0</v>
      </c>
      <c r="AD871" s="26" t="str">
        <f t="shared" si="164"/>
        <v>Sin Línea Base</v>
      </c>
      <c r="AE871" s="27">
        <f t="shared" si="165"/>
        <v>0</v>
      </c>
      <c r="AF871" s="27">
        <f t="shared" si="166"/>
        <v>-233040579</v>
      </c>
      <c r="AG871" s="28" t="str">
        <f>VLOOKUP(Indicador!E922,[1]Diccionario!C$1:AC$150,27,0)</f>
        <v>https://growdatasas.sharepoint.com/:x:/r/sites/Gestiondocumental/Administrativa/GD/Financiera/_layouts/15/Doc.aspx?sourcedoc=%7B69FFBD03-5B13-48F9-8F84-54729A673BE7%7D&amp;file=MODELO%20FINANCIERO%20PREVISORA.xlsm&amp;action=default&amp;mobileredirect=true</v>
      </c>
      <c r="AH871" s="28">
        <v>1</v>
      </c>
      <c r="AI871" s="28">
        <v>1</v>
      </c>
      <c r="AJ871" s="28"/>
      <c r="AK871" s="28"/>
    </row>
    <row r="872" spans="1:37" ht="18.75" customHeight="1" x14ac:dyDescent="0.25">
      <c r="A872" s="11">
        <v>2026</v>
      </c>
      <c r="B872" s="12" t="s">
        <v>480</v>
      </c>
      <c r="C872" s="15" t="s">
        <v>471</v>
      </c>
      <c r="D872" s="39">
        <v>46048.901636655093</v>
      </c>
      <c r="E872" s="15" t="s">
        <v>477</v>
      </c>
      <c r="F872" s="15" t="s">
        <v>40</v>
      </c>
      <c r="G872" s="15" t="s">
        <v>478</v>
      </c>
      <c r="H872" s="15" t="s">
        <v>479</v>
      </c>
      <c r="I872" s="15" t="s">
        <v>78</v>
      </c>
      <c r="J872" s="15">
        <v>403</v>
      </c>
      <c r="K872" s="15" t="s">
        <v>291</v>
      </c>
      <c r="L872" s="17">
        <f>VLOOKUP(E872,[1]Diccionario!C$2:AC$150,22,0)</f>
        <v>233040579</v>
      </c>
      <c r="M872" s="18">
        <f>VLOOKUP(E872,[1]Diccionario!C$2:AC$150,24,0)</f>
        <v>46054</v>
      </c>
      <c r="N872" s="19">
        <f>VLOOKUP(E872,[1]Diccionario!C$2:AC$150,25,0)</f>
        <v>46387</v>
      </c>
      <c r="O872" s="20">
        <f>VLOOKUP(E872,[1]Diccionario!C$2:AC$150,26,0)</f>
        <v>11</v>
      </c>
      <c r="P872" s="20">
        <f t="shared" ca="1" si="156"/>
        <v>-9</v>
      </c>
      <c r="Q872" s="20">
        <f t="shared" ca="1" si="167"/>
        <v>2</v>
      </c>
      <c r="R872" s="15">
        <v>2</v>
      </c>
      <c r="S872" s="21">
        <v>0.22</v>
      </c>
      <c r="T872" s="21"/>
      <c r="U872" s="22"/>
      <c r="V872" s="24"/>
      <c r="W872" s="24">
        <f t="shared" si="157"/>
        <v>0</v>
      </c>
      <c r="X872" s="24">
        <f t="shared" si="158"/>
        <v>51268927.380000003</v>
      </c>
      <c r="Y872" s="24">
        <f t="shared" si="159"/>
        <v>0</v>
      </c>
      <c r="Z872" s="24">
        <f t="shared" si="160"/>
        <v>-51268927.380000003</v>
      </c>
      <c r="AA872" s="25" t="str">
        <f t="shared" si="161"/>
        <v>No se realizó gasto en este corte</v>
      </c>
      <c r="AB872" s="26" t="str">
        <f t="shared" si="162"/>
        <v>Costo eficiente: se está gastando menos de lo presupuestado</v>
      </c>
      <c r="AC872" s="26">
        <f t="shared" si="163"/>
        <v>0</v>
      </c>
      <c r="AD872" s="26" t="str">
        <f t="shared" si="164"/>
        <v>Sin Línea Base</v>
      </c>
      <c r="AE872" s="27">
        <f t="shared" si="165"/>
        <v>0</v>
      </c>
      <c r="AF872" s="27">
        <f t="shared" si="166"/>
        <v>-233040579</v>
      </c>
      <c r="AG872" s="28" t="str">
        <f>VLOOKUP(Indicador!E923,[1]Diccionario!C$1:AC$150,27,0)</f>
        <v>https://growdatasas.sharepoint.com/:x:/r/sites/Gestiondocumental/Administrativa/GD/Financiera/_layouts/15/Doc.aspx?sourcedoc=%7B69FFBD03-5B13-48F9-8F84-54729A673BE7%7D&amp;file=MODELO%20FINANCIERO%20PREVISORA.xlsm&amp;action=default&amp;mobileredirect=true</v>
      </c>
      <c r="AH872" s="28">
        <v>1</v>
      </c>
      <c r="AI872" s="28">
        <v>1</v>
      </c>
      <c r="AJ872" s="28"/>
      <c r="AK872" s="28"/>
    </row>
    <row r="873" spans="1:37" ht="18.75" customHeight="1" x14ac:dyDescent="0.25">
      <c r="A873" s="11">
        <v>2026</v>
      </c>
      <c r="B873" s="12" t="s">
        <v>481</v>
      </c>
      <c r="C873" s="15" t="s">
        <v>471</v>
      </c>
      <c r="D873" s="39">
        <v>46048.901636655093</v>
      </c>
      <c r="E873" s="15" t="s">
        <v>477</v>
      </c>
      <c r="F873" s="15" t="s">
        <v>40</v>
      </c>
      <c r="G873" s="15" t="s">
        <v>478</v>
      </c>
      <c r="H873" s="15" t="s">
        <v>479</v>
      </c>
      <c r="I873" s="15" t="s">
        <v>78</v>
      </c>
      <c r="J873" s="15">
        <v>403</v>
      </c>
      <c r="K873" s="15" t="s">
        <v>291</v>
      </c>
      <c r="L873" s="17">
        <f>VLOOKUP(E873,[1]Diccionario!C$2:AC$150,22,0)</f>
        <v>233040579</v>
      </c>
      <c r="M873" s="18">
        <f>VLOOKUP(E873,[1]Diccionario!C$2:AC$150,24,0)</f>
        <v>46054</v>
      </c>
      <c r="N873" s="19">
        <f>VLOOKUP(E873,[1]Diccionario!C$2:AC$150,25,0)</f>
        <v>46387</v>
      </c>
      <c r="O873" s="20">
        <f>VLOOKUP(E873,[1]Diccionario!C$2:AC$150,26,0)</f>
        <v>11</v>
      </c>
      <c r="P873" s="20">
        <f t="shared" ca="1" si="156"/>
        <v>-9</v>
      </c>
      <c r="Q873" s="20">
        <f t="shared" ca="1" si="167"/>
        <v>2</v>
      </c>
      <c r="R873" s="15">
        <v>2</v>
      </c>
      <c r="S873" s="21">
        <v>0.34</v>
      </c>
      <c r="T873" s="21"/>
      <c r="U873" s="22"/>
      <c r="V873" s="24"/>
      <c r="W873" s="24">
        <f t="shared" si="157"/>
        <v>0</v>
      </c>
      <c r="X873" s="24">
        <f t="shared" si="158"/>
        <v>79233796.859999999</v>
      </c>
      <c r="Y873" s="24">
        <f t="shared" si="159"/>
        <v>0</v>
      </c>
      <c r="Z873" s="24">
        <f t="shared" si="160"/>
        <v>-79233796.859999999</v>
      </c>
      <c r="AA873" s="25" t="str">
        <f t="shared" si="161"/>
        <v>No se realizó gasto en este corte</v>
      </c>
      <c r="AB873" s="26" t="str">
        <f t="shared" si="162"/>
        <v>Costo eficiente: se está gastando menos de lo presupuestado</v>
      </c>
      <c r="AC873" s="26">
        <f t="shared" si="163"/>
        <v>0</v>
      </c>
      <c r="AD873" s="26" t="str">
        <f t="shared" si="164"/>
        <v>Sin Línea Base</v>
      </c>
      <c r="AE873" s="27">
        <f t="shared" si="165"/>
        <v>0</v>
      </c>
      <c r="AF873" s="27">
        <f t="shared" si="166"/>
        <v>-233040579</v>
      </c>
      <c r="AG873" s="28" t="str">
        <f>VLOOKUP(Indicador!E924,[1]Diccionario!C$1:AC$150,27,0)</f>
        <v>https://growdatasas.sharepoint.com/:x:/r/sites/Gestiondocumental/Administrativa/GD/Financiera/_layouts/15/Doc.aspx?sourcedoc=%7B69FFBD03-5B13-48F9-8F84-54729A673BE7%7D&amp;file=MODELO%20FINANCIERO%20PREVISORA.xlsm&amp;action=default&amp;mobileredirect=true</v>
      </c>
      <c r="AH873" s="28">
        <v>1</v>
      </c>
      <c r="AI873" s="28">
        <v>1</v>
      </c>
      <c r="AJ873" s="28"/>
      <c r="AK873" s="28"/>
    </row>
    <row r="874" spans="1:37" ht="18.75" customHeight="1" x14ac:dyDescent="0.25">
      <c r="A874" s="11">
        <v>2026</v>
      </c>
      <c r="B874" s="12" t="s">
        <v>482</v>
      </c>
      <c r="C874" s="15" t="s">
        <v>471</v>
      </c>
      <c r="D874" s="39">
        <v>46048.901636655093</v>
      </c>
      <c r="E874" s="15" t="s">
        <v>477</v>
      </c>
      <c r="F874" s="15" t="s">
        <v>40</v>
      </c>
      <c r="G874" s="15" t="s">
        <v>478</v>
      </c>
      <c r="H874" s="15" t="s">
        <v>479</v>
      </c>
      <c r="I874" s="15" t="s">
        <v>78</v>
      </c>
      <c r="J874" s="15">
        <v>403</v>
      </c>
      <c r="K874" s="15" t="s">
        <v>291</v>
      </c>
      <c r="L874" s="17">
        <f>VLOOKUP(E874,[1]Diccionario!C$2:AC$150,22,0)</f>
        <v>233040579</v>
      </c>
      <c r="M874" s="18">
        <f>VLOOKUP(E874,[1]Diccionario!C$2:AC$150,24,0)</f>
        <v>46054</v>
      </c>
      <c r="N874" s="19">
        <f>VLOOKUP(E874,[1]Diccionario!C$2:AC$150,25,0)</f>
        <v>46387</v>
      </c>
      <c r="O874" s="20">
        <f>VLOOKUP(E874,[1]Diccionario!C$2:AC$150,26,0)</f>
        <v>11</v>
      </c>
      <c r="P874" s="20">
        <f t="shared" ca="1" si="156"/>
        <v>-9</v>
      </c>
      <c r="Q874" s="20">
        <f t="shared" ca="1" si="167"/>
        <v>2</v>
      </c>
      <c r="R874" s="15">
        <v>2</v>
      </c>
      <c r="S874" s="21">
        <v>0.4</v>
      </c>
      <c r="T874" s="21"/>
      <c r="U874" s="22"/>
      <c r="V874" s="24"/>
      <c r="W874" s="24">
        <f t="shared" si="157"/>
        <v>0</v>
      </c>
      <c r="X874" s="24">
        <f t="shared" si="158"/>
        <v>93216231.600000009</v>
      </c>
      <c r="Y874" s="24">
        <f t="shared" si="159"/>
        <v>0</v>
      </c>
      <c r="Z874" s="24">
        <f t="shared" si="160"/>
        <v>-93216231.600000009</v>
      </c>
      <c r="AA874" s="25" t="str">
        <f t="shared" si="161"/>
        <v>No se realizó gasto en este corte</v>
      </c>
      <c r="AB874" s="26" t="str">
        <f t="shared" si="162"/>
        <v>Costo eficiente: se está gastando menos de lo presupuestado</v>
      </c>
      <c r="AC874" s="26">
        <f t="shared" si="163"/>
        <v>0</v>
      </c>
      <c r="AD874" s="26" t="str">
        <f t="shared" si="164"/>
        <v>Sin Línea Base</v>
      </c>
      <c r="AE874" s="27">
        <f t="shared" si="165"/>
        <v>0</v>
      </c>
      <c r="AF874" s="27">
        <f t="shared" si="166"/>
        <v>-233040579</v>
      </c>
      <c r="AG874" s="28" t="str">
        <f>VLOOKUP(Indicador!E925,[1]Diccionario!C$1:AC$150,27,0)</f>
        <v>https://growdatasas.sharepoint.com/:x:/r/sites/Gestiondocumental/Administrativa/GD/Financiera/_layouts/15/Doc.aspx?sourcedoc=%7B69FFBD03-5B13-48F9-8F84-54729A673BE7%7D&amp;file=MODELO%20FINANCIERO%20PREVISORA.xlsm&amp;action=default&amp;mobileredirect=true</v>
      </c>
      <c r="AH874" s="28">
        <v>1</v>
      </c>
      <c r="AI874" s="28">
        <v>1</v>
      </c>
      <c r="AJ874" s="28"/>
      <c r="AK874" s="28"/>
    </row>
    <row r="875" spans="1:37" ht="18.75" customHeight="1" x14ac:dyDescent="0.25">
      <c r="A875" s="11">
        <v>2026</v>
      </c>
      <c r="B875" s="12" t="s">
        <v>483</v>
      </c>
      <c r="C875" s="15" t="s">
        <v>471</v>
      </c>
      <c r="D875" s="39">
        <v>46048.901636655093</v>
      </c>
      <c r="E875" s="15" t="s">
        <v>477</v>
      </c>
      <c r="F875" s="15" t="s">
        <v>40</v>
      </c>
      <c r="G875" s="15" t="s">
        <v>478</v>
      </c>
      <c r="H875" s="15" t="s">
        <v>479</v>
      </c>
      <c r="I875" s="15" t="s">
        <v>78</v>
      </c>
      <c r="J875" s="15">
        <v>403</v>
      </c>
      <c r="K875" s="15" t="s">
        <v>291</v>
      </c>
      <c r="L875" s="17">
        <f>VLOOKUP(E875,[1]Diccionario!C$2:AC$150,22,0)</f>
        <v>233040579</v>
      </c>
      <c r="M875" s="18">
        <f>VLOOKUP(E875,[1]Diccionario!C$2:AC$150,24,0)</f>
        <v>46054</v>
      </c>
      <c r="N875" s="19">
        <f>VLOOKUP(E875,[1]Diccionario!C$2:AC$150,25,0)</f>
        <v>46387</v>
      </c>
      <c r="O875" s="20">
        <f>VLOOKUP(E875,[1]Diccionario!C$2:AC$150,26,0)</f>
        <v>11</v>
      </c>
      <c r="P875" s="20">
        <f t="shared" ca="1" si="156"/>
        <v>-9</v>
      </c>
      <c r="Q875" s="20">
        <f t="shared" ca="1" si="167"/>
        <v>2</v>
      </c>
      <c r="R875" s="15">
        <v>2</v>
      </c>
      <c r="S875" s="21">
        <v>0.55000000000000004</v>
      </c>
      <c r="T875" s="21"/>
      <c r="U875" s="22"/>
      <c r="V875" s="24"/>
      <c r="W875" s="24">
        <f t="shared" si="157"/>
        <v>0</v>
      </c>
      <c r="X875" s="24">
        <f t="shared" si="158"/>
        <v>128172318.45</v>
      </c>
      <c r="Y875" s="24">
        <f t="shared" si="159"/>
        <v>0</v>
      </c>
      <c r="Z875" s="24">
        <f t="shared" si="160"/>
        <v>-128172318.45</v>
      </c>
      <c r="AA875" s="25" t="str">
        <f t="shared" si="161"/>
        <v>No se realizó gasto en este corte</v>
      </c>
      <c r="AB875" s="26" t="str">
        <f t="shared" si="162"/>
        <v>Costo eficiente: se está gastando menos de lo presupuestado</v>
      </c>
      <c r="AC875" s="26">
        <f t="shared" si="163"/>
        <v>0</v>
      </c>
      <c r="AD875" s="26" t="str">
        <f t="shared" si="164"/>
        <v>Sin Línea Base</v>
      </c>
      <c r="AE875" s="27">
        <f t="shared" si="165"/>
        <v>0</v>
      </c>
      <c r="AF875" s="27">
        <f t="shared" si="166"/>
        <v>-233040579</v>
      </c>
      <c r="AG875" s="28" t="str">
        <f>VLOOKUP(Indicador!E926,[1]Diccionario!C$1:AC$150,27,0)</f>
        <v>https://growdatasas.sharepoint.com/:x:/r/sites/Gestiondocumental/Administrativa/GD/Financiera/_layouts/15/Doc.aspx?sourcedoc=%7B69FFBD03-5B13-48F9-8F84-54729A673BE7%7D&amp;file=MODELO%20FINANCIERO%20PREVISORA.xlsm&amp;action=default&amp;mobileredirect=true</v>
      </c>
      <c r="AH875" s="28">
        <v>1</v>
      </c>
      <c r="AI875" s="28">
        <v>1</v>
      </c>
      <c r="AJ875" s="28"/>
      <c r="AK875" s="28"/>
    </row>
    <row r="876" spans="1:37" ht="18.75" customHeight="1" x14ac:dyDescent="0.25">
      <c r="A876" s="11">
        <v>2026</v>
      </c>
      <c r="B876" s="12" t="s">
        <v>484</v>
      </c>
      <c r="C876" s="15" t="s">
        <v>471</v>
      </c>
      <c r="D876" s="39">
        <v>46048.901636655093</v>
      </c>
      <c r="E876" s="15" t="s">
        <v>477</v>
      </c>
      <c r="F876" s="15" t="s">
        <v>40</v>
      </c>
      <c r="G876" s="15" t="s">
        <v>478</v>
      </c>
      <c r="H876" s="15" t="s">
        <v>479</v>
      </c>
      <c r="I876" s="15" t="s">
        <v>78</v>
      </c>
      <c r="J876" s="15">
        <v>403</v>
      </c>
      <c r="K876" s="15" t="s">
        <v>291</v>
      </c>
      <c r="L876" s="17">
        <f>VLOOKUP(E876,[1]Diccionario!C$2:AC$150,22,0)</f>
        <v>233040579</v>
      </c>
      <c r="M876" s="18">
        <f>VLOOKUP(E876,[1]Diccionario!C$2:AC$150,24,0)</f>
        <v>46054</v>
      </c>
      <c r="N876" s="19">
        <f>VLOOKUP(E876,[1]Diccionario!C$2:AC$150,25,0)</f>
        <v>46387</v>
      </c>
      <c r="O876" s="20">
        <f>VLOOKUP(E876,[1]Diccionario!C$2:AC$150,26,0)</f>
        <v>11</v>
      </c>
      <c r="P876" s="20">
        <f t="shared" ca="1" si="156"/>
        <v>-9</v>
      </c>
      <c r="Q876" s="20">
        <f t="shared" ca="1" si="167"/>
        <v>2</v>
      </c>
      <c r="R876" s="15">
        <v>2</v>
      </c>
      <c r="S876" s="21">
        <v>0.68</v>
      </c>
      <c r="T876" s="21"/>
      <c r="U876" s="22"/>
      <c r="V876" s="24"/>
      <c r="W876" s="24">
        <f t="shared" si="157"/>
        <v>0</v>
      </c>
      <c r="X876" s="24">
        <f t="shared" si="158"/>
        <v>158467593.72</v>
      </c>
      <c r="Y876" s="24">
        <f t="shared" si="159"/>
        <v>0</v>
      </c>
      <c r="Z876" s="24">
        <f t="shared" si="160"/>
        <v>-158467593.72</v>
      </c>
      <c r="AA876" s="25" t="str">
        <f t="shared" si="161"/>
        <v>No se realizó gasto en este corte</v>
      </c>
      <c r="AB876" s="26" t="str">
        <f t="shared" si="162"/>
        <v>Costo eficiente: se está gastando menos de lo presupuestado</v>
      </c>
      <c r="AC876" s="26">
        <f t="shared" si="163"/>
        <v>0</v>
      </c>
      <c r="AD876" s="26" t="str">
        <f t="shared" si="164"/>
        <v>Sin Línea Base</v>
      </c>
      <c r="AE876" s="27">
        <f t="shared" si="165"/>
        <v>0</v>
      </c>
      <c r="AF876" s="27">
        <f t="shared" si="166"/>
        <v>-233040579</v>
      </c>
      <c r="AG876" s="28" t="str">
        <f>VLOOKUP(Indicador!E927,[1]Diccionario!C$1:AC$150,27,0)</f>
        <v>https://growdatasas.sharepoint.com/:x:/r/sites/Gestiondocumental/Administrativa/GD/Financiera/_layouts/15/Doc.aspx?sourcedoc=%7B69FFBD03-5B13-48F9-8F84-54729A673BE7%7D&amp;file=MODELO%20FINANCIERO%20PREVISORA.xlsm&amp;action=default&amp;mobileredirect=true</v>
      </c>
      <c r="AH876" s="28">
        <v>1</v>
      </c>
      <c r="AI876" s="28">
        <v>1</v>
      </c>
      <c r="AJ876" s="28"/>
      <c r="AK876" s="28"/>
    </row>
    <row r="877" spans="1:37" ht="18.75" customHeight="1" x14ac:dyDescent="0.25">
      <c r="A877" s="11">
        <v>2026</v>
      </c>
      <c r="B877" s="12" t="s">
        <v>485</v>
      </c>
      <c r="C877" s="15" t="s">
        <v>471</v>
      </c>
      <c r="D877" s="39">
        <v>46048.901636655093</v>
      </c>
      <c r="E877" s="15" t="s">
        <v>477</v>
      </c>
      <c r="F877" s="15" t="s">
        <v>40</v>
      </c>
      <c r="G877" s="15" t="s">
        <v>478</v>
      </c>
      <c r="H877" s="15" t="s">
        <v>479</v>
      </c>
      <c r="I877" s="15" t="s">
        <v>78</v>
      </c>
      <c r="J877" s="15">
        <v>403</v>
      </c>
      <c r="K877" s="15" t="s">
        <v>291</v>
      </c>
      <c r="L877" s="17">
        <f>VLOOKUP(E877,[1]Diccionario!C$2:AC$150,22,0)</f>
        <v>233040579</v>
      </c>
      <c r="M877" s="18">
        <f>VLOOKUP(E877,[1]Diccionario!C$2:AC$150,24,0)</f>
        <v>46054</v>
      </c>
      <c r="N877" s="19">
        <f>VLOOKUP(E877,[1]Diccionario!C$2:AC$150,25,0)</f>
        <v>46387</v>
      </c>
      <c r="O877" s="20">
        <f>VLOOKUP(E877,[1]Diccionario!C$2:AC$150,26,0)</f>
        <v>11</v>
      </c>
      <c r="P877" s="20">
        <f t="shared" ca="1" si="156"/>
        <v>-9</v>
      </c>
      <c r="Q877" s="20">
        <f t="shared" ca="1" si="167"/>
        <v>2</v>
      </c>
      <c r="R877" s="15">
        <v>2</v>
      </c>
      <c r="S877" s="21">
        <v>0.75</v>
      </c>
      <c r="T877" s="21"/>
      <c r="U877" s="22"/>
      <c r="V877" s="24"/>
      <c r="W877" s="24">
        <f t="shared" si="157"/>
        <v>0</v>
      </c>
      <c r="X877" s="24">
        <f t="shared" si="158"/>
        <v>174780434.25</v>
      </c>
      <c r="Y877" s="24">
        <f t="shared" si="159"/>
        <v>0</v>
      </c>
      <c r="Z877" s="24">
        <f t="shared" si="160"/>
        <v>-174780434.25</v>
      </c>
      <c r="AA877" s="25" t="str">
        <f t="shared" si="161"/>
        <v>No se realizó gasto en este corte</v>
      </c>
      <c r="AB877" s="26" t="str">
        <f t="shared" si="162"/>
        <v>Costo eficiente: se está gastando menos de lo presupuestado</v>
      </c>
      <c r="AC877" s="26">
        <f t="shared" si="163"/>
        <v>0</v>
      </c>
      <c r="AD877" s="26" t="str">
        <f t="shared" si="164"/>
        <v>Sin Línea Base</v>
      </c>
      <c r="AE877" s="27">
        <f t="shared" si="165"/>
        <v>0</v>
      </c>
      <c r="AF877" s="27">
        <f t="shared" si="166"/>
        <v>-233040579</v>
      </c>
      <c r="AG877" s="28" t="str">
        <f>VLOOKUP(Indicador!E928,[1]Diccionario!C$1:AC$150,27,0)</f>
        <v>https://growdatasas.sharepoint.com/:x:/r/sites/Gestiondocumental/Administrativa/GD/Financiera/_layouts/15/Doc.aspx?sourcedoc=%7B69FFBD03-5B13-48F9-8F84-54729A673BE7%7D&amp;file=MODELO%20FINANCIERO%20PREVISORA.xlsm&amp;action=default&amp;mobileredirect=true</v>
      </c>
      <c r="AH877" s="28">
        <v>1</v>
      </c>
      <c r="AI877" s="28">
        <v>1</v>
      </c>
      <c r="AJ877" s="28"/>
      <c r="AK877" s="28"/>
    </row>
    <row r="878" spans="1:37" ht="18.75" customHeight="1" x14ac:dyDescent="0.25">
      <c r="A878" s="11">
        <v>2026</v>
      </c>
      <c r="B878" s="12" t="s">
        <v>486</v>
      </c>
      <c r="C878" s="15" t="s">
        <v>471</v>
      </c>
      <c r="D878" s="39">
        <v>46048.901636655093</v>
      </c>
      <c r="E878" s="15" t="s">
        <v>477</v>
      </c>
      <c r="F878" s="15" t="s">
        <v>40</v>
      </c>
      <c r="G878" s="15" t="s">
        <v>478</v>
      </c>
      <c r="H878" s="15" t="s">
        <v>479</v>
      </c>
      <c r="I878" s="15" t="s">
        <v>78</v>
      </c>
      <c r="J878" s="15">
        <v>403</v>
      </c>
      <c r="K878" s="15" t="s">
        <v>291</v>
      </c>
      <c r="L878" s="17">
        <f>VLOOKUP(E878,[1]Diccionario!C$2:AC$150,22,0)</f>
        <v>233040579</v>
      </c>
      <c r="M878" s="18">
        <f>VLOOKUP(E878,[1]Diccionario!C$2:AC$150,24,0)</f>
        <v>46054</v>
      </c>
      <c r="N878" s="19">
        <f>VLOOKUP(E878,[1]Diccionario!C$2:AC$150,25,0)</f>
        <v>46387</v>
      </c>
      <c r="O878" s="20">
        <f>VLOOKUP(E878,[1]Diccionario!C$2:AC$150,26,0)</f>
        <v>11</v>
      </c>
      <c r="P878" s="20">
        <f t="shared" ca="1" si="156"/>
        <v>-9</v>
      </c>
      <c r="Q878" s="20">
        <f t="shared" ca="1" si="167"/>
        <v>2</v>
      </c>
      <c r="R878" s="15">
        <v>2</v>
      </c>
      <c r="S878" s="21">
        <v>0.82</v>
      </c>
      <c r="T878" s="21"/>
      <c r="U878" s="22"/>
      <c r="V878" s="24"/>
      <c r="W878" s="24">
        <f t="shared" si="157"/>
        <v>0</v>
      </c>
      <c r="X878" s="24">
        <f t="shared" si="158"/>
        <v>191093274.78</v>
      </c>
      <c r="Y878" s="24">
        <f t="shared" si="159"/>
        <v>0</v>
      </c>
      <c r="Z878" s="24">
        <f t="shared" si="160"/>
        <v>-191093274.78</v>
      </c>
      <c r="AA878" s="25" t="str">
        <f t="shared" si="161"/>
        <v>No se realizó gasto en este corte</v>
      </c>
      <c r="AB878" s="26" t="str">
        <f t="shared" si="162"/>
        <v>Costo eficiente: se está gastando menos de lo presupuestado</v>
      </c>
      <c r="AC878" s="26">
        <f t="shared" si="163"/>
        <v>0</v>
      </c>
      <c r="AD878" s="26" t="str">
        <f t="shared" si="164"/>
        <v>Sin Línea Base</v>
      </c>
      <c r="AE878" s="27">
        <f t="shared" si="165"/>
        <v>0</v>
      </c>
      <c r="AF878" s="27">
        <f t="shared" si="166"/>
        <v>-233040579</v>
      </c>
      <c r="AG878" s="28" t="str">
        <f>VLOOKUP(Indicador!E929,[1]Diccionario!C$1:AC$150,27,0)</f>
        <v>https://growdatasas.sharepoint.com/:x:/r/sites/Gestiondocumental/Administrativa/GD/Financiera/_layouts/15/Doc.aspx?sourcedoc=%7B69FFBD03-5B13-48F9-8F84-54729A673BE7%7D&amp;file=MODELO%20FINANCIERO%20PREVISORA.xlsm&amp;action=default&amp;mobileredirect=true</v>
      </c>
      <c r="AH878" s="28">
        <v>1</v>
      </c>
      <c r="AI878" s="28">
        <v>1</v>
      </c>
      <c r="AJ878" s="28"/>
      <c r="AK878" s="28"/>
    </row>
    <row r="879" spans="1:37" ht="18.75" customHeight="1" x14ac:dyDescent="0.25">
      <c r="A879" s="11">
        <v>2026</v>
      </c>
      <c r="B879" s="12" t="s">
        <v>487</v>
      </c>
      <c r="C879" s="15" t="s">
        <v>471</v>
      </c>
      <c r="D879" s="39">
        <v>46048.901636655093</v>
      </c>
      <c r="E879" s="15" t="s">
        <v>477</v>
      </c>
      <c r="F879" s="15" t="s">
        <v>40</v>
      </c>
      <c r="G879" s="15" t="s">
        <v>478</v>
      </c>
      <c r="H879" s="15" t="s">
        <v>479</v>
      </c>
      <c r="I879" s="15" t="s">
        <v>78</v>
      </c>
      <c r="J879" s="15">
        <v>403</v>
      </c>
      <c r="K879" s="15" t="s">
        <v>291</v>
      </c>
      <c r="L879" s="17">
        <f>VLOOKUP(E879,[1]Diccionario!C$2:AC$150,22,0)</f>
        <v>233040579</v>
      </c>
      <c r="M879" s="18">
        <f>VLOOKUP(E879,[1]Diccionario!C$2:AC$150,24,0)</f>
        <v>46054</v>
      </c>
      <c r="N879" s="19">
        <f>VLOOKUP(E879,[1]Diccionario!C$2:AC$150,25,0)</f>
        <v>46387</v>
      </c>
      <c r="O879" s="20">
        <f>VLOOKUP(E879,[1]Diccionario!C$2:AC$150,26,0)</f>
        <v>11</v>
      </c>
      <c r="P879" s="20">
        <f t="shared" ca="1" si="156"/>
        <v>-9</v>
      </c>
      <c r="Q879" s="20">
        <f t="shared" ca="1" si="167"/>
        <v>2</v>
      </c>
      <c r="R879" s="15">
        <v>2</v>
      </c>
      <c r="S879" s="21">
        <v>0.9</v>
      </c>
      <c r="T879" s="21"/>
      <c r="U879" s="22"/>
      <c r="V879" s="24"/>
      <c r="W879" s="24">
        <f t="shared" si="157"/>
        <v>0</v>
      </c>
      <c r="X879" s="24">
        <f t="shared" si="158"/>
        <v>209736521.09999999</v>
      </c>
      <c r="Y879" s="24">
        <f t="shared" si="159"/>
        <v>0</v>
      </c>
      <c r="Z879" s="24">
        <f t="shared" si="160"/>
        <v>-209736521.09999999</v>
      </c>
      <c r="AA879" s="25" t="str">
        <f t="shared" si="161"/>
        <v>No se realizó gasto en este corte</v>
      </c>
      <c r="AB879" s="26" t="str">
        <f t="shared" si="162"/>
        <v>Costo eficiente: se está gastando menos de lo presupuestado</v>
      </c>
      <c r="AC879" s="26">
        <f t="shared" si="163"/>
        <v>0</v>
      </c>
      <c r="AD879" s="26" t="str">
        <f t="shared" si="164"/>
        <v>Sin Línea Base</v>
      </c>
      <c r="AE879" s="27">
        <f t="shared" si="165"/>
        <v>0</v>
      </c>
      <c r="AF879" s="27">
        <f t="shared" si="166"/>
        <v>-233040579</v>
      </c>
      <c r="AG879" s="28" t="str">
        <f>VLOOKUP(Indicador!E930,[1]Diccionario!C$1:AC$150,27,0)</f>
        <v>https://growdatasas.sharepoint.com/:x:/r/sites/Gestiondocumental/Administrativa/GD/Financiera/_layouts/15/Doc.aspx?sourcedoc=%7B69FFBD03-5B13-48F9-8F84-54729A673BE7%7D&amp;file=MODELO%20FINANCIERO%20PREVISORA.xlsm&amp;action=default&amp;mobileredirect=true</v>
      </c>
      <c r="AH879" s="28">
        <v>1</v>
      </c>
      <c r="AI879" s="28">
        <v>1</v>
      </c>
      <c r="AJ879" s="28"/>
      <c r="AK879" s="28"/>
    </row>
    <row r="880" spans="1:37" ht="18.75" customHeight="1" x14ac:dyDescent="0.25">
      <c r="A880" s="11">
        <v>2026</v>
      </c>
      <c r="B880" s="12" t="s">
        <v>488</v>
      </c>
      <c r="C880" s="15" t="s">
        <v>471</v>
      </c>
      <c r="D880" s="39">
        <v>46048.901636655093</v>
      </c>
      <c r="E880" s="15" t="s">
        <v>477</v>
      </c>
      <c r="F880" s="15" t="s">
        <v>40</v>
      </c>
      <c r="G880" s="15" t="s">
        <v>478</v>
      </c>
      <c r="H880" s="15" t="s">
        <v>479</v>
      </c>
      <c r="I880" s="15" t="s">
        <v>78</v>
      </c>
      <c r="J880" s="15">
        <v>403</v>
      </c>
      <c r="K880" s="15" t="s">
        <v>291</v>
      </c>
      <c r="L880" s="17">
        <f>VLOOKUP(E880,[1]Diccionario!C$2:AC$150,22,0)</f>
        <v>233040579</v>
      </c>
      <c r="M880" s="18">
        <f>VLOOKUP(E880,[1]Diccionario!C$2:AC$150,24,0)</f>
        <v>46054</v>
      </c>
      <c r="N880" s="19">
        <f>VLOOKUP(E880,[1]Diccionario!C$2:AC$150,25,0)</f>
        <v>46387</v>
      </c>
      <c r="O880" s="20">
        <f>VLOOKUP(E880,[1]Diccionario!C$2:AC$150,26,0)</f>
        <v>11</v>
      </c>
      <c r="P880" s="20">
        <f t="shared" ca="1" si="156"/>
        <v>-9</v>
      </c>
      <c r="Q880" s="20">
        <f t="shared" ca="1" si="167"/>
        <v>2</v>
      </c>
      <c r="R880" s="15">
        <v>2</v>
      </c>
      <c r="S880" s="21">
        <v>0.95</v>
      </c>
      <c r="T880" s="21"/>
      <c r="U880" s="22"/>
      <c r="V880" s="24"/>
      <c r="W880" s="24">
        <f t="shared" si="157"/>
        <v>0</v>
      </c>
      <c r="X880" s="24">
        <f t="shared" si="158"/>
        <v>221388550.04999998</v>
      </c>
      <c r="Y880" s="24">
        <f t="shared" si="159"/>
        <v>0</v>
      </c>
      <c r="Z880" s="24">
        <f t="shared" si="160"/>
        <v>-221388550.04999998</v>
      </c>
      <c r="AA880" s="25" t="str">
        <f t="shared" si="161"/>
        <v>No se realizó gasto en este corte</v>
      </c>
      <c r="AB880" s="26" t="str">
        <f t="shared" si="162"/>
        <v>Costo eficiente: se está gastando menos de lo presupuestado</v>
      </c>
      <c r="AC880" s="26">
        <f t="shared" si="163"/>
        <v>0</v>
      </c>
      <c r="AD880" s="26" t="str">
        <f t="shared" si="164"/>
        <v>Sin Línea Base</v>
      </c>
      <c r="AE880" s="27">
        <f t="shared" si="165"/>
        <v>0</v>
      </c>
      <c r="AF880" s="27">
        <f t="shared" si="166"/>
        <v>-233040579</v>
      </c>
      <c r="AG880" s="28" t="str">
        <f>VLOOKUP(Indicador!E931,[1]Diccionario!C$1:AC$150,27,0)</f>
        <v>https://growdatasas.sharepoint.com/:x:/r/sites/Gestiondocumental/Administrativa/GD/Financiera/_layouts/15/Doc.aspx?sourcedoc=%7B69FFBD03-5B13-48F9-8F84-54729A673BE7%7D&amp;file=MODELO%20FINANCIERO%20PREVISORA.xlsm&amp;action=default&amp;mobileredirect=true</v>
      </c>
      <c r="AH880" s="28">
        <v>1</v>
      </c>
      <c r="AI880" s="28">
        <v>1</v>
      </c>
      <c r="AJ880" s="28"/>
      <c r="AK880" s="28"/>
    </row>
    <row r="881" spans="1:37" ht="18.75" customHeight="1" x14ac:dyDescent="0.25">
      <c r="A881" s="11">
        <v>2026</v>
      </c>
      <c r="B881" s="12" t="s">
        <v>489</v>
      </c>
      <c r="C881" s="15" t="s">
        <v>471</v>
      </c>
      <c r="D881" s="39">
        <v>46048.901636655093</v>
      </c>
      <c r="E881" s="15" t="s">
        <v>477</v>
      </c>
      <c r="F881" s="15" t="s">
        <v>40</v>
      </c>
      <c r="G881" s="15" t="s">
        <v>478</v>
      </c>
      <c r="H881" s="15" t="s">
        <v>479</v>
      </c>
      <c r="I881" s="15" t="s">
        <v>78</v>
      </c>
      <c r="J881" s="15">
        <v>403</v>
      </c>
      <c r="K881" s="15" t="s">
        <v>291</v>
      </c>
      <c r="L881" s="17">
        <f>VLOOKUP(E881,[1]Diccionario!C$2:AC$150,22,0)</f>
        <v>233040579</v>
      </c>
      <c r="M881" s="18">
        <f>VLOOKUP(E881,[1]Diccionario!C$2:AC$150,24,0)</f>
        <v>46054</v>
      </c>
      <c r="N881" s="19">
        <f>VLOOKUP(E881,[1]Diccionario!C$2:AC$150,25,0)</f>
        <v>46387</v>
      </c>
      <c r="O881" s="20">
        <f>VLOOKUP(E881,[1]Diccionario!C$2:AC$150,26,0)</f>
        <v>11</v>
      </c>
      <c r="P881" s="20">
        <f t="shared" ca="1" si="156"/>
        <v>-9</v>
      </c>
      <c r="Q881" s="20">
        <f t="shared" ca="1" si="167"/>
        <v>2</v>
      </c>
      <c r="R881" s="15">
        <v>2</v>
      </c>
      <c r="S881" s="21">
        <v>1</v>
      </c>
      <c r="T881" s="21"/>
      <c r="U881" s="22"/>
      <c r="V881" s="24"/>
      <c r="W881" s="24">
        <f t="shared" si="157"/>
        <v>0</v>
      </c>
      <c r="X881" s="24">
        <f t="shared" si="158"/>
        <v>233040579</v>
      </c>
      <c r="Y881" s="24">
        <f t="shared" si="159"/>
        <v>0</v>
      </c>
      <c r="Z881" s="24">
        <f t="shared" si="160"/>
        <v>-233040579</v>
      </c>
      <c r="AA881" s="25" t="str">
        <f t="shared" si="161"/>
        <v>No se realizó gasto en este corte</v>
      </c>
      <c r="AB881" s="26" t="str">
        <f t="shared" si="162"/>
        <v>Costo eficiente: se está gastando menos de lo presupuestado</v>
      </c>
      <c r="AC881" s="26">
        <f t="shared" si="163"/>
        <v>0</v>
      </c>
      <c r="AD881" s="26" t="str">
        <f t="shared" si="164"/>
        <v>Sin Línea Base</v>
      </c>
      <c r="AE881" s="27">
        <f t="shared" si="165"/>
        <v>0</v>
      </c>
      <c r="AF881" s="27">
        <f t="shared" si="166"/>
        <v>-233040579</v>
      </c>
      <c r="AG881" s="28" t="str">
        <f>VLOOKUP(Indicador!E932,[1]Diccionario!C$1:AC$150,27,0)</f>
        <v>https://growdatasas.sharepoint.com/:x:/r/sites/Gestiondocumental/Administrativa/GD/Financiera/_layouts/15/Doc.aspx?sourcedoc=%7B69FFBD03-5B13-48F9-8F84-54729A673BE7%7D&amp;file=MODELO%20FINANCIERO%20PREVISORA.xlsm&amp;action=default&amp;mobileredirect=true</v>
      </c>
      <c r="AH881" s="28">
        <v>1</v>
      </c>
      <c r="AI881" s="28">
        <v>1</v>
      </c>
      <c r="AJ881" s="28"/>
      <c r="AK881" s="28"/>
    </row>
    <row r="882" spans="1:37" ht="18.75" customHeight="1" x14ac:dyDescent="0.25">
      <c r="A882" s="11">
        <v>2026</v>
      </c>
      <c r="B882" s="12" t="s">
        <v>47</v>
      </c>
      <c r="C882" s="15" t="s">
        <v>490</v>
      </c>
      <c r="D882" s="39">
        <v>46048.919891203703</v>
      </c>
      <c r="E882" s="15" t="s">
        <v>491</v>
      </c>
      <c r="F882" s="15" t="s">
        <v>151</v>
      </c>
      <c r="G882" s="15" t="s">
        <v>492</v>
      </c>
      <c r="H882" s="15" t="s">
        <v>493</v>
      </c>
      <c r="I882" s="15" t="s">
        <v>63</v>
      </c>
      <c r="J882" s="15" t="s">
        <v>494</v>
      </c>
      <c r="K882" s="15" t="s">
        <v>291</v>
      </c>
      <c r="L882" s="17">
        <f>VLOOKUP(E882,[1]Diccionario!C$2:AC$150,22,0)</f>
        <v>559316354</v>
      </c>
      <c r="M882" s="18">
        <f>VLOOKUP(E882,[1]Diccionario!C$2:AC$150,24,0)</f>
        <v>46054</v>
      </c>
      <c r="N882" s="19">
        <f>VLOOKUP(E882,[1]Diccionario!C$2:AC$150,25,0)</f>
        <v>46233</v>
      </c>
      <c r="O882" s="20">
        <f>VLOOKUP(E882,[1]Diccionario!C$2:AC$150,26,0)</f>
        <v>5.97</v>
      </c>
      <c r="P882" s="20">
        <f t="shared" ca="1" si="156"/>
        <v>-3.9699999999999998</v>
      </c>
      <c r="Q882" s="20">
        <f t="shared" ca="1" si="167"/>
        <v>2</v>
      </c>
      <c r="R882" s="15">
        <v>6</v>
      </c>
      <c r="S882" s="21">
        <v>0.1</v>
      </c>
      <c r="T882" s="21"/>
      <c r="U882" s="22"/>
      <c r="V882" s="24"/>
      <c r="W882" s="24">
        <f t="shared" si="157"/>
        <v>0</v>
      </c>
      <c r="X882" s="24">
        <f t="shared" si="158"/>
        <v>55931635.400000006</v>
      </c>
      <c r="Y882" s="24">
        <f t="shared" si="159"/>
        <v>0</v>
      </c>
      <c r="Z882" s="24">
        <f t="shared" si="160"/>
        <v>-55931635.400000006</v>
      </c>
      <c r="AA882" s="25" t="str">
        <f t="shared" si="161"/>
        <v>No se realizó gasto en este corte</v>
      </c>
      <c r="AB882" s="26" t="str">
        <f t="shared" si="162"/>
        <v>Costo eficiente: se está gastando menos de lo presupuestado</v>
      </c>
      <c r="AC882" s="26">
        <f t="shared" si="163"/>
        <v>0</v>
      </c>
      <c r="AD882" s="26" t="str">
        <f t="shared" si="164"/>
        <v>Sin Línea Base</v>
      </c>
      <c r="AE882" s="27">
        <f t="shared" si="165"/>
        <v>0</v>
      </c>
      <c r="AF882" s="27">
        <f t="shared" si="166"/>
        <v>-559316354</v>
      </c>
      <c r="AG882" s="28" t="str">
        <f>VLOOKUP(Indicador!E914,[1]Diccionario!C$1:AC$150,27,0)</f>
        <v>https://growdatasas.sharepoint.com/:x:/r/sites/Gestiondocumental/Administrativa/GD/Financiera/_layouts/15/Doc.aspx?sourcedoc=%7B69FFBD03-5B13-48F9-8F84-54729A673BE7%7D&amp;file=MODELO%20FINANCIERO%20PREVISORA.xlsm&amp;action=default&amp;mobileredirect=true</v>
      </c>
      <c r="AH882" s="28">
        <v>1</v>
      </c>
      <c r="AI882" s="28">
        <v>1</v>
      </c>
      <c r="AJ882" s="28"/>
      <c r="AK882" s="28"/>
    </row>
    <row r="883" spans="1:37" ht="18.75" customHeight="1" x14ac:dyDescent="0.25">
      <c r="A883" s="11">
        <v>2026</v>
      </c>
      <c r="B883" s="12" t="s">
        <v>48</v>
      </c>
      <c r="C883" s="15" t="s">
        <v>490</v>
      </c>
      <c r="D883" s="39">
        <v>46048.919891203703</v>
      </c>
      <c r="E883" s="15" t="s">
        <v>491</v>
      </c>
      <c r="F883" s="15" t="s">
        <v>151</v>
      </c>
      <c r="G883" s="15" t="s">
        <v>492</v>
      </c>
      <c r="H883" s="15" t="s">
        <v>493</v>
      </c>
      <c r="I883" s="15" t="s">
        <v>63</v>
      </c>
      <c r="J883" s="15" t="s">
        <v>494</v>
      </c>
      <c r="K883" s="15" t="s">
        <v>291</v>
      </c>
      <c r="L883" s="17">
        <f>VLOOKUP(E883,[1]Diccionario!C$2:AC$150,22,0)</f>
        <v>559316354</v>
      </c>
      <c r="M883" s="18">
        <f>VLOOKUP(E883,[1]Diccionario!C$2:AC$150,24,0)</f>
        <v>46054</v>
      </c>
      <c r="N883" s="19">
        <f>VLOOKUP(E883,[1]Diccionario!C$2:AC$150,25,0)</f>
        <v>46233</v>
      </c>
      <c r="O883" s="20">
        <f>VLOOKUP(E883,[1]Diccionario!C$2:AC$150,26,0)</f>
        <v>5.97</v>
      </c>
      <c r="P883" s="20">
        <f t="shared" ca="1" si="156"/>
        <v>-3.9699999999999998</v>
      </c>
      <c r="Q883" s="20">
        <f t="shared" ca="1" si="167"/>
        <v>2</v>
      </c>
      <c r="R883" s="15">
        <v>6</v>
      </c>
      <c r="S883" s="21">
        <v>0.2</v>
      </c>
      <c r="T883" s="21"/>
      <c r="U883" s="22"/>
      <c r="V883" s="24"/>
      <c r="W883" s="24">
        <f t="shared" si="157"/>
        <v>0</v>
      </c>
      <c r="X883" s="24">
        <f t="shared" si="158"/>
        <v>111863270.80000001</v>
      </c>
      <c r="Y883" s="24">
        <f t="shared" si="159"/>
        <v>0</v>
      </c>
      <c r="Z883" s="24">
        <f t="shared" si="160"/>
        <v>-111863270.80000001</v>
      </c>
      <c r="AA883" s="25" t="str">
        <f t="shared" si="161"/>
        <v>No se realizó gasto en este corte</v>
      </c>
      <c r="AB883" s="26" t="str">
        <f t="shared" si="162"/>
        <v>Costo eficiente: se está gastando menos de lo presupuestado</v>
      </c>
      <c r="AC883" s="26">
        <f t="shared" si="163"/>
        <v>0</v>
      </c>
      <c r="AD883" s="26" t="str">
        <f t="shared" si="164"/>
        <v>Sin Línea Base</v>
      </c>
      <c r="AE883" s="27">
        <f t="shared" si="165"/>
        <v>0</v>
      </c>
      <c r="AF883" s="27">
        <f t="shared" si="166"/>
        <v>-559316354</v>
      </c>
      <c r="AG883" s="28" t="str">
        <f>VLOOKUP(Indicador!E915,[1]Diccionario!C$1:AC$150,27,0)</f>
        <v>https://growdatasas.sharepoint.com/:x:/r/sites/Gestiondocumental/Administrativa/GD/Financiera/_layouts/15/Doc.aspx?sourcedoc=%7B69FFBD03-5B13-48F9-8F84-54729A673BE7%7D&amp;file=MODELO%20FINANCIERO%20PREVISORA.xlsm&amp;action=default&amp;mobileredirect=true</v>
      </c>
      <c r="AH883" s="28">
        <v>1</v>
      </c>
      <c r="AI883" s="28">
        <v>1</v>
      </c>
      <c r="AJ883" s="28"/>
      <c r="AK883" s="28"/>
    </row>
    <row r="884" spans="1:37" ht="18.75" customHeight="1" x14ac:dyDescent="0.25">
      <c r="A884" s="11">
        <v>2026</v>
      </c>
      <c r="B884" s="12" t="s">
        <v>49</v>
      </c>
      <c r="C884" s="15" t="s">
        <v>490</v>
      </c>
      <c r="D884" s="39">
        <v>46048.919891203703</v>
      </c>
      <c r="E884" s="15" t="s">
        <v>491</v>
      </c>
      <c r="F884" s="15" t="s">
        <v>151</v>
      </c>
      <c r="G884" s="15" t="s">
        <v>492</v>
      </c>
      <c r="H884" s="15" t="s">
        <v>493</v>
      </c>
      <c r="I884" s="15" t="s">
        <v>63</v>
      </c>
      <c r="J884" s="15" t="s">
        <v>494</v>
      </c>
      <c r="K884" s="15" t="s">
        <v>291</v>
      </c>
      <c r="L884" s="17">
        <f>VLOOKUP(E884,[1]Diccionario!C$2:AC$150,22,0)</f>
        <v>559316354</v>
      </c>
      <c r="M884" s="18">
        <f>VLOOKUP(E884,[1]Diccionario!C$2:AC$150,24,0)</f>
        <v>46054</v>
      </c>
      <c r="N884" s="19">
        <f>VLOOKUP(E884,[1]Diccionario!C$2:AC$150,25,0)</f>
        <v>46233</v>
      </c>
      <c r="O884" s="20">
        <f>VLOOKUP(E884,[1]Diccionario!C$2:AC$150,26,0)</f>
        <v>5.97</v>
      </c>
      <c r="P884" s="20">
        <f t="shared" ca="1" si="156"/>
        <v>-3.9699999999999998</v>
      </c>
      <c r="Q884" s="20">
        <f t="shared" ca="1" si="167"/>
        <v>2</v>
      </c>
      <c r="R884" s="15">
        <v>6</v>
      </c>
      <c r="S884" s="21">
        <v>0.4</v>
      </c>
      <c r="T884" s="21"/>
      <c r="U884" s="22"/>
      <c r="V884" s="24"/>
      <c r="W884" s="24">
        <f t="shared" si="157"/>
        <v>0</v>
      </c>
      <c r="X884" s="24">
        <f t="shared" si="158"/>
        <v>223726541.60000002</v>
      </c>
      <c r="Y884" s="24">
        <f t="shared" si="159"/>
        <v>0</v>
      </c>
      <c r="Z884" s="24">
        <f t="shared" si="160"/>
        <v>-223726541.60000002</v>
      </c>
      <c r="AA884" s="25" t="str">
        <f t="shared" si="161"/>
        <v>No se realizó gasto en este corte</v>
      </c>
      <c r="AB884" s="26" t="str">
        <f t="shared" si="162"/>
        <v>Costo eficiente: se está gastando menos de lo presupuestado</v>
      </c>
      <c r="AC884" s="26">
        <f t="shared" si="163"/>
        <v>0</v>
      </c>
      <c r="AD884" s="26" t="str">
        <f t="shared" si="164"/>
        <v>Sin Línea Base</v>
      </c>
      <c r="AE884" s="27">
        <f t="shared" si="165"/>
        <v>0</v>
      </c>
      <c r="AF884" s="27">
        <f t="shared" si="166"/>
        <v>-559316354</v>
      </c>
      <c r="AG884" s="28" t="str">
        <f>VLOOKUP(Indicador!E916,[1]Diccionario!C$1:AC$150,27,0)</f>
        <v>https://growdatasas.sharepoint.com/:x:/r/sites/Gestiondocumental/Administrativa/GD/Financiera/_layouts/15/Doc.aspx?sourcedoc=%7B69FFBD03-5B13-48F9-8F84-54729A673BE7%7D&amp;file=MODELO%20FINANCIERO%20PREVISORA.xlsm&amp;action=default&amp;mobileredirect=true</v>
      </c>
      <c r="AH884" s="28">
        <v>1</v>
      </c>
      <c r="AI884" s="28">
        <v>1</v>
      </c>
      <c r="AJ884" s="28"/>
      <c r="AK884" s="28"/>
    </row>
    <row r="885" spans="1:37" ht="18.75" customHeight="1" x14ac:dyDescent="0.25">
      <c r="A885" s="11">
        <v>2026</v>
      </c>
      <c r="B885" s="12" t="s">
        <v>50</v>
      </c>
      <c r="C885" s="15" t="s">
        <v>490</v>
      </c>
      <c r="D885" s="39">
        <v>46048.919891203703</v>
      </c>
      <c r="E885" s="15" t="s">
        <v>491</v>
      </c>
      <c r="F885" s="15" t="s">
        <v>151</v>
      </c>
      <c r="G885" s="15" t="s">
        <v>492</v>
      </c>
      <c r="H885" s="15" t="s">
        <v>493</v>
      </c>
      <c r="I885" s="15" t="s">
        <v>63</v>
      </c>
      <c r="J885" s="15" t="s">
        <v>494</v>
      </c>
      <c r="K885" s="15" t="s">
        <v>291</v>
      </c>
      <c r="L885" s="17">
        <f>VLOOKUP(E885,[1]Diccionario!C$2:AC$150,22,0)</f>
        <v>559316354</v>
      </c>
      <c r="M885" s="18">
        <f>VLOOKUP(E885,[1]Diccionario!C$2:AC$150,24,0)</f>
        <v>46054</v>
      </c>
      <c r="N885" s="19">
        <f>VLOOKUP(E885,[1]Diccionario!C$2:AC$150,25,0)</f>
        <v>46233</v>
      </c>
      <c r="O885" s="20">
        <f>VLOOKUP(E885,[1]Diccionario!C$2:AC$150,26,0)</f>
        <v>5.97</v>
      </c>
      <c r="P885" s="20">
        <f t="shared" ca="1" si="156"/>
        <v>-3.9699999999999998</v>
      </c>
      <c r="Q885" s="20">
        <f t="shared" ca="1" si="167"/>
        <v>2</v>
      </c>
      <c r="R885" s="15">
        <v>6</v>
      </c>
      <c r="S885" s="21">
        <v>0.6</v>
      </c>
      <c r="T885" s="21"/>
      <c r="U885" s="22"/>
      <c r="V885" s="24"/>
      <c r="W885" s="24">
        <f t="shared" si="157"/>
        <v>0</v>
      </c>
      <c r="X885" s="24">
        <f t="shared" si="158"/>
        <v>335589812.39999998</v>
      </c>
      <c r="Y885" s="24">
        <f t="shared" si="159"/>
        <v>0</v>
      </c>
      <c r="Z885" s="24">
        <f t="shared" si="160"/>
        <v>-335589812.39999998</v>
      </c>
      <c r="AA885" s="25" t="str">
        <f t="shared" si="161"/>
        <v>No se realizó gasto en este corte</v>
      </c>
      <c r="AB885" s="26" t="str">
        <f t="shared" si="162"/>
        <v>Costo eficiente: se está gastando menos de lo presupuestado</v>
      </c>
      <c r="AC885" s="26">
        <f t="shared" si="163"/>
        <v>0</v>
      </c>
      <c r="AD885" s="26" t="str">
        <f t="shared" si="164"/>
        <v>Sin Línea Base</v>
      </c>
      <c r="AE885" s="27">
        <f t="shared" si="165"/>
        <v>0</v>
      </c>
      <c r="AF885" s="27">
        <f t="shared" si="166"/>
        <v>-559316354</v>
      </c>
      <c r="AG885" s="28" t="str">
        <f>VLOOKUP(Indicador!E917,[1]Diccionario!C$1:AC$150,27,0)</f>
        <v>https://growdatasas.sharepoint.com/:x:/r/sites/Gestiondocumental/Administrativa/GD/Financiera/_layouts/15/Doc.aspx?sourcedoc=%7B69FFBD03-5B13-48F9-8F84-54729A673BE7%7D&amp;file=MODELO%20FINANCIERO%20PREVISORA.xlsm&amp;action=default&amp;mobileredirect=true</v>
      </c>
      <c r="AH885" s="28">
        <v>1</v>
      </c>
      <c r="AI885" s="28">
        <v>1</v>
      </c>
      <c r="AJ885" s="28"/>
      <c r="AK885" s="28"/>
    </row>
    <row r="886" spans="1:37" ht="18.75" customHeight="1" x14ac:dyDescent="0.25">
      <c r="A886" s="11">
        <v>2026</v>
      </c>
      <c r="B886" s="12" t="s">
        <v>51</v>
      </c>
      <c r="C886" s="15" t="s">
        <v>490</v>
      </c>
      <c r="D886" s="39">
        <v>46048.919891203703</v>
      </c>
      <c r="E886" s="15" t="s">
        <v>491</v>
      </c>
      <c r="F886" s="15" t="s">
        <v>151</v>
      </c>
      <c r="G886" s="15" t="s">
        <v>492</v>
      </c>
      <c r="H886" s="15" t="s">
        <v>493</v>
      </c>
      <c r="I886" s="15" t="s">
        <v>63</v>
      </c>
      <c r="J886" s="15" t="s">
        <v>494</v>
      </c>
      <c r="K886" s="15" t="s">
        <v>291</v>
      </c>
      <c r="L886" s="17">
        <f>VLOOKUP(E886,[1]Diccionario!C$2:AC$150,22,0)</f>
        <v>559316354</v>
      </c>
      <c r="M886" s="18">
        <f>VLOOKUP(E886,[1]Diccionario!C$2:AC$150,24,0)</f>
        <v>46054</v>
      </c>
      <c r="N886" s="19">
        <f>VLOOKUP(E886,[1]Diccionario!C$2:AC$150,25,0)</f>
        <v>46233</v>
      </c>
      <c r="O886" s="20">
        <f>VLOOKUP(E886,[1]Diccionario!C$2:AC$150,26,0)</f>
        <v>5.97</v>
      </c>
      <c r="P886" s="20">
        <f t="shared" ca="1" si="156"/>
        <v>-3.9699999999999998</v>
      </c>
      <c r="Q886" s="20">
        <f t="shared" ca="1" si="167"/>
        <v>2</v>
      </c>
      <c r="R886" s="15">
        <v>6</v>
      </c>
      <c r="S886" s="21">
        <v>0.8</v>
      </c>
      <c r="T886" s="21"/>
      <c r="U886" s="22"/>
      <c r="V886" s="24"/>
      <c r="W886" s="24">
        <f t="shared" si="157"/>
        <v>0</v>
      </c>
      <c r="X886" s="24">
        <f t="shared" si="158"/>
        <v>447453083.20000005</v>
      </c>
      <c r="Y886" s="24">
        <f t="shared" si="159"/>
        <v>0</v>
      </c>
      <c r="Z886" s="24">
        <f t="shared" si="160"/>
        <v>-447453083.20000005</v>
      </c>
      <c r="AA886" s="25" t="str">
        <f t="shared" si="161"/>
        <v>No se realizó gasto en este corte</v>
      </c>
      <c r="AB886" s="26" t="str">
        <f t="shared" si="162"/>
        <v>Costo eficiente: se está gastando menos de lo presupuestado</v>
      </c>
      <c r="AC886" s="26">
        <f t="shared" si="163"/>
        <v>0</v>
      </c>
      <c r="AD886" s="26" t="str">
        <f t="shared" si="164"/>
        <v>Sin Línea Base</v>
      </c>
      <c r="AE886" s="27">
        <f t="shared" si="165"/>
        <v>0</v>
      </c>
      <c r="AF886" s="27">
        <f t="shared" si="166"/>
        <v>-559316354</v>
      </c>
      <c r="AG886" s="28" t="str">
        <f>VLOOKUP(Indicador!E918,[1]Diccionario!C$1:AC$150,27,0)</f>
        <v>https://growdatasas.sharepoint.com/:x:/r/sites/Gestiondocumental/Administrativa/GD/Financiera/_layouts/15/Doc.aspx?sourcedoc=%7B69FFBD03-5B13-48F9-8F84-54729A673BE7%7D&amp;file=MODELO%20FINANCIERO%20PREVISORA.xlsm&amp;action=default&amp;mobileredirect=true</v>
      </c>
      <c r="AH886" s="28">
        <v>1</v>
      </c>
      <c r="AI886" s="28">
        <v>1</v>
      </c>
      <c r="AJ886" s="28"/>
      <c r="AK886" s="28"/>
    </row>
    <row r="887" spans="1:37" ht="18.75" customHeight="1" x14ac:dyDescent="0.25">
      <c r="A887" s="11">
        <v>2026</v>
      </c>
      <c r="B887" s="12" t="s">
        <v>52</v>
      </c>
      <c r="C887" s="15" t="s">
        <v>490</v>
      </c>
      <c r="D887" s="39">
        <v>46048.919891203703</v>
      </c>
      <c r="E887" s="15" t="s">
        <v>491</v>
      </c>
      <c r="F887" s="15" t="s">
        <v>151</v>
      </c>
      <c r="G887" s="15" t="s">
        <v>492</v>
      </c>
      <c r="H887" s="15" t="s">
        <v>493</v>
      </c>
      <c r="I887" s="15" t="s">
        <v>63</v>
      </c>
      <c r="J887" s="15" t="s">
        <v>494</v>
      </c>
      <c r="K887" s="15" t="s">
        <v>291</v>
      </c>
      <c r="L887" s="17">
        <f>VLOOKUP(E887,[1]Diccionario!C$2:AC$150,22,0)</f>
        <v>559316354</v>
      </c>
      <c r="M887" s="18">
        <f>VLOOKUP(E887,[1]Diccionario!C$2:AC$150,24,0)</f>
        <v>46054</v>
      </c>
      <c r="N887" s="19">
        <f>VLOOKUP(E887,[1]Diccionario!C$2:AC$150,25,0)</f>
        <v>46233</v>
      </c>
      <c r="O887" s="20">
        <f>VLOOKUP(E887,[1]Diccionario!C$2:AC$150,26,0)</f>
        <v>5.97</v>
      </c>
      <c r="P887" s="20">
        <f t="shared" ca="1" si="156"/>
        <v>-3.9699999999999998</v>
      </c>
      <c r="Q887" s="20">
        <f t="shared" ca="1" si="167"/>
        <v>2</v>
      </c>
      <c r="R887" s="15">
        <v>6</v>
      </c>
      <c r="S887" s="21">
        <v>1</v>
      </c>
      <c r="T887" s="21"/>
      <c r="U887" s="22"/>
      <c r="V887" s="24"/>
      <c r="W887" s="24">
        <f t="shared" si="157"/>
        <v>0</v>
      </c>
      <c r="X887" s="24">
        <f t="shared" si="158"/>
        <v>559316354</v>
      </c>
      <c r="Y887" s="24">
        <f t="shared" si="159"/>
        <v>0</v>
      </c>
      <c r="Z887" s="24">
        <f t="shared" si="160"/>
        <v>-559316354</v>
      </c>
      <c r="AA887" s="25" t="str">
        <f t="shared" si="161"/>
        <v>No se realizó gasto en este corte</v>
      </c>
      <c r="AB887" s="26" t="str">
        <f t="shared" si="162"/>
        <v>Costo eficiente: se está gastando menos de lo presupuestado</v>
      </c>
      <c r="AC887" s="26">
        <f t="shared" si="163"/>
        <v>0</v>
      </c>
      <c r="AD887" s="26" t="str">
        <f t="shared" si="164"/>
        <v>Sin Línea Base</v>
      </c>
      <c r="AE887" s="27">
        <f t="shared" si="165"/>
        <v>0</v>
      </c>
      <c r="AF887" s="27">
        <f t="shared" si="166"/>
        <v>-559316354</v>
      </c>
      <c r="AG887" s="28" t="str">
        <f>VLOOKUP(Indicador!E919,[1]Diccionario!C$1:AC$150,27,0)</f>
        <v>https://growdatasas.sharepoint.com/:x:/r/sites/Gestiondocumental/Administrativa/GD/Financiera/_layouts/15/Doc.aspx?sourcedoc=%7B69FFBD03-5B13-48F9-8F84-54729A673BE7%7D&amp;file=MODELO%20FINANCIERO%20PREVISORA.xlsm&amp;action=default&amp;mobileredirect=true</v>
      </c>
      <c r="AH887" s="28">
        <v>1</v>
      </c>
      <c r="AI887" s="28">
        <v>1</v>
      </c>
      <c r="AJ887" s="28"/>
      <c r="AK887" s="28"/>
    </row>
    <row r="888" spans="1:37" ht="18.75" customHeight="1" x14ac:dyDescent="0.25">
      <c r="A888" s="64">
        <v>2026</v>
      </c>
      <c r="B888" s="65" t="s">
        <v>37</v>
      </c>
      <c r="C888" s="66" t="s">
        <v>495</v>
      </c>
      <c r="D888" s="67">
        <v>46051.084417627317</v>
      </c>
      <c r="E888" s="66" t="s">
        <v>496</v>
      </c>
      <c r="F888" s="66" t="s">
        <v>40</v>
      </c>
      <c r="G888" s="66" t="s">
        <v>497</v>
      </c>
      <c r="H888" s="66" t="s">
        <v>498</v>
      </c>
      <c r="I888" s="66" t="s">
        <v>43</v>
      </c>
      <c r="J888" s="66" t="s">
        <v>438</v>
      </c>
      <c r="K888" s="66" t="s">
        <v>45</v>
      </c>
      <c r="L888" s="68">
        <f>VLOOKUP(E888,[1]Diccionario!C$2:AC$150,22,0)</f>
        <v>950366338</v>
      </c>
      <c r="M888" s="69">
        <f>VLOOKUP(E888,[1]Diccionario!C$2:AC$150,24,0)</f>
        <v>46045</v>
      </c>
      <c r="N888" s="70">
        <f>VLOOKUP(E888,[1]Diccionario!C$2:AC$150,25,0)</f>
        <v>46591</v>
      </c>
      <c r="O888" s="71">
        <f>VLOOKUP(E888,[1]Diccionario!C$2:AC$150,26,0)</f>
        <v>18</v>
      </c>
      <c r="P888" s="71">
        <f t="shared" si="156"/>
        <v>-17</v>
      </c>
      <c r="Q888" s="71">
        <v>1</v>
      </c>
      <c r="R888" s="66">
        <v>18</v>
      </c>
      <c r="S888" s="72">
        <v>0.1</v>
      </c>
      <c r="T888" s="72">
        <v>0.1</v>
      </c>
      <c r="U888" s="73">
        <f>TablaIndicador[[#This Row],[Costo Mensual]]</f>
        <v>0</v>
      </c>
      <c r="V888" s="73">
        <v>0</v>
      </c>
      <c r="W888" s="73">
        <f t="shared" si="157"/>
        <v>95036633.800000012</v>
      </c>
      <c r="X888" s="73">
        <f t="shared" si="158"/>
        <v>95036633.800000012</v>
      </c>
      <c r="Y888" s="73">
        <f t="shared" si="159"/>
        <v>95036633.800000012</v>
      </c>
      <c r="Z888" s="73">
        <f t="shared" si="160"/>
        <v>0</v>
      </c>
      <c r="AA888" s="75" t="str">
        <f t="shared" si="161"/>
        <v>No se realizó gasto en este corte</v>
      </c>
      <c r="AB888" s="76" t="str">
        <f t="shared" si="162"/>
        <v>Costo eficiente: se está gastando menos de lo presupuestado</v>
      </c>
      <c r="AC888" s="76">
        <f t="shared" si="163"/>
        <v>1</v>
      </c>
      <c r="AD888" s="76" t="str">
        <f t="shared" si="164"/>
        <v>Proyecto a tiempo según lo planificado</v>
      </c>
      <c r="AE888" s="77">
        <f t="shared" si="165"/>
        <v>0</v>
      </c>
      <c r="AF888" s="77">
        <f t="shared" si="166"/>
        <v>-950366338</v>
      </c>
      <c r="AG888" s="78" t="str">
        <f>VLOOKUP(Indicador!E868,[1]Diccionario!C$1:AC$150,27,0)</f>
        <v>https://growdatasas.sharepoint.com/:x:/r/sites/Gestiondocumental/Administrativa/GD/Financiera/_layouts/15/Doc.aspx?sourcedoc=%7B9943DCC3-2507-4DCD-B6B6-BEC53480E8BA%7D&amp;file=MODELO%20FINANCIERO%20CNE%20LICENCIAMIENTO.xlsm&amp;action=default&amp;mobileredirect=true</v>
      </c>
      <c r="AH888" s="78">
        <v>1</v>
      </c>
      <c r="AI888" s="78">
        <v>1</v>
      </c>
      <c r="AJ888" s="78"/>
      <c r="AK888" s="78" t="s">
        <v>319</v>
      </c>
    </row>
    <row r="889" spans="1:37" ht="18.75" customHeight="1" x14ac:dyDescent="0.25">
      <c r="A889" s="64">
        <v>2026</v>
      </c>
      <c r="B889" s="65" t="s">
        <v>47</v>
      </c>
      <c r="C889" s="66" t="s">
        <v>495</v>
      </c>
      <c r="D889" s="67">
        <v>46051.084417627317</v>
      </c>
      <c r="E889" s="66" t="s">
        <v>496</v>
      </c>
      <c r="F889" s="66" t="s">
        <v>40</v>
      </c>
      <c r="G889" s="66" t="s">
        <v>497</v>
      </c>
      <c r="H889" s="66" t="s">
        <v>498</v>
      </c>
      <c r="I889" s="66" t="s">
        <v>43</v>
      </c>
      <c r="J889" s="66" t="s">
        <v>438</v>
      </c>
      <c r="K889" s="66" t="s">
        <v>45</v>
      </c>
      <c r="L889" s="68">
        <f>VLOOKUP(E889,[1]Diccionario!C$2:AC$150,22,0)</f>
        <v>950366338</v>
      </c>
      <c r="M889" s="69">
        <f>VLOOKUP(E889,[1]Diccionario!C$2:AC$150,24,0)</f>
        <v>46045</v>
      </c>
      <c r="N889" s="70">
        <f>VLOOKUP(E889,[1]Diccionario!C$2:AC$150,25,0)</f>
        <v>46591</v>
      </c>
      <c r="O889" s="71">
        <f>VLOOKUP(E889,[1]Diccionario!C$2:AC$150,26,0)</f>
        <v>18</v>
      </c>
      <c r="P889" s="71">
        <f t="shared" ca="1" si="156"/>
        <v>-16</v>
      </c>
      <c r="Q889" s="71">
        <f t="shared" ref="Q889:Q906" ca="1" si="168">DATEDIF(M889,TODAY(),"m")</f>
        <v>2</v>
      </c>
      <c r="R889" s="66">
        <v>18</v>
      </c>
      <c r="S889" s="72">
        <v>0.15</v>
      </c>
      <c r="T889" s="72">
        <v>0.15</v>
      </c>
      <c r="U889" s="73">
        <f>U888+TablaIndicador[[#This Row],[Costo Mensual]]</f>
        <v>0</v>
      </c>
      <c r="V889" s="73">
        <v>0</v>
      </c>
      <c r="W889" s="73">
        <f t="shared" si="157"/>
        <v>142554950.69999999</v>
      </c>
      <c r="X889" s="73">
        <f t="shared" si="158"/>
        <v>142554950.69999999</v>
      </c>
      <c r="Y889" s="73">
        <f t="shared" si="159"/>
        <v>142554950.69999999</v>
      </c>
      <c r="Z889" s="73">
        <f t="shared" si="160"/>
        <v>0</v>
      </c>
      <c r="AA889" s="75" t="str">
        <f t="shared" si="161"/>
        <v>No se realizó gasto en este corte</v>
      </c>
      <c r="AB889" s="76" t="str">
        <f t="shared" si="162"/>
        <v>Costo eficiente: se está gastando menos de lo presupuestado</v>
      </c>
      <c r="AC889" s="76">
        <f t="shared" si="163"/>
        <v>1</v>
      </c>
      <c r="AD889" s="76" t="str">
        <f t="shared" si="164"/>
        <v>Proyecto a tiempo según lo planificado</v>
      </c>
      <c r="AE889" s="77">
        <f t="shared" si="165"/>
        <v>0</v>
      </c>
      <c r="AF889" s="77">
        <f t="shared" si="166"/>
        <v>-950366338</v>
      </c>
      <c r="AG889" s="78" t="str">
        <f>VLOOKUP(Indicador!E870,[1]Diccionario!C$1:AC$150,27,0)</f>
        <v>https://growdatasas.sharepoint.com/sites/pwa/ADRES-MEGA HOPEX 2026</v>
      </c>
      <c r="AH889" s="78">
        <v>1</v>
      </c>
      <c r="AI889" s="78">
        <v>1</v>
      </c>
      <c r="AJ889" s="78"/>
      <c r="AK889" s="78" t="s">
        <v>319</v>
      </c>
    </row>
    <row r="890" spans="1:37" ht="18.75" customHeight="1" x14ac:dyDescent="0.25">
      <c r="A890" s="64">
        <v>2026</v>
      </c>
      <c r="B890" s="65" t="s">
        <v>48</v>
      </c>
      <c r="C890" s="66" t="s">
        <v>495</v>
      </c>
      <c r="D890" s="67">
        <v>46051.084417627317</v>
      </c>
      <c r="E890" s="66" t="s">
        <v>496</v>
      </c>
      <c r="F890" s="66" t="s">
        <v>40</v>
      </c>
      <c r="G890" s="66" t="s">
        <v>497</v>
      </c>
      <c r="H890" s="66" t="s">
        <v>498</v>
      </c>
      <c r="I890" s="66" t="s">
        <v>43</v>
      </c>
      <c r="J890" s="66" t="s">
        <v>438</v>
      </c>
      <c r="K890" s="66" t="s">
        <v>45</v>
      </c>
      <c r="L890" s="68">
        <f>VLOOKUP(E890,[1]Diccionario!C$2:AC$150,22,0)</f>
        <v>950366338</v>
      </c>
      <c r="M890" s="69">
        <f>VLOOKUP(E890,[1]Diccionario!C$2:AC$150,24,0)</f>
        <v>46045</v>
      </c>
      <c r="N890" s="70">
        <f>VLOOKUP(E890,[1]Diccionario!C$2:AC$150,25,0)</f>
        <v>46591</v>
      </c>
      <c r="O890" s="71">
        <f>VLOOKUP(E890,[1]Diccionario!C$2:AC$150,26,0)</f>
        <v>18</v>
      </c>
      <c r="P890" s="71">
        <f t="shared" ca="1" si="156"/>
        <v>-16</v>
      </c>
      <c r="Q890" s="71">
        <f t="shared" ca="1" si="168"/>
        <v>2</v>
      </c>
      <c r="R890" s="66">
        <v>18</v>
      </c>
      <c r="S890" s="72">
        <v>0.2</v>
      </c>
      <c r="T890" s="72"/>
      <c r="U890" s="73">
        <f>U889+TablaIndicador[[#This Row],[Costo Mensual]]</f>
        <v>0</v>
      </c>
      <c r="V890" s="73">
        <v>0</v>
      </c>
      <c r="W890" s="73">
        <f t="shared" si="157"/>
        <v>0</v>
      </c>
      <c r="X890" s="73">
        <f t="shared" si="158"/>
        <v>190073267.60000002</v>
      </c>
      <c r="Y890" s="73">
        <f t="shared" si="159"/>
        <v>0</v>
      </c>
      <c r="Z890" s="73">
        <f t="shared" si="160"/>
        <v>-190073267.60000002</v>
      </c>
      <c r="AA890" s="75" t="str">
        <f t="shared" si="161"/>
        <v>No se realizó gasto en este corte</v>
      </c>
      <c r="AB890" s="76" t="str">
        <f t="shared" si="162"/>
        <v>Costo eficiente: se está gastando menos de lo presupuestado</v>
      </c>
      <c r="AC890" s="76">
        <f t="shared" si="163"/>
        <v>0</v>
      </c>
      <c r="AD890" s="76" t="str">
        <f t="shared" si="164"/>
        <v>Sin Línea Base</v>
      </c>
      <c r="AE890" s="77">
        <f t="shared" si="165"/>
        <v>0</v>
      </c>
      <c r="AF890" s="77">
        <f t="shared" si="166"/>
        <v>-950366338</v>
      </c>
      <c r="AG890" s="78" t="str">
        <f>VLOOKUP(Indicador!E871,[1]Diccionario!C$1:AC$150,27,0)</f>
        <v>https://growdatasas.sharepoint.com/sites/pwa/ADRES-MEGA HOPEX 2026</v>
      </c>
      <c r="AH890" s="78">
        <v>1</v>
      </c>
      <c r="AI890" s="78">
        <v>1</v>
      </c>
      <c r="AJ890" s="78"/>
      <c r="AK890" s="78" t="s">
        <v>319</v>
      </c>
    </row>
    <row r="891" spans="1:37" ht="18.75" customHeight="1" x14ac:dyDescent="0.25">
      <c r="A891" s="64">
        <v>2026</v>
      </c>
      <c r="B891" s="65" t="s">
        <v>49</v>
      </c>
      <c r="C891" s="66" t="s">
        <v>495</v>
      </c>
      <c r="D891" s="67">
        <v>46051.084417627317</v>
      </c>
      <c r="E891" s="66" t="s">
        <v>496</v>
      </c>
      <c r="F891" s="66" t="s">
        <v>40</v>
      </c>
      <c r="G891" s="66" t="s">
        <v>497</v>
      </c>
      <c r="H891" s="66" t="s">
        <v>498</v>
      </c>
      <c r="I891" s="66" t="s">
        <v>43</v>
      </c>
      <c r="J891" s="66" t="s">
        <v>438</v>
      </c>
      <c r="K891" s="66" t="s">
        <v>45</v>
      </c>
      <c r="L891" s="68">
        <f>VLOOKUP(E891,[1]Diccionario!C$2:AC$150,22,0)</f>
        <v>950366338</v>
      </c>
      <c r="M891" s="69">
        <f>VLOOKUP(E891,[1]Diccionario!C$2:AC$150,24,0)</f>
        <v>46045</v>
      </c>
      <c r="N891" s="70">
        <f>VLOOKUP(E891,[1]Diccionario!C$2:AC$150,25,0)</f>
        <v>46591</v>
      </c>
      <c r="O891" s="71">
        <f>VLOOKUP(E891,[1]Diccionario!C$2:AC$150,26,0)</f>
        <v>18</v>
      </c>
      <c r="P891" s="71">
        <f t="shared" ca="1" si="156"/>
        <v>-16</v>
      </c>
      <c r="Q891" s="71">
        <f t="shared" ca="1" si="168"/>
        <v>2</v>
      </c>
      <c r="R891" s="66">
        <v>18</v>
      </c>
      <c r="S891" s="72">
        <v>0.25</v>
      </c>
      <c r="T891" s="72"/>
      <c r="U891" s="73">
        <f>U890+TablaIndicador[[#This Row],[Costo Mensual]]</f>
        <v>0</v>
      </c>
      <c r="V891" s="73">
        <v>0</v>
      </c>
      <c r="W891" s="73">
        <f t="shared" si="157"/>
        <v>0</v>
      </c>
      <c r="X891" s="73">
        <f t="shared" si="158"/>
        <v>237591584.5</v>
      </c>
      <c r="Y891" s="73">
        <f t="shared" si="159"/>
        <v>0</v>
      </c>
      <c r="Z891" s="73">
        <f t="shared" si="160"/>
        <v>-237591584.5</v>
      </c>
      <c r="AA891" s="75" t="str">
        <f t="shared" si="161"/>
        <v>No se realizó gasto en este corte</v>
      </c>
      <c r="AB891" s="76" t="str">
        <f t="shared" si="162"/>
        <v>Costo eficiente: se está gastando menos de lo presupuestado</v>
      </c>
      <c r="AC891" s="76">
        <f t="shared" si="163"/>
        <v>0</v>
      </c>
      <c r="AD891" s="76" t="str">
        <f t="shared" si="164"/>
        <v>Sin Línea Base</v>
      </c>
      <c r="AE891" s="77">
        <f t="shared" si="165"/>
        <v>0</v>
      </c>
      <c r="AF891" s="77">
        <f t="shared" si="166"/>
        <v>-950366338</v>
      </c>
      <c r="AG891" s="78" t="str">
        <f>VLOOKUP(Indicador!E872,[1]Diccionario!C$1:AC$150,27,0)</f>
        <v>https://growdatasas.sharepoint.com/sites/pwa/ADRES-MEGA HOPEX 2026</v>
      </c>
      <c r="AH891" s="78">
        <v>1</v>
      </c>
      <c r="AI891" s="78">
        <v>1</v>
      </c>
      <c r="AJ891" s="78"/>
      <c r="AK891" s="78" t="s">
        <v>319</v>
      </c>
    </row>
    <row r="892" spans="1:37" ht="18.75" customHeight="1" x14ac:dyDescent="0.25">
      <c r="A892" s="64">
        <v>2026</v>
      </c>
      <c r="B892" s="65" t="s">
        <v>50</v>
      </c>
      <c r="C892" s="66" t="s">
        <v>495</v>
      </c>
      <c r="D892" s="67">
        <v>46051.084417627317</v>
      </c>
      <c r="E892" s="66" t="s">
        <v>496</v>
      </c>
      <c r="F892" s="66" t="s">
        <v>40</v>
      </c>
      <c r="G892" s="66" t="s">
        <v>497</v>
      </c>
      <c r="H892" s="66" t="s">
        <v>498</v>
      </c>
      <c r="I892" s="66" t="s">
        <v>43</v>
      </c>
      <c r="J892" s="66" t="s">
        <v>438</v>
      </c>
      <c r="K892" s="66" t="s">
        <v>45</v>
      </c>
      <c r="L892" s="68">
        <f>VLOOKUP(E892,[1]Diccionario!C$2:AC$150,22,0)</f>
        <v>950366338</v>
      </c>
      <c r="M892" s="69">
        <f>VLOOKUP(E892,[1]Diccionario!C$2:AC$150,24,0)</f>
        <v>46045</v>
      </c>
      <c r="N892" s="70">
        <f>VLOOKUP(E892,[1]Diccionario!C$2:AC$150,25,0)</f>
        <v>46591</v>
      </c>
      <c r="O892" s="71">
        <f>VLOOKUP(E892,[1]Diccionario!C$2:AC$150,26,0)</f>
        <v>18</v>
      </c>
      <c r="P892" s="71">
        <f t="shared" ca="1" si="156"/>
        <v>-16</v>
      </c>
      <c r="Q892" s="71">
        <f t="shared" ca="1" si="168"/>
        <v>2</v>
      </c>
      <c r="R892" s="66">
        <v>18</v>
      </c>
      <c r="S892" s="72">
        <v>0.3</v>
      </c>
      <c r="T892" s="72"/>
      <c r="U892" s="73">
        <f>U891+TablaIndicador[[#This Row],[Costo Mensual]]</f>
        <v>0</v>
      </c>
      <c r="V892" s="73">
        <v>0</v>
      </c>
      <c r="W892" s="73">
        <f t="shared" si="157"/>
        <v>0</v>
      </c>
      <c r="X892" s="73">
        <f t="shared" si="158"/>
        <v>285109901.39999998</v>
      </c>
      <c r="Y892" s="73">
        <f t="shared" si="159"/>
        <v>0</v>
      </c>
      <c r="Z892" s="73">
        <f t="shared" si="160"/>
        <v>-285109901.39999998</v>
      </c>
      <c r="AA892" s="75" t="str">
        <f t="shared" si="161"/>
        <v>No se realizó gasto en este corte</v>
      </c>
      <c r="AB892" s="76" t="str">
        <f t="shared" si="162"/>
        <v>Costo eficiente: se está gastando menos de lo presupuestado</v>
      </c>
      <c r="AC892" s="76">
        <f t="shared" si="163"/>
        <v>0</v>
      </c>
      <c r="AD892" s="76" t="str">
        <f t="shared" si="164"/>
        <v>Sin Línea Base</v>
      </c>
      <c r="AE892" s="77">
        <f t="shared" si="165"/>
        <v>0</v>
      </c>
      <c r="AF892" s="77">
        <f t="shared" si="166"/>
        <v>-950366338</v>
      </c>
      <c r="AG892" s="78" t="str">
        <f>VLOOKUP(Indicador!E873,[1]Diccionario!C$1:AC$150,27,0)</f>
        <v>https://growdatasas.sharepoint.com/sites/pwa/ADRES-MEGA HOPEX 2026</v>
      </c>
      <c r="AH892" s="78">
        <v>1</v>
      </c>
      <c r="AI892" s="78">
        <v>1</v>
      </c>
      <c r="AJ892" s="78"/>
      <c r="AK892" s="78" t="s">
        <v>319</v>
      </c>
    </row>
    <row r="893" spans="1:37" ht="18.75" customHeight="1" x14ac:dyDescent="0.25">
      <c r="A893" s="64">
        <v>2026</v>
      </c>
      <c r="B893" s="65" t="s">
        <v>51</v>
      </c>
      <c r="C893" s="66" t="s">
        <v>495</v>
      </c>
      <c r="D893" s="67">
        <v>46051.084417627317</v>
      </c>
      <c r="E893" s="66" t="s">
        <v>496</v>
      </c>
      <c r="F893" s="66" t="s">
        <v>40</v>
      </c>
      <c r="G893" s="66" t="s">
        <v>497</v>
      </c>
      <c r="H893" s="66" t="s">
        <v>498</v>
      </c>
      <c r="I893" s="66" t="s">
        <v>43</v>
      </c>
      <c r="J893" s="66" t="s">
        <v>438</v>
      </c>
      <c r="K893" s="66" t="s">
        <v>45</v>
      </c>
      <c r="L893" s="68">
        <f>VLOOKUP(E893,[1]Diccionario!C$2:AC$150,22,0)</f>
        <v>950366338</v>
      </c>
      <c r="M893" s="69">
        <f>VLOOKUP(E893,[1]Diccionario!C$2:AC$150,24,0)</f>
        <v>46045</v>
      </c>
      <c r="N893" s="70">
        <f>VLOOKUP(E893,[1]Diccionario!C$2:AC$150,25,0)</f>
        <v>46591</v>
      </c>
      <c r="O893" s="71">
        <f>VLOOKUP(E893,[1]Diccionario!C$2:AC$150,26,0)</f>
        <v>18</v>
      </c>
      <c r="P893" s="71">
        <f t="shared" ca="1" si="156"/>
        <v>-16</v>
      </c>
      <c r="Q893" s="71">
        <f t="shared" ca="1" si="168"/>
        <v>2</v>
      </c>
      <c r="R893" s="66">
        <v>18</v>
      </c>
      <c r="S893" s="72">
        <v>0.35</v>
      </c>
      <c r="T893" s="72"/>
      <c r="U893" s="73">
        <f>U892+TablaIndicador[[#This Row],[Costo Mensual]]</f>
        <v>0</v>
      </c>
      <c r="V893" s="73">
        <v>0</v>
      </c>
      <c r="W893" s="73">
        <f t="shared" si="157"/>
        <v>0</v>
      </c>
      <c r="X893" s="73">
        <f t="shared" si="158"/>
        <v>332628218.29999995</v>
      </c>
      <c r="Y893" s="73">
        <f t="shared" si="159"/>
        <v>0</v>
      </c>
      <c r="Z893" s="73">
        <f t="shared" si="160"/>
        <v>-332628218.29999995</v>
      </c>
      <c r="AA893" s="75" t="str">
        <f t="shared" si="161"/>
        <v>No se realizó gasto en este corte</v>
      </c>
      <c r="AB893" s="76" t="str">
        <f t="shared" si="162"/>
        <v>Costo eficiente: se está gastando menos de lo presupuestado</v>
      </c>
      <c r="AC893" s="76">
        <f t="shared" si="163"/>
        <v>0</v>
      </c>
      <c r="AD893" s="76" t="str">
        <f t="shared" si="164"/>
        <v>Sin Línea Base</v>
      </c>
      <c r="AE893" s="77">
        <f t="shared" si="165"/>
        <v>0</v>
      </c>
      <c r="AF893" s="77">
        <f t="shared" si="166"/>
        <v>-950366338</v>
      </c>
      <c r="AG893" s="78" t="str">
        <f>VLOOKUP(Indicador!E874,[1]Diccionario!C$1:AC$150,27,0)</f>
        <v>https://growdatasas.sharepoint.com/sites/pwa/ADRES-MEGA HOPEX 2026</v>
      </c>
      <c r="AH893" s="78">
        <v>1</v>
      </c>
      <c r="AI893" s="78">
        <v>1</v>
      </c>
      <c r="AJ893" s="78"/>
      <c r="AK893" s="78" t="s">
        <v>319</v>
      </c>
    </row>
    <row r="894" spans="1:37" ht="18.75" customHeight="1" x14ac:dyDescent="0.25">
      <c r="A894" s="64">
        <v>2026</v>
      </c>
      <c r="B894" s="65" t="s">
        <v>52</v>
      </c>
      <c r="C894" s="66" t="s">
        <v>495</v>
      </c>
      <c r="D894" s="67">
        <v>46051.084417627317</v>
      </c>
      <c r="E894" s="66" t="s">
        <v>496</v>
      </c>
      <c r="F894" s="66" t="s">
        <v>40</v>
      </c>
      <c r="G894" s="66" t="s">
        <v>497</v>
      </c>
      <c r="H894" s="66" t="s">
        <v>498</v>
      </c>
      <c r="I894" s="66" t="s">
        <v>43</v>
      </c>
      <c r="J894" s="66" t="s">
        <v>438</v>
      </c>
      <c r="K894" s="66" t="s">
        <v>45</v>
      </c>
      <c r="L894" s="68">
        <f>VLOOKUP(E894,[1]Diccionario!C$2:AC$150,22,0)</f>
        <v>950366338</v>
      </c>
      <c r="M894" s="69">
        <f>VLOOKUP(E894,[1]Diccionario!C$2:AC$150,24,0)</f>
        <v>46045</v>
      </c>
      <c r="N894" s="70">
        <f>VLOOKUP(E894,[1]Diccionario!C$2:AC$150,25,0)</f>
        <v>46591</v>
      </c>
      <c r="O894" s="71">
        <f>VLOOKUP(E894,[1]Diccionario!C$2:AC$150,26,0)</f>
        <v>18</v>
      </c>
      <c r="P894" s="71">
        <f t="shared" ca="1" si="156"/>
        <v>-16</v>
      </c>
      <c r="Q894" s="71">
        <f t="shared" ca="1" si="168"/>
        <v>2</v>
      </c>
      <c r="R894" s="66">
        <v>18</v>
      </c>
      <c r="S894" s="72">
        <v>0.4</v>
      </c>
      <c r="T894" s="72"/>
      <c r="U894" s="73">
        <f>U893+TablaIndicador[[#This Row],[Costo Mensual]]</f>
        <v>0</v>
      </c>
      <c r="V894" s="73">
        <v>0</v>
      </c>
      <c r="W894" s="73">
        <f t="shared" si="157"/>
        <v>0</v>
      </c>
      <c r="X894" s="73">
        <f t="shared" si="158"/>
        <v>380146535.20000005</v>
      </c>
      <c r="Y894" s="73">
        <f t="shared" si="159"/>
        <v>0</v>
      </c>
      <c r="Z894" s="73">
        <f t="shared" si="160"/>
        <v>-380146535.20000005</v>
      </c>
      <c r="AA894" s="75" t="str">
        <f t="shared" si="161"/>
        <v>No se realizó gasto en este corte</v>
      </c>
      <c r="AB894" s="76" t="str">
        <f t="shared" si="162"/>
        <v>Costo eficiente: se está gastando menos de lo presupuestado</v>
      </c>
      <c r="AC894" s="76">
        <f t="shared" si="163"/>
        <v>0</v>
      </c>
      <c r="AD894" s="76" t="str">
        <f t="shared" si="164"/>
        <v>Sin Línea Base</v>
      </c>
      <c r="AE894" s="77">
        <f t="shared" si="165"/>
        <v>0</v>
      </c>
      <c r="AF894" s="77">
        <f t="shared" si="166"/>
        <v>-950366338</v>
      </c>
      <c r="AG894" s="78" t="str">
        <f>VLOOKUP(Indicador!E875,[1]Diccionario!C$1:AC$150,27,0)</f>
        <v>https://growdatasas.sharepoint.com/sites/pwa/ADRES-MEGA HOPEX 2026</v>
      </c>
      <c r="AH894" s="78">
        <v>1</v>
      </c>
      <c r="AI894" s="78">
        <v>1</v>
      </c>
      <c r="AJ894" s="78"/>
      <c r="AK894" s="78" t="s">
        <v>319</v>
      </c>
    </row>
    <row r="895" spans="1:37" ht="18.75" customHeight="1" x14ac:dyDescent="0.25">
      <c r="A895" s="64">
        <v>2026</v>
      </c>
      <c r="B895" s="65" t="s">
        <v>53</v>
      </c>
      <c r="C895" s="66" t="s">
        <v>495</v>
      </c>
      <c r="D895" s="67">
        <v>46051.084417627317</v>
      </c>
      <c r="E895" s="66" t="s">
        <v>496</v>
      </c>
      <c r="F895" s="66" t="s">
        <v>40</v>
      </c>
      <c r="G895" s="66" t="s">
        <v>497</v>
      </c>
      <c r="H895" s="66" t="s">
        <v>498</v>
      </c>
      <c r="I895" s="66" t="s">
        <v>43</v>
      </c>
      <c r="J895" s="66" t="s">
        <v>438</v>
      </c>
      <c r="K895" s="66" t="s">
        <v>45</v>
      </c>
      <c r="L895" s="68">
        <f>VLOOKUP(E895,[1]Diccionario!C$2:AC$150,22,0)</f>
        <v>950366338</v>
      </c>
      <c r="M895" s="69">
        <f>VLOOKUP(E895,[1]Diccionario!C$2:AC$150,24,0)</f>
        <v>46045</v>
      </c>
      <c r="N895" s="70">
        <f>VLOOKUP(E895,[1]Diccionario!C$2:AC$150,25,0)</f>
        <v>46591</v>
      </c>
      <c r="O895" s="71">
        <f>VLOOKUP(E895,[1]Diccionario!C$2:AC$150,26,0)</f>
        <v>18</v>
      </c>
      <c r="P895" s="71">
        <f t="shared" ref="P895:P946" ca="1" si="169">Q895-O895</f>
        <v>-16</v>
      </c>
      <c r="Q895" s="71">
        <f t="shared" ca="1" si="168"/>
        <v>2</v>
      </c>
      <c r="R895" s="66">
        <v>18</v>
      </c>
      <c r="S895" s="72">
        <v>0.45</v>
      </c>
      <c r="T895" s="72"/>
      <c r="U895" s="73">
        <f>U894+TablaIndicador[[#This Row],[Costo Mensual]]</f>
        <v>0</v>
      </c>
      <c r="V895" s="73">
        <v>0</v>
      </c>
      <c r="W895" s="73">
        <f t="shared" si="157"/>
        <v>0</v>
      </c>
      <c r="X895" s="73">
        <f t="shared" si="158"/>
        <v>427664852.10000002</v>
      </c>
      <c r="Y895" s="73">
        <f t="shared" si="159"/>
        <v>0</v>
      </c>
      <c r="Z895" s="73">
        <f t="shared" si="160"/>
        <v>-427664852.10000002</v>
      </c>
      <c r="AA895" s="75" t="str">
        <f t="shared" si="161"/>
        <v>No se realizó gasto en este corte</v>
      </c>
      <c r="AB895" s="76" t="str">
        <f t="shared" si="162"/>
        <v>Costo eficiente: se está gastando menos de lo presupuestado</v>
      </c>
      <c r="AC895" s="76">
        <f t="shared" si="163"/>
        <v>0</v>
      </c>
      <c r="AD895" s="76" t="str">
        <f t="shared" si="164"/>
        <v>Sin Línea Base</v>
      </c>
      <c r="AE895" s="77">
        <f t="shared" si="165"/>
        <v>0</v>
      </c>
      <c r="AF895" s="77">
        <f t="shared" si="166"/>
        <v>-950366338</v>
      </c>
      <c r="AG895" s="78" t="str">
        <f>VLOOKUP(Indicador!E876,[1]Diccionario!C$1:AC$150,27,0)</f>
        <v>https://growdatasas.sharepoint.com/sites/pwa/ADRES-MEGA HOPEX 2026</v>
      </c>
      <c r="AH895" s="78">
        <v>1</v>
      </c>
      <c r="AI895" s="78">
        <v>1</v>
      </c>
      <c r="AJ895" s="78"/>
      <c r="AK895" s="78" t="s">
        <v>319</v>
      </c>
    </row>
    <row r="896" spans="1:37" ht="18.75" customHeight="1" x14ac:dyDescent="0.25">
      <c r="A896" s="64">
        <v>2026</v>
      </c>
      <c r="B896" s="65" t="s">
        <v>54</v>
      </c>
      <c r="C896" s="66" t="s">
        <v>495</v>
      </c>
      <c r="D896" s="67">
        <v>46051.084417627317</v>
      </c>
      <c r="E896" s="66" t="s">
        <v>496</v>
      </c>
      <c r="F896" s="66" t="s">
        <v>40</v>
      </c>
      <c r="G896" s="66" t="s">
        <v>497</v>
      </c>
      <c r="H896" s="66" t="s">
        <v>498</v>
      </c>
      <c r="I896" s="66" t="s">
        <v>43</v>
      </c>
      <c r="J896" s="66" t="s">
        <v>438</v>
      </c>
      <c r="K896" s="66" t="s">
        <v>45</v>
      </c>
      <c r="L896" s="68">
        <f>VLOOKUP(E896,[1]Diccionario!C$2:AC$150,22,0)</f>
        <v>950366338</v>
      </c>
      <c r="M896" s="69">
        <f>VLOOKUP(E896,[1]Diccionario!C$2:AC$150,24,0)</f>
        <v>46045</v>
      </c>
      <c r="N896" s="70">
        <f>VLOOKUP(E896,[1]Diccionario!C$2:AC$150,25,0)</f>
        <v>46591</v>
      </c>
      <c r="O896" s="71">
        <f>VLOOKUP(E896,[1]Diccionario!C$2:AC$150,26,0)</f>
        <v>18</v>
      </c>
      <c r="P896" s="71">
        <f t="shared" ca="1" si="169"/>
        <v>-16</v>
      </c>
      <c r="Q896" s="71">
        <f t="shared" ca="1" si="168"/>
        <v>2</v>
      </c>
      <c r="R896" s="66">
        <v>18</v>
      </c>
      <c r="S896" s="72">
        <v>0.5</v>
      </c>
      <c r="T896" s="72"/>
      <c r="U896" s="73">
        <f>U895+TablaIndicador[[#This Row],[Costo Mensual]]</f>
        <v>0</v>
      </c>
      <c r="V896" s="73">
        <v>0</v>
      </c>
      <c r="W896" s="73">
        <f t="shared" si="157"/>
        <v>0</v>
      </c>
      <c r="X896" s="73">
        <f t="shared" si="158"/>
        <v>475183169</v>
      </c>
      <c r="Y896" s="73">
        <f t="shared" si="159"/>
        <v>0</v>
      </c>
      <c r="Z896" s="73">
        <f t="shared" si="160"/>
        <v>-475183169</v>
      </c>
      <c r="AA896" s="75" t="str">
        <f t="shared" si="161"/>
        <v>No se realizó gasto en este corte</v>
      </c>
      <c r="AB896" s="76" t="str">
        <f t="shared" si="162"/>
        <v>Costo eficiente: se está gastando menos de lo presupuestado</v>
      </c>
      <c r="AC896" s="76">
        <f t="shared" si="163"/>
        <v>0</v>
      </c>
      <c r="AD896" s="76" t="str">
        <f t="shared" si="164"/>
        <v>Sin Línea Base</v>
      </c>
      <c r="AE896" s="77">
        <f t="shared" si="165"/>
        <v>0</v>
      </c>
      <c r="AF896" s="77">
        <f t="shared" si="166"/>
        <v>-950366338</v>
      </c>
      <c r="AG896" s="78" t="str">
        <f>VLOOKUP(Indicador!E877,[1]Diccionario!C$1:AC$150,27,0)</f>
        <v>https://growdatasas.sharepoint.com/sites/pwa/ADRES-MEGA HOPEX 2026</v>
      </c>
      <c r="AH896" s="78">
        <v>1</v>
      </c>
      <c r="AI896" s="78">
        <v>1</v>
      </c>
      <c r="AJ896" s="78"/>
      <c r="AK896" s="78" t="s">
        <v>319</v>
      </c>
    </row>
    <row r="897" spans="1:37" ht="18.75" customHeight="1" x14ac:dyDescent="0.25">
      <c r="A897" s="64">
        <v>2026</v>
      </c>
      <c r="B897" s="65" t="s">
        <v>55</v>
      </c>
      <c r="C897" s="66" t="s">
        <v>495</v>
      </c>
      <c r="D897" s="67">
        <v>46051.084417627317</v>
      </c>
      <c r="E897" s="66" t="s">
        <v>496</v>
      </c>
      <c r="F897" s="66" t="s">
        <v>40</v>
      </c>
      <c r="G897" s="66" t="s">
        <v>497</v>
      </c>
      <c r="H897" s="66" t="s">
        <v>498</v>
      </c>
      <c r="I897" s="66" t="s">
        <v>43</v>
      </c>
      <c r="J897" s="66" t="s">
        <v>438</v>
      </c>
      <c r="K897" s="66" t="s">
        <v>45</v>
      </c>
      <c r="L897" s="68">
        <f>VLOOKUP(E897,[1]Diccionario!C$2:AC$150,22,0)</f>
        <v>950366338</v>
      </c>
      <c r="M897" s="69">
        <f>VLOOKUP(E897,[1]Diccionario!C$2:AC$150,24,0)</f>
        <v>46045</v>
      </c>
      <c r="N897" s="70">
        <f>VLOOKUP(E897,[1]Diccionario!C$2:AC$150,25,0)</f>
        <v>46591</v>
      </c>
      <c r="O897" s="71">
        <f>VLOOKUP(E897,[1]Diccionario!C$2:AC$150,26,0)</f>
        <v>18</v>
      </c>
      <c r="P897" s="71">
        <f t="shared" ca="1" si="169"/>
        <v>-16</v>
      </c>
      <c r="Q897" s="71">
        <f t="shared" ca="1" si="168"/>
        <v>2</v>
      </c>
      <c r="R897" s="66">
        <v>18</v>
      </c>
      <c r="S897" s="72">
        <v>0.55000000000000004</v>
      </c>
      <c r="T897" s="72"/>
      <c r="U897" s="73">
        <f>U896+TablaIndicador[[#This Row],[Costo Mensual]]</f>
        <v>0</v>
      </c>
      <c r="V897" s="73">
        <v>0</v>
      </c>
      <c r="W897" s="73">
        <f t="shared" si="157"/>
        <v>0</v>
      </c>
      <c r="X897" s="73">
        <f t="shared" si="158"/>
        <v>522701485.90000004</v>
      </c>
      <c r="Y897" s="73">
        <f t="shared" si="159"/>
        <v>0</v>
      </c>
      <c r="Z897" s="73">
        <f t="shared" si="160"/>
        <v>-522701485.90000004</v>
      </c>
      <c r="AA897" s="75" t="str">
        <f t="shared" si="161"/>
        <v>No se realizó gasto en este corte</v>
      </c>
      <c r="AB897" s="76" t="str">
        <f t="shared" si="162"/>
        <v>Costo eficiente: se está gastando menos de lo presupuestado</v>
      </c>
      <c r="AC897" s="76">
        <f t="shared" si="163"/>
        <v>0</v>
      </c>
      <c r="AD897" s="76" t="str">
        <f t="shared" si="164"/>
        <v>Sin Línea Base</v>
      </c>
      <c r="AE897" s="77">
        <f t="shared" si="165"/>
        <v>0</v>
      </c>
      <c r="AF897" s="77">
        <f t="shared" si="166"/>
        <v>-950366338</v>
      </c>
      <c r="AG897" s="78" t="str">
        <f>VLOOKUP(Indicador!E878,[1]Diccionario!C$1:AC$150,27,0)</f>
        <v>https://growdatasas.sharepoint.com/sites/pwa/ADRES-MEGA HOPEX 2026</v>
      </c>
      <c r="AH897" s="78">
        <v>1</v>
      </c>
      <c r="AI897" s="78">
        <v>1</v>
      </c>
      <c r="AJ897" s="78"/>
      <c r="AK897" s="78" t="s">
        <v>319</v>
      </c>
    </row>
    <row r="898" spans="1:37" ht="18.75" customHeight="1" x14ac:dyDescent="0.25">
      <c r="A898" s="64">
        <v>2026</v>
      </c>
      <c r="B898" s="65" t="s">
        <v>56</v>
      </c>
      <c r="C898" s="66" t="s">
        <v>495</v>
      </c>
      <c r="D898" s="67">
        <v>46051.084417627317</v>
      </c>
      <c r="E898" s="66" t="s">
        <v>496</v>
      </c>
      <c r="F898" s="66" t="s">
        <v>40</v>
      </c>
      <c r="G898" s="66" t="s">
        <v>497</v>
      </c>
      <c r="H898" s="66" t="s">
        <v>498</v>
      </c>
      <c r="I898" s="66" t="s">
        <v>43</v>
      </c>
      <c r="J898" s="66" t="s">
        <v>438</v>
      </c>
      <c r="K898" s="66" t="s">
        <v>45</v>
      </c>
      <c r="L898" s="68">
        <f>VLOOKUP(E898,[1]Diccionario!C$2:AC$150,22,0)</f>
        <v>950366338</v>
      </c>
      <c r="M898" s="69">
        <f>VLOOKUP(E898,[1]Diccionario!C$2:AC$150,24,0)</f>
        <v>46045</v>
      </c>
      <c r="N898" s="70">
        <f>VLOOKUP(E898,[1]Diccionario!C$2:AC$150,25,0)</f>
        <v>46591</v>
      </c>
      <c r="O898" s="71">
        <f>VLOOKUP(E898,[1]Diccionario!C$2:AC$150,26,0)</f>
        <v>18</v>
      </c>
      <c r="P898" s="71">
        <f t="shared" ca="1" si="169"/>
        <v>-16</v>
      </c>
      <c r="Q898" s="71">
        <f t="shared" ca="1" si="168"/>
        <v>2</v>
      </c>
      <c r="R898" s="66">
        <v>18</v>
      </c>
      <c r="S898" s="72">
        <v>0.6</v>
      </c>
      <c r="T898" s="72"/>
      <c r="U898" s="73">
        <f>U897+TablaIndicador[[#This Row],[Costo Mensual]]</f>
        <v>0</v>
      </c>
      <c r="V898" s="73">
        <v>0</v>
      </c>
      <c r="W898" s="73">
        <f t="shared" ref="W898:W946" si="170">IFERROR(T898*L898,0)</f>
        <v>0</v>
      </c>
      <c r="X898" s="73">
        <f t="shared" ref="X898:X946" si="171">S898*L898</f>
        <v>570219802.79999995</v>
      </c>
      <c r="Y898" s="73">
        <f t="shared" ref="Y898:Y946" si="172">IFERROR(W898-U898,0)</f>
        <v>0</v>
      </c>
      <c r="Z898" s="73">
        <f t="shared" ref="Z898:Z946" si="173">W898-X898</f>
        <v>-570219802.79999995</v>
      </c>
      <c r="AA898" s="75" t="str">
        <f t="shared" ref="AA898:AA946" si="174">IFERROR(W898/U898,"No se realizó gasto en este corte")</f>
        <v>No se realizó gasto en este corte</v>
      </c>
      <c r="AB898" s="76" t="str">
        <f t="shared" ref="AB898:AB946" si="175">IFERROR(
  IF(OR(AA898="",AA898=0),
    "No calculado",
    IF(AA898&gt;1,"Costo eficiente: se está gastando menos de lo presupuestado",
      IF(AA898=1,"Costo según lo presupuestado",
        "Costo ineficiente: se está gastando más de lo presupuestado"))),
"No calculado")</f>
        <v>Costo eficiente: se está gastando menos de lo presupuestado</v>
      </c>
      <c r="AC898" s="76">
        <f t="shared" ref="AC898:AC946" si="176">IFERROR(W898/X898,0)</f>
        <v>0</v>
      </c>
      <c r="AD898" s="76" t="str">
        <f t="shared" ref="AD898:AD946" si="177">IF(OR(AC898="",AC898=0),"Sin Línea Base",
IF(AC898&gt;1,"Proyecto adelantado respecto al cronograma",
IF(AC898=1,"Proyecto a tiempo según lo planificado",
IF(AC898&lt;1,"Proyecto atrasado con respecto al cronograma",
"No calculado"))))</f>
        <v>Sin Línea Base</v>
      </c>
      <c r="AE898" s="77">
        <f t="shared" ref="AE898:AE946" si="178">IFERROR(L898/AA898,0)</f>
        <v>0</v>
      </c>
      <c r="AF898" s="77">
        <f t="shared" ref="AF898:AF946" si="179">IFERROR(AE898-L898,0)</f>
        <v>-950366338</v>
      </c>
      <c r="AG898" s="78" t="str">
        <f>VLOOKUP(Indicador!E879,[1]Diccionario!C$1:AC$150,27,0)</f>
        <v>https://growdatasas.sharepoint.com/sites/pwa/ADRES-MEGA HOPEX 2026</v>
      </c>
      <c r="AH898" s="78">
        <v>1</v>
      </c>
      <c r="AI898" s="78">
        <v>1</v>
      </c>
      <c r="AJ898" s="78"/>
      <c r="AK898" s="78" t="s">
        <v>319</v>
      </c>
    </row>
    <row r="899" spans="1:37" ht="18.75" customHeight="1" x14ac:dyDescent="0.25">
      <c r="A899" s="64">
        <v>2026</v>
      </c>
      <c r="B899" s="65" t="s">
        <v>57</v>
      </c>
      <c r="C899" s="66" t="s">
        <v>495</v>
      </c>
      <c r="D899" s="67">
        <v>46051.084417627317</v>
      </c>
      <c r="E899" s="66" t="s">
        <v>496</v>
      </c>
      <c r="F899" s="66" t="s">
        <v>40</v>
      </c>
      <c r="G899" s="66" t="s">
        <v>497</v>
      </c>
      <c r="H899" s="66" t="s">
        <v>498</v>
      </c>
      <c r="I899" s="66" t="s">
        <v>43</v>
      </c>
      <c r="J899" s="66" t="s">
        <v>438</v>
      </c>
      <c r="K899" s="66" t="s">
        <v>45</v>
      </c>
      <c r="L899" s="68">
        <f>VLOOKUP(E899,[1]Diccionario!C$2:AC$150,22,0)</f>
        <v>950366338</v>
      </c>
      <c r="M899" s="69">
        <f>VLOOKUP(E899,[1]Diccionario!C$2:AC$150,24,0)</f>
        <v>46045</v>
      </c>
      <c r="N899" s="70">
        <f>VLOOKUP(E899,[1]Diccionario!C$2:AC$150,25,0)</f>
        <v>46591</v>
      </c>
      <c r="O899" s="71">
        <f>VLOOKUP(E899,[1]Diccionario!C$2:AC$150,26,0)</f>
        <v>18</v>
      </c>
      <c r="P899" s="71">
        <f t="shared" ca="1" si="169"/>
        <v>-16</v>
      </c>
      <c r="Q899" s="71">
        <f t="shared" ca="1" si="168"/>
        <v>2</v>
      </c>
      <c r="R899" s="66">
        <v>18</v>
      </c>
      <c r="S899" s="72">
        <v>0.65</v>
      </c>
      <c r="T899" s="72"/>
      <c r="U899" s="73">
        <f>U898+TablaIndicador[[#This Row],[Costo Mensual]]</f>
        <v>0</v>
      </c>
      <c r="V899" s="73">
        <v>0</v>
      </c>
      <c r="W899" s="73">
        <f t="shared" si="170"/>
        <v>0</v>
      </c>
      <c r="X899" s="73">
        <f t="shared" si="171"/>
        <v>617738119.70000005</v>
      </c>
      <c r="Y899" s="73">
        <f t="shared" si="172"/>
        <v>0</v>
      </c>
      <c r="Z899" s="73">
        <f t="shared" si="173"/>
        <v>-617738119.70000005</v>
      </c>
      <c r="AA899" s="75" t="str">
        <f t="shared" si="174"/>
        <v>No se realizó gasto en este corte</v>
      </c>
      <c r="AB899" s="76" t="str">
        <f t="shared" si="175"/>
        <v>Costo eficiente: se está gastando menos de lo presupuestado</v>
      </c>
      <c r="AC899" s="76">
        <f t="shared" si="176"/>
        <v>0</v>
      </c>
      <c r="AD899" s="76" t="str">
        <f t="shared" si="177"/>
        <v>Sin Línea Base</v>
      </c>
      <c r="AE899" s="77">
        <f t="shared" si="178"/>
        <v>0</v>
      </c>
      <c r="AF899" s="77">
        <f t="shared" si="179"/>
        <v>-950366338</v>
      </c>
      <c r="AG899" s="78" t="str">
        <f>VLOOKUP(Indicador!E880,[1]Diccionario!C$1:AC$150,27,0)</f>
        <v>https://growdatasas.sharepoint.com/sites/pwa/ADRES-MEGA HOPEX 2026</v>
      </c>
      <c r="AH899" s="78">
        <v>1</v>
      </c>
      <c r="AI899" s="78">
        <v>1</v>
      </c>
      <c r="AJ899" s="78"/>
      <c r="AK899" s="78" t="s">
        <v>319</v>
      </c>
    </row>
    <row r="900" spans="1:37" ht="18.75" customHeight="1" x14ac:dyDescent="0.25">
      <c r="A900" s="64">
        <v>2027</v>
      </c>
      <c r="B900" s="65" t="s">
        <v>37</v>
      </c>
      <c r="C900" s="66" t="s">
        <v>495</v>
      </c>
      <c r="D900" s="67">
        <v>46051.084417627317</v>
      </c>
      <c r="E900" s="66" t="s">
        <v>496</v>
      </c>
      <c r="F900" s="66" t="s">
        <v>40</v>
      </c>
      <c r="G900" s="66" t="s">
        <v>497</v>
      </c>
      <c r="H900" s="66" t="s">
        <v>498</v>
      </c>
      <c r="I900" s="66" t="s">
        <v>43</v>
      </c>
      <c r="J900" s="66" t="s">
        <v>438</v>
      </c>
      <c r="K900" s="66" t="s">
        <v>45</v>
      </c>
      <c r="L900" s="68">
        <f>VLOOKUP(E900,[1]Diccionario!C$2:AC$150,22,0)</f>
        <v>950366338</v>
      </c>
      <c r="M900" s="69">
        <f>VLOOKUP(E900,[1]Diccionario!C$2:AC$150,24,0)</f>
        <v>46045</v>
      </c>
      <c r="N900" s="70">
        <f>VLOOKUP(E900,[1]Diccionario!C$2:AC$150,25,0)</f>
        <v>46591</v>
      </c>
      <c r="O900" s="71">
        <f>VLOOKUP(E900,[1]Diccionario!C$2:AC$150,26,0)</f>
        <v>18</v>
      </c>
      <c r="P900" s="71">
        <f t="shared" ca="1" si="169"/>
        <v>-16</v>
      </c>
      <c r="Q900" s="71">
        <f t="shared" ca="1" si="168"/>
        <v>2</v>
      </c>
      <c r="R900" s="66">
        <v>18</v>
      </c>
      <c r="S900" s="72">
        <v>0.7</v>
      </c>
      <c r="T900" s="72"/>
      <c r="U900" s="73">
        <f>U899+TablaIndicador[[#This Row],[Costo Mensual]]</f>
        <v>0</v>
      </c>
      <c r="V900" s="73">
        <v>0</v>
      </c>
      <c r="W900" s="73">
        <f t="shared" si="170"/>
        <v>0</v>
      </c>
      <c r="X900" s="73">
        <f t="shared" si="171"/>
        <v>665256436.5999999</v>
      </c>
      <c r="Y900" s="73">
        <f t="shared" si="172"/>
        <v>0</v>
      </c>
      <c r="Z900" s="73">
        <f t="shared" si="173"/>
        <v>-665256436.5999999</v>
      </c>
      <c r="AA900" s="75" t="str">
        <f t="shared" si="174"/>
        <v>No se realizó gasto en este corte</v>
      </c>
      <c r="AB900" s="76" t="str">
        <f t="shared" si="175"/>
        <v>Costo eficiente: se está gastando menos de lo presupuestado</v>
      </c>
      <c r="AC900" s="76">
        <f t="shared" si="176"/>
        <v>0</v>
      </c>
      <c r="AD900" s="76" t="str">
        <f t="shared" si="177"/>
        <v>Sin Línea Base</v>
      </c>
      <c r="AE900" s="77">
        <f t="shared" si="178"/>
        <v>0</v>
      </c>
      <c r="AF900" s="77">
        <f t="shared" si="179"/>
        <v>-950366338</v>
      </c>
      <c r="AG900" s="78" t="str">
        <f>VLOOKUP(Indicador!E881,[1]Diccionario!C$1:AC$150,27,0)</f>
        <v>https://growdatasas.sharepoint.com/sites/pwa/ADRES-MEGA HOPEX 2026</v>
      </c>
      <c r="AH900" s="78">
        <v>1</v>
      </c>
      <c r="AI900" s="78">
        <v>1</v>
      </c>
      <c r="AJ900" s="78"/>
      <c r="AK900" s="78" t="s">
        <v>319</v>
      </c>
    </row>
    <row r="901" spans="1:37" ht="18.75" customHeight="1" x14ac:dyDescent="0.25">
      <c r="A901" s="64">
        <v>2027</v>
      </c>
      <c r="B901" s="65" t="s">
        <v>47</v>
      </c>
      <c r="C901" s="66" t="s">
        <v>495</v>
      </c>
      <c r="D901" s="67">
        <v>46051.084417627317</v>
      </c>
      <c r="E901" s="66" t="s">
        <v>496</v>
      </c>
      <c r="F901" s="66" t="s">
        <v>40</v>
      </c>
      <c r="G901" s="66" t="s">
        <v>497</v>
      </c>
      <c r="H901" s="66" t="s">
        <v>498</v>
      </c>
      <c r="I901" s="66" t="s">
        <v>43</v>
      </c>
      <c r="J901" s="66" t="s">
        <v>438</v>
      </c>
      <c r="K901" s="66" t="s">
        <v>45</v>
      </c>
      <c r="L901" s="68">
        <f>VLOOKUP(E901,[1]Diccionario!C$2:AC$150,22,0)</f>
        <v>950366338</v>
      </c>
      <c r="M901" s="69">
        <f>VLOOKUP(E901,[1]Diccionario!C$2:AC$150,24,0)</f>
        <v>46045</v>
      </c>
      <c r="N901" s="70">
        <f>VLOOKUP(E901,[1]Diccionario!C$2:AC$150,25,0)</f>
        <v>46591</v>
      </c>
      <c r="O901" s="71">
        <f>VLOOKUP(E901,[1]Diccionario!C$2:AC$150,26,0)</f>
        <v>18</v>
      </c>
      <c r="P901" s="71">
        <f t="shared" ca="1" si="169"/>
        <v>-16</v>
      </c>
      <c r="Q901" s="71">
        <f t="shared" ca="1" si="168"/>
        <v>2</v>
      </c>
      <c r="R901" s="66">
        <v>18</v>
      </c>
      <c r="S901" s="72">
        <v>0.75</v>
      </c>
      <c r="T901" s="72"/>
      <c r="U901" s="73">
        <f>U900+TablaIndicador[[#This Row],[Costo Mensual]]</f>
        <v>0</v>
      </c>
      <c r="V901" s="73">
        <v>0</v>
      </c>
      <c r="W901" s="73">
        <f t="shared" si="170"/>
        <v>0</v>
      </c>
      <c r="X901" s="73">
        <f t="shared" si="171"/>
        <v>712774753.5</v>
      </c>
      <c r="Y901" s="73">
        <f t="shared" si="172"/>
        <v>0</v>
      </c>
      <c r="Z901" s="73">
        <f t="shared" si="173"/>
        <v>-712774753.5</v>
      </c>
      <c r="AA901" s="75" t="str">
        <f t="shared" si="174"/>
        <v>No se realizó gasto en este corte</v>
      </c>
      <c r="AB901" s="76" t="str">
        <f t="shared" si="175"/>
        <v>Costo eficiente: se está gastando menos de lo presupuestado</v>
      </c>
      <c r="AC901" s="76">
        <f t="shared" si="176"/>
        <v>0</v>
      </c>
      <c r="AD901" s="76" t="str">
        <f t="shared" si="177"/>
        <v>Sin Línea Base</v>
      </c>
      <c r="AE901" s="77">
        <f t="shared" si="178"/>
        <v>0</v>
      </c>
      <c r="AF901" s="77">
        <f t="shared" si="179"/>
        <v>-950366338</v>
      </c>
      <c r="AG901" s="78" t="str">
        <f>VLOOKUP(Indicador!E882,[1]Diccionario!C$1:AC$150,27,0)</f>
        <v>https://growdatasas.sharepoint.com/:x:/r/sites/Gestiondocumental/Administrativa/GD/Financiera/_layouts/15/Doc.aspx?sourcedoc=%7B7E88B81F-AC6E-4A4D-BFDA-5A4921E803E6%7D&amp;file=20261601%20MODELO%20FINANCIERO%20REFERENCIA%20V7.6%20INTERNEXA%20SUPERSERVICIOS%202026.xlsm&amp;action=default&amp;mobileredirect=true</v>
      </c>
      <c r="AH901" s="78">
        <v>1</v>
      </c>
      <c r="AI901" s="78">
        <v>1</v>
      </c>
      <c r="AJ901" s="78"/>
      <c r="AK901" s="78" t="s">
        <v>319</v>
      </c>
    </row>
    <row r="902" spans="1:37" ht="18.75" customHeight="1" x14ac:dyDescent="0.25">
      <c r="A902" s="64">
        <v>2027</v>
      </c>
      <c r="B902" s="65" t="s">
        <v>48</v>
      </c>
      <c r="C902" s="66" t="s">
        <v>495</v>
      </c>
      <c r="D902" s="67">
        <v>46051.084417627317</v>
      </c>
      <c r="E902" s="66" t="s">
        <v>496</v>
      </c>
      <c r="F902" s="66" t="s">
        <v>40</v>
      </c>
      <c r="G902" s="66" t="s">
        <v>497</v>
      </c>
      <c r="H902" s="66" t="s">
        <v>498</v>
      </c>
      <c r="I902" s="66" t="s">
        <v>43</v>
      </c>
      <c r="J902" s="66" t="s">
        <v>438</v>
      </c>
      <c r="K902" s="66" t="s">
        <v>45</v>
      </c>
      <c r="L902" s="68">
        <f>VLOOKUP(E902,[1]Diccionario!C$2:AC$150,22,0)</f>
        <v>950366338</v>
      </c>
      <c r="M902" s="69">
        <f>VLOOKUP(E902,[1]Diccionario!C$2:AC$150,24,0)</f>
        <v>46045</v>
      </c>
      <c r="N902" s="70">
        <f>VLOOKUP(E902,[1]Diccionario!C$2:AC$150,25,0)</f>
        <v>46591</v>
      </c>
      <c r="O902" s="71">
        <f>VLOOKUP(E902,[1]Diccionario!C$2:AC$150,26,0)</f>
        <v>18</v>
      </c>
      <c r="P902" s="71">
        <f t="shared" ca="1" si="169"/>
        <v>-16</v>
      </c>
      <c r="Q902" s="71">
        <f t="shared" ca="1" si="168"/>
        <v>2</v>
      </c>
      <c r="R902" s="66">
        <v>18</v>
      </c>
      <c r="S902" s="72">
        <v>0.8</v>
      </c>
      <c r="T902" s="72"/>
      <c r="U902" s="73">
        <f>U901+TablaIndicador[[#This Row],[Costo Mensual]]</f>
        <v>0</v>
      </c>
      <c r="V902" s="73">
        <v>0</v>
      </c>
      <c r="W902" s="73">
        <f t="shared" si="170"/>
        <v>0</v>
      </c>
      <c r="X902" s="73">
        <f t="shared" si="171"/>
        <v>760293070.4000001</v>
      </c>
      <c r="Y902" s="73">
        <f t="shared" si="172"/>
        <v>0</v>
      </c>
      <c r="Z902" s="73">
        <f t="shared" si="173"/>
        <v>-760293070.4000001</v>
      </c>
      <c r="AA902" s="75" t="str">
        <f t="shared" si="174"/>
        <v>No se realizó gasto en este corte</v>
      </c>
      <c r="AB902" s="76" t="str">
        <f t="shared" si="175"/>
        <v>Costo eficiente: se está gastando menos de lo presupuestado</v>
      </c>
      <c r="AC902" s="76">
        <f t="shared" si="176"/>
        <v>0</v>
      </c>
      <c r="AD902" s="76" t="str">
        <f t="shared" si="177"/>
        <v>Sin Línea Base</v>
      </c>
      <c r="AE902" s="77">
        <f t="shared" si="178"/>
        <v>0</v>
      </c>
      <c r="AF902" s="77">
        <f t="shared" si="179"/>
        <v>-950366338</v>
      </c>
      <c r="AG902" s="78" t="str">
        <f>VLOOKUP(Indicador!E883,[1]Diccionario!C$1:AC$150,27,0)</f>
        <v>https://growdatasas.sharepoint.com/:x:/r/sites/Gestiondocumental/Administrativa/GD/Financiera/_layouts/15/Doc.aspx?sourcedoc=%7B7E88B81F-AC6E-4A4D-BFDA-5A4921E803E6%7D&amp;file=20261601%20MODELO%20FINANCIERO%20REFERENCIA%20V7.6%20INTERNEXA%20SUPERSERVICIOS%202026.xlsm&amp;action=default&amp;mobileredirect=true</v>
      </c>
      <c r="AH902" s="78">
        <v>1</v>
      </c>
      <c r="AI902" s="78">
        <v>1</v>
      </c>
      <c r="AJ902" s="78"/>
      <c r="AK902" s="78" t="s">
        <v>319</v>
      </c>
    </row>
    <row r="903" spans="1:37" ht="18.75" customHeight="1" x14ac:dyDescent="0.25">
      <c r="A903" s="64">
        <v>2027</v>
      </c>
      <c r="B903" s="65" t="s">
        <v>49</v>
      </c>
      <c r="C903" s="66" t="s">
        <v>495</v>
      </c>
      <c r="D903" s="67">
        <v>46051.084417627317</v>
      </c>
      <c r="E903" s="66" t="s">
        <v>496</v>
      </c>
      <c r="F903" s="66" t="s">
        <v>40</v>
      </c>
      <c r="G903" s="66" t="s">
        <v>497</v>
      </c>
      <c r="H903" s="66" t="s">
        <v>498</v>
      </c>
      <c r="I903" s="66" t="s">
        <v>43</v>
      </c>
      <c r="J903" s="66" t="s">
        <v>438</v>
      </c>
      <c r="K903" s="66" t="s">
        <v>45</v>
      </c>
      <c r="L903" s="68">
        <f>VLOOKUP(E903,[1]Diccionario!C$2:AC$150,22,0)</f>
        <v>950366338</v>
      </c>
      <c r="M903" s="69">
        <f>VLOOKUP(E903,[1]Diccionario!C$2:AC$150,24,0)</f>
        <v>46045</v>
      </c>
      <c r="N903" s="70">
        <f>VLOOKUP(E903,[1]Diccionario!C$2:AC$150,25,0)</f>
        <v>46591</v>
      </c>
      <c r="O903" s="71">
        <f>VLOOKUP(E903,[1]Diccionario!C$2:AC$150,26,0)</f>
        <v>18</v>
      </c>
      <c r="P903" s="71">
        <f t="shared" ca="1" si="169"/>
        <v>-16</v>
      </c>
      <c r="Q903" s="71">
        <f t="shared" ca="1" si="168"/>
        <v>2</v>
      </c>
      <c r="R903" s="66">
        <v>18</v>
      </c>
      <c r="S903" s="72">
        <v>0.85</v>
      </c>
      <c r="T903" s="72"/>
      <c r="U903" s="73">
        <f>U902+TablaIndicador[[#This Row],[Costo Mensual]]</f>
        <v>0</v>
      </c>
      <c r="V903" s="73">
        <v>0</v>
      </c>
      <c r="W903" s="73">
        <f t="shared" si="170"/>
        <v>0</v>
      </c>
      <c r="X903" s="73">
        <f t="shared" si="171"/>
        <v>807811387.29999995</v>
      </c>
      <c r="Y903" s="73">
        <f t="shared" si="172"/>
        <v>0</v>
      </c>
      <c r="Z903" s="73">
        <f t="shared" si="173"/>
        <v>-807811387.29999995</v>
      </c>
      <c r="AA903" s="75" t="str">
        <f t="shared" si="174"/>
        <v>No se realizó gasto en este corte</v>
      </c>
      <c r="AB903" s="76" t="str">
        <f t="shared" si="175"/>
        <v>Costo eficiente: se está gastando menos de lo presupuestado</v>
      </c>
      <c r="AC903" s="76">
        <f t="shared" si="176"/>
        <v>0</v>
      </c>
      <c r="AD903" s="76" t="str">
        <f t="shared" si="177"/>
        <v>Sin Línea Base</v>
      </c>
      <c r="AE903" s="77">
        <f t="shared" si="178"/>
        <v>0</v>
      </c>
      <c r="AF903" s="77">
        <f t="shared" si="179"/>
        <v>-950366338</v>
      </c>
      <c r="AG903" s="78" t="str">
        <f>VLOOKUP(Indicador!E884,[1]Diccionario!C$1:AC$150,27,0)</f>
        <v>https://growdatasas.sharepoint.com/:x:/r/sites/Gestiondocumental/Administrativa/GD/Financiera/_layouts/15/Doc.aspx?sourcedoc=%7B7E88B81F-AC6E-4A4D-BFDA-5A4921E803E6%7D&amp;file=20261601%20MODELO%20FINANCIERO%20REFERENCIA%20V7.6%20INTERNEXA%20SUPERSERVICIOS%202026.xlsm&amp;action=default&amp;mobileredirect=true</v>
      </c>
      <c r="AH903" s="78">
        <v>1</v>
      </c>
      <c r="AI903" s="78">
        <v>1</v>
      </c>
      <c r="AJ903" s="78"/>
      <c r="AK903" s="78" t="s">
        <v>319</v>
      </c>
    </row>
    <row r="904" spans="1:37" ht="18.75" customHeight="1" x14ac:dyDescent="0.25">
      <c r="A904" s="64">
        <v>2027</v>
      </c>
      <c r="B904" s="65" t="s">
        <v>50</v>
      </c>
      <c r="C904" s="66" t="s">
        <v>495</v>
      </c>
      <c r="D904" s="67">
        <v>46051.084417627317</v>
      </c>
      <c r="E904" s="66" t="s">
        <v>496</v>
      </c>
      <c r="F904" s="66" t="s">
        <v>40</v>
      </c>
      <c r="G904" s="66" t="s">
        <v>497</v>
      </c>
      <c r="H904" s="66" t="s">
        <v>498</v>
      </c>
      <c r="I904" s="66" t="s">
        <v>43</v>
      </c>
      <c r="J904" s="66" t="s">
        <v>438</v>
      </c>
      <c r="K904" s="66" t="s">
        <v>45</v>
      </c>
      <c r="L904" s="68">
        <f>VLOOKUP(E904,[1]Diccionario!C$2:AC$150,22,0)</f>
        <v>950366338</v>
      </c>
      <c r="M904" s="69">
        <f>VLOOKUP(E904,[1]Diccionario!C$2:AC$150,24,0)</f>
        <v>46045</v>
      </c>
      <c r="N904" s="70">
        <f>VLOOKUP(E904,[1]Diccionario!C$2:AC$150,25,0)</f>
        <v>46591</v>
      </c>
      <c r="O904" s="71">
        <f>VLOOKUP(E904,[1]Diccionario!C$2:AC$150,26,0)</f>
        <v>18</v>
      </c>
      <c r="P904" s="71">
        <f t="shared" ca="1" si="169"/>
        <v>-16</v>
      </c>
      <c r="Q904" s="71">
        <f t="shared" ca="1" si="168"/>
        <v>2</v>
      </c>
      <c r="R904" s="66">
        <v>18</v>
      </c>
      <c r="S904" s="72">
        <v>0.9</v>
      </c>
      <c r="T904" s="72"/>
      <c r="U904" s="73">
        <f>U903+TablaIndicador[[#This Row],[Costo Mensual]]</f>
        <v>0</v>
      </c>
      <c r="V904" s="73">
        <v>0</v>
      </c>
      <c r="W904" s="73">
        <f t="shared" si="170"/>
        <v>0</v>
      </c>
      <c r="X904" s="73">
        <f t="shared" si="171"/>
        <v>855329704.20000005</v>
      </c>
      <c r="Y904" s="73">
        <f t="shared" si="172"/>
        <v>0</v>
      </c>
      <c r="Z904" s="73">
        <f t="shared" si="173"/>
        <v>-855329704.20000005</v>
      </c>
      <c r="AA904" s="75" t="str">
        <f t="shared" si="174"/>
        <v>No se realizó gasto en este corte</v>
      </c>
      <c r="AB904" s="76" t="str">
        <f t="shared" si="175"/>
        <v>Costo eficiente: se está gastando menos de lo presupuestado</v>
      </c>
      <c r="AC904" s="76">
        <f t="shared" si="176"/>
        <v>0</v>
      </c>
      <c r="AD904" s="76" t="str">
        <f t="shared" si="177"/>
        <v>Sin Línea Base</v>
      </c>
      <c r="AE904" s="77">
        <f t="shared" si="178"/>
        <v>0</v>
      </c>
      <c r="AF904" s="77">
        <f t="shared" si="179"/>
        <v>-950366338</v>
      </c>
      <c r="AG904" s="78" t="str">
        <f>VLOOKUP(Indicador!E885,[1]Diccionario!C$1:AC$150,27,0)</f>
        <v>https://growdatasas.sharepoint.com/:x:/r/sites/Gestiondocumental/Administrativa/GD/Financiera/_layouts/15/Doc.aspx?sourcedoc=%7B7E88B81F-AC6E-4A4D-BFDA-5A4921E803E6%7D&amp;file=20261601%20MODELO%20FINANCIERO%20REFERENCIA%20V7.6%20INTERNEXA%20SUPERSERVICIOS%202026.xlsm&amp;action=default&amp;mobileredirect=true</v>
      </c>
      <c r="AH904" s="78">
        <v>1</v>
      </c>
      <c r="AI904" s="78">
        <v>1</v>
      </c>
      <c r="AJ904" s="78"/>
      <c r="AK904" s="78" t="s">
        <v>319</v>
      </c>
    </row>
    <row r="905" spans="1:37" ht="18.75" customHeight="1" x14ac:dyDescent="0.25">
      <c r="A905" s="64">
        <v>2027</v>
      </c>
      <c r="B905" s="65" t="s">
        <v>51</v>
      </c>
      <c r="C905" s="66" t="s">
        <v>495</v>
      </c>
      <c r="D905" s="67">
        <v>46051.084417627317</v>
      </c>
      <c r="E905" s="66" t="s">
        <v>496</v>
      </c>
      <c r="F905" s="66" t="s">
        <v>40</v>
      </c>
      <c r="G905" s="66" t="s">
        <v>497</v>
      </c>
      <c r="H905" s="66" t="s">
        <v>498</v>
      </c>
      <c r="I905" s="66" t="s">
        <v>43</v>
      </c>
      <c r="J905" s="66" t="s">
        <v>438</v>
      </c>
      <c r="K905" s="66" t="s">
        <v>45</v>
      </c>
      <c r="L905" s="68">
        <f>VLOOKUP(E905,[1]Diccionario!C$2:AC$150,22,0)</f>
        <v>950366338</v>
      </c>
      <c r="M905" s="69">
        <f>VLOOKUP(E905,[1]Diccionario!C$2:AC$150,24,0)</f>
        <v>46045</v>
      </c>
      <c r="N905" s="70">
        <f>VLOOKUP(E905,[1]Diccionario!C$2:AC$150,25,0)</f>
        <v>46591</v>
      </c>
      <c r="O905" s="71">
        <f>VLOOKUP(E905,[1]Diccionario!C$2:AC$150,26,0)</f>
        <v>18</v>
      </c>
      <c r="P905" s="71">
        <f t="shared" ca="1" si="169"/>
        <v>-16</v>
      </c>
      <c r="Q905" s="71">
        <f t="shared" ca="1" si="168"/>
        <v>2</v>
      </c>
      <c r="R905" s="66">
        <v>18</v>
      </c>
      <c r="S905" s="72">
        <v>0.95</v>
      </c>
      <c r="T905" s="72"/>
      <c r="U905" s="73">
        <f>U904+TablaIndicador[[#This Row],[Costo Mensual]]</f>
        <v>0</v>
      </c>
      <c r="V905" s="73">
        <v>0</v>
      </c>
      <c r="W905" s="73">
        <f t="shared" si="170"/>
        <v>0</v>
      </c>
      <c r="X905" s="73">
        <f t="shared" si="171"/>
        <v>902848021.0999999</v>
      </c>
      <c r="Y905" s="73">
        <f t="shared" si="172"/>
        <v>0</v>
      </c>
      <c r="Z905" s="73">
        <f t="shared" si="173"/>
        <v>-902848021.0999999</v>
      </c>
      <c r="AA905" s="75" t="str">
        <f t="shared" si="174"/>
        <v>No se realizó gasto en este corte</v>
      </c>
      <c r="AB905" s="76" t="str">
        <f t="shared" si="175"/>
        <v>Costo eficiente: se está gastando menos de lo presupuestado</v>
      </c>
      <c r="AC905" s="76">
        <f t="shared" si="176"/>
        <v>0</v>
      </c>
      <c r="AD905" s="76" t="str">
        <f t="shared" si="177"/>
        <v>Sin Línea Base</v>
      </c>
      <c r="AE905" s="77">
        <f t="shared" si="178"/>
        <v>0</v>
      </c>
      <c r="AF905" s="77">
        <f t="shared" si="179"/>
        <v>-950366338</v>
      </c>
      <c r="AG905" s="78" t="str">
        <f>VLOOKUP(Indicador!E886,[1]Diccionario!C$1:AC$150,27,0)</f>
        <v>https://growdatasas.sharepoint.com/:x:/r/sites/Gestiondocumental/Administrativa/GD/Financiera/_layouts/15/Doc.aspx?sourcedoc=%7B7E88B81F-AC6E-4A4D-BFDA-5A4921E803E6%7D&amp;file=20261601%20MODELO%20FINANCIERO%20REFERENCIA%20V7.6%20INTERNEXA%20SUPERSERVICIOS%202026.xlsm&amp;action=default&amp;mobileredirect=true</v>
      </c>
      <c r="AH905" s="78">
        <v>1</v>
      </c>
      <c r="AI905" s="78">
        <v>1</v>
      </c>
      <c r="AJ905" s="78"/>
      <c r="AK905" s="78" t="s">
        <v>319</v>
      </c>
    </row>
    <row r="906" spans="1:37" ht="18.75" customHeight="1" x14ac:dyDescent="0.25">
      <c r="A906" s="64">
        <v>2027</v>
      </c>
      <c r="B906" s="65" t="s">
        <v>52</v>
      </c>
      <c r="C906" s="66" t="s">
        <v>495</v>
      </c>
      <c r="D906" s="67">
        <v>46051.084417627317</v>
      </c>
      <c r="E906" s="66" t="s">
        <v>496</v>
      </c>
      <c r="F906" s="66" t="s">
        <v>40</v>
      </c>
      <c r="G906" s="66" t="s">
        <v>497</v>
      </c>
      <c r="H906" s="66" t="s">
        <v>498</v>
      </c>
      <c r="I906" s="66" t="s">
        <v>43</v>
      </c>
      <c r="J906" s="66" t="s">
        <v>438</v>
      </c>
      <c r="K906" s="66" t="s">
        <v>45</v>
      </c>
      <c r="L906" s="68">
        <f>VLOOKUP(E906,[1]Diccionario!C$2:AC$150,22,0)</f>
        <v>950366338</v>
      </c>
      <c r="M906" s="69">
        <f>VLOOKUP(E906,[1]Diccionario!C$2:AC$150,24,0)</f>
        <v>46045</v>
      </c>
      <c r="N906" s="70">
        <f>VLOOKUP(E906,[1]Diccionario!C$2:AC$150,25,0)</f>
        <v>46591</v>
      </c>
      <c r="O906" s="71">
        <f>VLOOKUP(E906,[1]Diccionario!C$2:AC$150,26,0)</f>
        <v>18</v>
      </c>
      <c r="P906" s="71">
        <f t="shared" ca="1" si="169"/>
        <v>-16</v>
      </c>
      <c r="Q906" s="71">
        <f t="shared" ca="1" si="168"/>
        <v>2</v>
      </c>
      <c r="R906" s="66">
        <v>18</v>
      </c>
      <c r="S906" s="72">
        <v>1</v>
      </c>
      <c r="T906" s="72"/>
      <c r="U906" s="73">
        <f>U905+TablaIndicador[[#This Row],[Costo Mensual]]</f>
        <v>0</v>
      </c>
      <c r="V906" s="73">
        <v>0</v>
      </c>
      <c r="W906" s="73">
        <f t="shared" si="170"/>
        <v>0</v>
      </c>
      <c r="X906" s="73">
        <f t="shared" si="171"/>
        <v>950366338</v>
      </c>
      <c r="Y906" s="73">
        <f t="shared" si="172"/>
        <v>0</v>
      </c>
      <c r="Z906" s="73">
        <f t="shared" si="173"/>
        <v>-950366338</v>
      </c>
      <c r="AA906" s="75" t="str">
        <f t="shared" si="174"/>
        <v>No se realizó gasto en este corte</v>
      </c>
      <c r="AB906" s="76" t="str">
        <f t="shared" si="175"/>
        <v>Costo eficiente: se está gastando menos de lo presupuestado</v>
      </c>
      <c r="AC906" s="76">
        <f t="shared" si="176"/>
        <v>0</v>
      </c>
      <c r="AD906" s="76" t="str">
        <f t="shared" si="177"/>
        <v>Sin Línea Base</v>
      </c>
      <c r="AE906" s="77">
        <f t="shared" si="178"/>
        <v>0</v>
      </c>
      <c r="AF906" s="77">
        <f t="shared" si="179"/>
        <v>-950366338</v>
      </c>
      <c r="AG906" s="78" t="str">
        <f>VLOOKUP(Indicador!E887,[1]Diccionario!C$1:AC$150,27,0)</f>
        <v>https://growdatasas.sharepoint.com/:x:/r/sites/Gestiondocumental/Administrativa/GD/Financiera/_layouts/15/Doc.aspx?sourcedoc=%7B7E88B81F-AC6E-4A4D-BFDA-5A4921E803E6%7D&amp;file=20261601%20MODELO%20FINANCIERO%20REFERENCIA%20V7.6%20INTERNEXA%20SUPERSERVICIOS%202026.xlsm&amp;action=default&amp;mobileredirect=true</v>
      </c>
      <c r="AH906" s="78">
        <v>1</v>
      </c>
      <c r="AI906" s="78">
        <v>1</v>
      </c>
      <c r="AJ906" s="78"/>
      <c r="AK906" s="78" t="s">
        <v>319</v>
      </c>
    </row>
    <row r="907" spans="1:37" ht="18.75" customHeight="1" x14ac:dyDescent="0.25">
      <c r="A907" s="11">
        <v>2026</v>
      </c>
      <c r="B907" s="12" t="s">
        <v>47</v>
      </c>
      <c r="C907" s="15" t="s">
        <v>499</v>
      </c>
      <c r="D907" s="39">
        <v>46051.102793749997</v>
      </c>
      <c r="E907" s="15" t="s">
        <v>500</v>
      </c>
      <c r="F907" s="15" t="s">
        <v>184</v>
      </c>
      <c r="G907" s="15" t="s">
        <v>501</v>
      </c>
      <c r="H907" s="15" t="s">
        <v>502</v>
      </c>
      <c r="I907" s="15" t="s">
        <v>43</v>
      </c>
      <c r="J907" s="15" t="s">
        <v>503</v>
      </c>
      <c r="K907" s="15" t="s">
        <v>291</v>
      </c>
      <c r="L907" s="17">
        <f>VLOOKUP(E907,[1]Diccionario!C$2:AC$150,22,0)</f>
        <v>820808275</v>
      </c>
      <c r="M907" s="18">
        <f>VLOOKUP(E907,[1]Diccionario!C$2:AC$150,24,0)</f>
        <v>46054</v>
      </c>
      <c r="N907" s="19">
        <f>VLOOKUP(E907,[1]Diccionario!C$2:AC$150,25,0)</f>
        <v>46843</v>
      </c>
      <c r="O907" s="20">
        <f>VLOOKUP(E907,[1]Diccionario!C$2:AC$150,26,0)</f>
        <v>26</v>
      </c>
      <c r="P907" s="20">
        <f t="shared" si="169"/>
        <v>-25</v>
      </c>
      <c r="Q907" s="20">
        <v>1</v>
      </c>
      <c r="R907" s="15">
        <v>26</v>
      </c>
      <c r="S907" s="21">
        <v>0.05</v>
      </c>
      <c r="T907" s="21">
        <v>0.05</v>
      </c>
      <c r="U907" s="22"/>
      <c r="V907" s="24"/>
      <c r="W907" s="24">
        <f t="shared" si="170"/>
        <v>41040413.75</v>
      </c>
      <c r="X907" s="24">
        <f t="shared" si="171"/>
        <v>41040413.75</v>
      </c>
      <c r="Y907" s="24">
        <f t="shared" si="172"/>
        <v>41040413.75</v>
      </c>
      <c r="Z907" s="24">
        <f t="shared" si="173"/>
        <v>0</v>
      </c>
      <c r="AA907" s="25" t="str">
        <f t="shared" si="174"/>
        <v>No se realizó gasto en este corte</v>
      </c>
      <c r="AB907" s="26" t="str">
        <f t="shared" si="175"/>
        <v>Costo eficiente: se está gastando menos de lo presupuestado</v>
      </c>
      <c r="AC907" s="26">
        <f t="shared" si="176"/>
        <v>1</v>
      </c>
      <c r="AD907" s="26" t="str">
        <f t="shared" si="177"/>
        <v>Proyecto a tiempo según lo planificado</v>
      </c>
      <c r="AE907" s="27">
        <f t="shared" si="178"/>
        <v>0</v>
      </c>
      <c r="AF907" s="27">
        <f t="shared" si="179"/>
        <v>-820808275</v>
      </c>
      <c r="AG907" s="28" t="str">
        <f>VLOOKUP(Indicador!E888,[1]Diccionario!C$1:AC$150,27,0)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907" s="28">
        <v>1</v>
      </c>
      <c r="AI907" s="28">
        <v>1</v>
      </c>
      <c r="AJ907" s="28"/>
      <c r="AK907" s="28"/>
    </row>
    <row r="908" spans="1:37" ht="18.75" customHeight="1" x14ac:dyDescent="0.25">
      <c r="A908" s="11">
        <v>2026</v>
      </c>
      <c r="B908" s="12" t="s">
        <v>48</v>
      </c>
      <c r="C908" s="15" t="s">
        <v>499</v>
      </c>
      <c r="D908" s="39">
        <v>46051.102793749997</v>
      </c>
      <c r="E908" s="15" t="s">
        <v>500</v>
      </c>
      <c r="F908" s="15" t="s">
        <v>184</v>
      </c>
      <c r="G908" s="15" t="s">
        <v>501</v>
      </c>
      <c r="H908" s="15" t="s">
        <v>502</v>
      </c>
      <c r="I908" s="15" t="s">
        <v>43</v>
      </c>
      <c r="J908" s="15" t="s">
        <v>503</v>
      </c>
      <c r="K908" s="15" t="s">
        <v>291</v>
      </c>
      <c r="L908" s="17">
        <f>VLOOKUP(E908,[1]Diccionario!C$2:AC$150,22,0)</f>
        <v>820808275</v>
      </c>
      <c r="M908" s="18">
        <f>VLOOKUP(E908,[1]Diccionario!C$2:AC$150,24,0)</f>
        <v>46054</v>
      </c>
      <c r="N908" s="19">
        <f>VLOOKUP(E908,[1]Diccionario!C$2:AC$150,25,0)</f>
        <v>46843</v>
      </c>
      <c r="O908" s="20">
        <f>VLOOKUP(E908,[1]Diccionario!C$2:AC$150,26,0)</f>
        <v>26</v>
      </c>
      <c r="P908" s="20">
        <f t="shared" si="169"/>
        <v>-24</v>
      </c>
      <c r="Q908" s="20">
        <v>2</v>
      </c>
      <c r="R908" s="15">
        <v>26</v>
      </c>
      <c r="S908" s="21">
        <v>7.0000000000000007E-2</v>
      </c>
      <c r="T908" s="21"/>
      <c r="U908" s="22"/>
      <c r="V908" s="24"/>
      <c r="W908" s="24">
        <f t="shared" si="170"/>
        <v>0</v>
      </c>
      <c r="X908" s="24">
        <f t="shared" si="171"/>
        <v>57456579.250000007</v>
      </c>
      <c r="Y908" s="24">
        <f t="shared" si="172"/>
        <v>0</v>
      </c>
      <c r="Z908" s="24">
        <f t="shared" si="173"/>
        <v>-57456579.250000007</v>
      </c>
      <c r="AA908" s="25" t="str">
        <f t="shared" si="174"/>
        <v>No se realizó gasto en este corte</v>
      </c>
      <c r="AB908" s="26" t="str">
        <f t="shared" si="175"/>
        <v>Costo eficiente: se está gastando menos de lo presupuestado</v>
      </c>
      <c r="AC908" s="26">
        <f t="shared" si="176"/>
        <v>0</v>
      </c>
      <c r="AD908" s="26" t="str">
        <f t="shared" si="177"/>
        <v>Sin Línea Base</v>
      </c>
      <c r="AE908" s="27">
        <f t="shared" si="178"/>
        <v>0</v>
      </c>
      <c r="AF908" s="27">
        <f t="shared" si="179"/>
        <v>-820808275</v>
      </c>
      <c r="AG908" s="28" t="str">
        <f>VLOOKUP(Indicador!E889,[1]Diccionario!C$1:AC$150,27,0)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908" s="28">
        <v>1</v>
      </c>
      <c r="AI908" s="28">
        <v>1</v>
      </c>
      <c r="AJ908" s="28"/>
      <c r="AK908" s="28"/>
    </row>
    <row r="909" spans="1:37" ht="18.75" customHeight="1" x14ac:dyDescent="0.25">
      <c r="A909" s="11">
        <v>2026</v>
      </c>
      <c r="B909" s="12" t="s">
        <v>49</v>
      </c>
      <c r="C909" s="15" t="s">
        <v>499</v>
      </c>
      <c r="D909" s="39">
        <v>46051.102793749997</v>
      </c>
      <c r="E909" s="15" t="s">
        <v>500</v>
      </c>
      <c r="F909" s="15" t="s">
        <v>184</v>
      </c>
      <c r="G909" s="15" t="s">
        <v>501</v>
      </c>
      <c r="H909" s="15" t="s">
        <v>502</v>
      </c>
      <c r="I909" s="15" t="s">
        <v>43</v>
      </c>
      <c r="J909" s="15" t="s">
        <v>503</v>
      </c>
      <c r="K909" s="15" t="s">
        <v>291</v>
      </c>
      <c r="L909" s="17">
        <f>VLOOKUP(E909,[1]Diccionario!C$2:AC$150,22,0)</f>
        <v>820808275</v>
      </c>
      <c r="M909" s="18">
        <f>VLOOKUP(E909,[1]Diccionario!C$2:AC$150,24,0)</f>
        <v>46054</v>
      </c>
      <c r="N909" s="19">
        <f>VLOOKUP(E909,[1]Diccionario!C$2:AC$150,25,0)</f>
        <v>46843</v>
      </c>
      <c r="O909" s="20">
        <f>VLOOKUP(E909,[1]Diccionario!C$2:AC$150,26,0)</f>
        <v>26</v>
      </c>
      <c r="P909" s="20">
        <f t="shared" si="169"/>
        <v>-23</v>
      </c>
      <c r="Q909" s="20">
        <v>3</v>
      </c>
      <c r="R909" s="15">
        <v>26</v>
      </c>
      <c r="S909" s="21">
        <v>0.1</v>
      </c>
      <c r="T909" s="21"/>
      <c r="U909" s="22"/>
      <c r="V909" s="24"/>
      <c r="W909" s="24">
        <f t="shared" si="170"/>
        <v>0</v>
      </c>
      <c r="X909" s="24">
        <f t="shared" si="171"/>
        <v>82080827.5</v>
      </c>
      <c r="Y909" s="24">
        <f t="shared" si="172"/>
        <v>0</v>
      </c>
      <c r="Z909" s="24">
        <f t="shared" si="173"/>
        <v>-82080827.5</v>
      </c>
      <c r="AA909" s="25" t="str">
        <f t="shared" si="174"/>
        <v>No se realizó gasto en este corte</v>
      </c>
      <c r="AB909" s="26" t="str">
        <f t="shared" si="175"/>
        <v>Costo eficiente: se está gastando menos de lo presupuestado</v>
      </c>
      <c r="AC909" s="26">
        <f t="shared" si="176"/>
        <v>0</v>
      </c>
      <c r="AD909" s="26" t="str">
        <f t="shared" si="177"/>
        <v>Sin Línea Base</v>
      </c>
      <c r="AE909" s="27">
        <f t="shared" si="178"/>
        <v>0</v>
      </c>
      <c r="AF909" s="27">
        <f t="shared" si="179"/>
        <v>-820808275</v>
      </c>
      <c r="AG909" s="28" t="str">
        <f>VLOOKUP(Indicador!E890,[1]Diccionario!C$1:AC$150,27,0)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909" s="28">
        <v>1</v>
      </c>
      <c r="AI909" s="28">
        <v>1</v>
      </c>
      <c r="AJ909" s="28"/>
      <c r="AK909" s="28"/>
    </row>
    <row r="910" spans="1:37" ht="18.75" customHeight="1" x14ac:dyDescent="0.25">
      <c r="A910" s="11">
        <v>2026</v>
      </c>
      <c r="B910" s="12" t="s">
        <v>50</v>
      </c>
      <c r="C910" s="15" t="s">
        <v>499</v>
      </c>
      <c r="D910" s="39">
        <v>46051.102793749997</v>
      </c>
      <c r="E910" s="15" t="s">
        <v>500</v>
      </c>
      <c r="F910" s="15" t="s">
        <v>184</v>
      </c>
      <c r="G910" s="15" t="s">
        <v>501</v>
      </c>
      <c r="H910" s="15" t="s">
        <v>502</v>
      </c>
      <c r="I910" s="15" t="s">
        <v>43</v>
      </c>
      <c r="J910" s="15" t="s">
        <v>503</v>
      </c>
      <c r="K910" s="15" t="s">
        <v>291</v>
      </c>
      <c r="L910" s="17">
        <f>VLOOKUP(E910,[1]Diccionario!C$2:AC$150,22,0)</f>
        <v>820808275</v>
      </c>
      <c r="M910" s="18">
        <f>VLOOKUP(E910,[1]Diccionario!C$2:AC$150,24,0)</f>
        <v>46054</v>
      </c>
      <c r="N910" s="19">
        <f>VLOOKUP(E910,[1]Diccionario!C$2:AC$150,25,0)</f>
        <v>46843</v>
      </c>
      <c r="O910" s="20">
        <f>VLOOKUP(E910,[1]Diccionario!C$2:AC$150,26,0)</f>
        <v>26</v>
      </c>
      <c r="P910" s="20">
        <f t="shared" si="169"/>
        <v>-22</v>
      </c>
      <c r="Q910" s="20">
        <v>4</v>
      </c>
      <c r="R910" s="15">
        <v>26</v>
      </c>
      <c r="S910" s="21">
        <v>0.12</v>
      </c>
      <c r="T910" s="21"/>
      <c r="U910" s="22"/>
      <c r="V910" s="24"/>
      <c r="W910" s="24">
        <f t="shared" si="170"/>
        <v>0</v>
      </c>
      <c r="X910" s="24">
        <f t="shared" si="171"/>
        <v>98496993</v>
      </c>
      <c r="Y910" s="24">
        <f t="shared" si="172"/>
        <v>0</v>
      </c>
      <c r="Z910" s="24">
        <f t="shared" si="173"/>
        <v>-98496993</v>
      </c>
      <c r="AA910" s="25" t="str">
        <f t="shared" si="174"/>
        <v>No se realizó gasto en este corte</v>
      </c>
      <c r="AB910" s="26" t="str">
        <f t="shared" si="175"/>
        <v>Costo eficiente: se está gastando menos de lo presupuestado</v>
      </c>
      <c r="AC910" s="26">
        <f t="shared" si="176"/>
        <v>0</v>
      </c>
      <c r="AD910" s="26" t="str">
        <f t="shared" si="177"/>
        <v>Sin Línea Base</v>
      </c>
      <c r="AE910" s="27">
        <f t="shared" si="178"/>
        <v>0</v>
      </c>
      <c r="AF910" s="27">
        <f t="shared" si="179"/>
        <v>-820808275</v>
      </c>
      <c r="AG910" s="28" t="str">
        <f>VLOOKUP(Indicador!E891,[1]Diccionario!C$1:AC$150,27,0)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910" s="28">
        <v>1</v>
      </c>
      <c r="AI910" s="28">
        <v>1</v>
      </c>
      <c r="AJ910" s="28"/>
      <c r="AK910" s="28"/>
    </row>
    <row r="911" spans="1:37" ht="18.75" customHeight="1" x14ac:dyDescent="0.25">
      <c r="A911" s="11">
        <v>2026</v>
      </c>
      <c r="B911" s="12" t="s">
        <v>51</v>
      </c>
      <c r="C911" s="15" t="s">
        <v>499</v>
      </c>
      <c r="D911" s="39">
        <v>46051.102793749997</v>
      </c>
      <c r="E911" s="15" t="s">
        <v>500</v>
      </c>
      <c r="F911" s="15" t="s">
        <v>184</v>
      </c>
      <c r="G911" s="15" t="s">
        <v>501</v>
      </c>
      <c r="H911" s="15" t="s">
        <v>502</v>
      </c>
      <c r="I911" s="15" t="s">
        <v>43</v>
      </c>
      <c r="J911" s="15" t="s">
        <v>503</v>
      </c>
      <c r="K911" s="15" t="s">
        <v>291</v>
      </c>
      <c r="L911" s="17">
        <f>VLOOKUP(E911,[1]Diccionario!C$2:AC$150,22,0)</f>
        <v>820808275</v>
      </c>
      <c r="M911" s="18">
        <f>VLOOKUP(E911,[1]Diccionario!C$2:AC$150,24,0)</f>
        <v>46054</v>
      </c>
      <c r="N911" s="19">
        <f>VLOOKUP(E911,[1]Diccionario!C$2:AC$150,25,0)</f>
        <v>46843</v>
      </c>
      <c r="O911" s="20">
        <f>VLOOKUP(E911,[1]Diccionario!C$2:AC$150,26,0)</f>
        <v>26</v>
      </c>
      <c r="P911" s="20">
        <f t="shared" si="169"/>
        <v>-21</v>
      </c>
      <c r="Q911" s="20">
        <v>5</v>
      </c>
      <c r="R911" s="15">
        <v>26</v>
      </c>
      <c r="S911" s="21">
        <v>0.15</v>
      </c>
      <c r="T911" s="21"/>
      <c r="U911" s="22"/>
      <c r="V911" s="24"/>
      <c r="W911" s="24">
        <f t="shared" si="170"/>
        <v>0</v>
      </c>
      <c r="X911" s="24">
        <f t="shared" si="171"/>
        <v>123121241.25</v>
      </c>
      <c r="Y911" s="24">
        <f t="shared" si="172"/>
        <v>0</v>
      </c>
      <c r="Z911" s="24">
        <f t="shared" si="173"/>
        <v>-123121241.25</v>
      </c>
      <c r="AA911" s="25" t="str">
        <f t="shared" si="174"/>
        <v>No se realizó gasto en este corte</v>
      </c>
      <c r="AB911" s="26" t="str">
        <f t="shared" si="175"/>
        <v>Costo eficiente: se está gastando menos de lo presupuestado</v>
      </c>
      <c r="AC911" s="26">
        <f t="shared" si="176"/>
        <v>0</v>
      </c>
      <c r="AD911" s="26" t="str">
        <f t="shared" si="177"/>
        <v>Sin Línea Base</v>
      </c>
      <c r="AE911" s="27">
        <f t="shared" si="178"/>
        <v>0</v>
      </c>
      <c r="AF911" s="27">
        <f t="shared" si="179"/>
        <v>-820808275</v>
      </c>
      <c r="AG911" s="28" t="str">
        <f>VLOOKUP(Indicador!E892,[1]Diccionario!C$1:AC$150,27,0)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911" s="28">
        <v>1</v>
      </c>
      <c r="AI911" s="28">
        <v>1</v>
      </c>
      <c r="AJ911" s="28"/>
      <c r="AK911" s="28"/>
    </row>
    <row r="912" spans="1:37" ht="18.75" customHeight="1" x14ac:dyDescent="0.25">
      <c r="A912" s="11">
        <v>2026</v>
      </c>
      <c r="B912" s="12" t="s">
        <v>52</v>
      </c>
      <c r="C912" s="15" t="s">
        <v>499</v>
      </c>
      <c r="D912" s="39">
        <v>46051.102793749997</v>
      </c>
      <c r="E912" s="15" t="s">
        <v>500</v>
      </c>
      <c r="F912" s="15" t="s">
        <v>184</v>
      </c>
      <c r="G912" s="15" t="s">
        <v>501</v>
      </c>
      <c r="H912" s="15" t="s">
        <v>502</v>
      </c>
      <c r="I912" s="15" t="s">
        <v>43</v>
      </c>
      <c r="J912" s="15" t="s">
        <v>503</v>
      </c>
      <c r="K912" s="15" t="s">
        <v>291</v>
      </c>
      <c r="L912" s="17">
        <f>VLOOKUP(E912,[1]Diccionario!C$2:AC$150,22,0)</f>
        <v>820808275</v>
      </c>
      <c r="M912" s="18">
        <f>VLOOKUP(E912,[1]Diccionario!C$2:AC$150,24,0)</f>
        <v>46054</v>
      </c>
      <c r="N912" s="19">
        <f>VLOOKUP(E912,[1]Diccionario!C$2:AC$150,25,0)</f>
        <v>46843</v>
      </c>
      <c r="O912" s="20">
        <f>VLOOKUP(E912,[1]Diccionario!C$2:AC$150,26,0)</f>
        <v>26</v>
      </c>
      <c r="P912" s="20">
        <f t="shared" si="169"/>
        <v>-20</v>
      </c>
      <c r="Q912" s="20">
        <v>6</v>
      </c>
      <c r="R912" s="15">
        <v>26</v>
      </c>
      <c r="S912" s="21">
        <v>0.18</v>
      </c>
      <c r="T912" s="21"/>
      <c r="U912" s="22"/>
      <c r="V912" s="24"/>
      <c r="W912" s="24">
        <f t="shared" si="170"/>
        <v>0</v>
      </c>
      <c r="X912" s="24">
        <f t="shared" si="171"/>
        <v>147745489.5</v>
      </c>
      <c r="Y912" s="24">
        <f t="shared" si="172"/>
        <v>0</v>
      </c>
      <c r="Z912" s="24">
        <f t="shared" si="173"/>
        <v>-147745489.5</v>
      </c>
      <c r="AA912" s="25" t="str">
        <f t="shared" si="174"/>
        <v>No se realizó gasto en este corte</v>
      </c>
      <c r="AB912" s="26" t="str">
        <f t="shared" si="175"/>
        <v>Costo eficiente: se está gastando menos de lo presupuestado</v>
      </c>
      <c r="AC912" s="26">
        <f t="shared" si="176"/>
        <v>0</v>
      </c>
      <c r="AD912" s="26" t="str">
        <f t="shared" si="177"/>
        <v>Sin Línea Base</v>
      </c>
      <c r="AE912" s="27">
        <f t="shared" si="178"/>
        <v>0</v>
      </c>
      <c r="AF912" s="27">
        <f t="shared" si="179"/>
        <v>-820808275</v>
      </c>
      <c r="AG912" s="28" t="str">
        <f>VLOOKUP(Indicador!E893,[1]Diccionario!C$1:AC$150,27,0)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912" s="28">
        <v>1</v>
      </c>
      <c r="AI912" s="28">
        <v>1</v>
      </c>
      <c r="AJ912" s="28"/>
      <c r="AK912" s="28"/>
    </row>
    <row r="913" spans="1:37" ht="18.75" customHeight="1" x14ac:dyDescent="0.25">
      <c r="A913" s="11">
        <v>2026</v>
      </c>
      <c r="B913" s="12" t="s">
        <v>53</v>
      </c>
      <c r="C913" s="15" t="s">
        <v>499</v>
      </c>
      <c r="D913" s="39">
        <v>46051.102793749997</v>
      </c>
      <c r="E913" s="15" t="s">
        <v>500</v>
      </c>
      <c r="F913" s="15" t="s">
        <v>184</v>
      </c>
      <c r="G913" s="15" t="s">
        <v>501</v>
      </c>
      <c r="H913" s="15" t="s">
        <v>502</v>
      </c>
      <c r="I913" s="15" t="s">
        <v>43</v>
      </c>
      <c r="J913" s="15" t="s">
        <v>503</v>
      </c>
      <c r="K913" s="15" t="s">
        <v>291</v>
      </c>
      <c r="L913" s="17">
        <f>VLOOKUP(E913,[1]Diccionario!C$2:AC$150,22,0)</f>
        <v>820808275</v>
      </c>
      <c r="M913" s="18">
        <f>VLOOKUP(E913,[1]Diccionario!C$2:AC$150,24,0)</f>
        <v>46054</v>
      </c>
      <c r="N913" s="19">
        <f>VLOOKUP(E913,[1]Diccionario!C$2:AC$150,25,0)</f>
        <v>46843</v>
      </c>
      <c r="O913" s="20">
        <f>VLOOKUP(E913,[1]Diccionario!C$2:AC$150,26,0)</f>
        <v>26</v>
      </c>
      <c r="P913" s="20">
        <f t="shared" si="169"/>
        <v>-19</v>
      </c>
      <c r="Q913" s="20">
        <v>7</v>
      </c>
      <c r="R913" s="15">
        <v>26</v>
      </c>
      <c r="S913" s="21">
        <v>0.2</v>
      </c>
      <c r="T913" s="21"/>
      <c r="U913" s="22"/>
      <c r="V913" s="24"/>
      <c r="W913" s="24">
        <f t="shared" si="170"/>
        <v>0</v>
      </c>
      <c r="X913" s="24">
        <f t="shared" si="171"/>
        <v>164161655</v>
      </c>
      <c r="Y913" s="24">
        <f t="shared" si="172"/>
        <v>0</v>
      </c>
      <c r="Z913" s="24">
        <f t="shared" si="173"/>
        <v>-164161655</v>
      </c>
      <c r="AA913" s="25" t="str">
        <f t="shared" si="174"/>
        <v>No se realizó gasto en este corte</v>
      </c>
      <c r="AB913" s="26" t="str">
        <f t="shared" si="175"/>
        <v>Costo eficiente: se está gastando menos de lo presupuestado</v>
      </c>
      <c r="AC913" s="26">
        <f t="shared" si="176"/>
        <v>0</v>
      </c>
      <c r="AD913" s="26" t="str">
        <f t="shared" si="177"/>
        <v>Sin Línea Base</v>
      </c>
      <c r="AE913" s="27">
        <f t="shared" si="178"/>
        <v>0</v>
      </c>
      <c r="AF913" s="27">
        <f t="shared" si="179"/>
        <v>-820808275</v>
      </c>
      <c r="AG913" s="28" t="str">
        <f>VLOOKUP(Indicador!E894,[1]Diccionario!C$1:AC$150,27,0)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913" s="28">
        <v>1</v>
      </c>
      <c r="AI913" s="28">
        <v>1</v>
      </c>
      <c r="AJ913" s="28"/>
      <c r="AK913" s="28"/>
    </row>
    <row r="914" spans="1:37" ht="18.75" customHeight="1" x14ac:dyDescent="0.25">
      <c r="A914" s="11">
        <v>2026</v>
      </c>
      <c r="B914" s="12" t="s">
        <v>54</v>
      </c>
      <c r="C914" s="15" t="s">
        <v>499</v>
      </c>
      <c r="D914" s="39">
        <v>46051.102793749997</v>
      </c>
      <c r="E914" s="15" t="s">
        <v>500</v>
      </c>
      <c r="F914" s="15" t="s">
        <v>184</v>
      </c>
      <c r="G914" s="15" t="s">
        <v>501</v>
      </c>
      <c r="H914" s="15" t="s">
        <v>502</v>
      </c>
      <c r="I914" s="15" t="s">
        <v>43</v>
      </c>
      <c r="J914" s="15" t="s">
        <v>503</v>
      </c>
      <c r="K914" s="15" t="s">
        <v>291</v>
      </c>
      <c r="L914" s="17">
        <f>VLOOKUP(E914,[1]Diccionario!C$2:AC$150,22,0)</f>
        <v>820808275</v>
      </c>
      <c r="M914" s="18">
        <f>VLOOKUP(E914,[1]Diccionario!C$2:AC$150,24,0)</f>
        <v>46054</v>
      </c>
      <c r="N914" s="19">
        <f>VLOOKUP(E914,[1]Diccionario!C$2:AC$150,25,0)</f>
        <v>46843</v>
      </c>
      <c r="O914" s="20">
        <f>VLOOKUP(E914,[1]Diccionario!C$2:AC$150,26,0)</f>
        <v>26</v>
      </c>
      <c r="P914" s="20">
        <f t="shared" si="169"/>
        <v>-18</v>
      </c>
      <c r="Q914" s="20">
        <v>8</v>
      </c>
      <c r="R914" s="15">
        <v>26</v>
      </c>
      <c r="S914" s="21">
        <v>0.22</v>
      </c>
      <c r="T914" s="21"/>
      <c r="U914" s="22"/>
      <c r="V914" s="24"/>
      <c r="W914" s="24">
        <f t="shared" si="170"/>
        <v>0</v>
      </c>
      <c r="X914" s="24">
        <f t="shared" si="171"/>
        <v>180577820.5</v>
      </c>
      <c r="Y914" s="24">
        <f t="shared" si="172"/>
        <v>0</v>
      </c>
      <c r="Z914" s="24">
        <f t="shared" si="173"/>
        <v>-180577820.5</v>
      </c>
      <c r="AA914" s="25" t="str">
        <f t="shared" si="174"/>
        <v>No se realizó gasto en este corte</v>
      </c>
      <c r="AB914" s="26" t="str">
        <f t="shared" si="175"/>
        <v>Costo eficiente: se está gastando menos de lo presupuestado</v>
      </c>
      <c r="AC914" s="26">
        <f t="shared" si="176"/>
        <v>0</v>
      </c>
      <c r="AD914" s="26" t="str">
        <f t="shared" si="177"/>
        <v>Sin Línea Base</v>
      </c>
      <c r="AE914" s="27">
        <f t="shared" si="178"/>
        <v>0</v>
      </c>
      <c r="AF914" s="27">
        <f t="shared" si="179"/>
        <v>-820808275</v>
      </c>
      <c r="AG914" s="28" t="str">
        <f>VLOOKUP(Indicador!E895,[1]Diccionario!C$1:AC$150,27,0)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914" s="28">
        <v>1</v>
      </c>
      <c r="AI914" s="28">
        <v>1</v>
      </c>
      <c r="AJ914" s="28"/>
      <c r="AK914" s="28"/>
    </row>
    <row r="915" spans="1:37" ht="18.75" customHeight="1" x14ac:dyDescent="0.25">
      <c r="A915" s="11">
        <v>2026</v>
      </c>
      <c r="B915" s="12" t="s">
        <v>55</v>
      </c>
      <c r="C915" s="15" t="s">
        <v>499</v>
      </c>
      <c r="D915" s="39">
        <v>46051.102793749997</v>
      </c>
      <c r="E915" s="15" t="s">
        <v>500</v>
      </c>
      <c r="F915" s="15" t="s">
        <v>184</v>
      </c>
      <c r="G915" s="15" t="s">
        <v>501</v>
      </c>
      <c r="H915" s="15" t="s">
        <v>502</v>
      </c>
      <c r="I915" s="15" t="s">
        <v>43</v>
      </c>
      <c r="J915" s="15" t="s">
        <v>503</v>
      </c>
      <c r="K915" s="15" t="s">
        <v>291</v>
      </c>
      <c r="L915" s="17">
        <f>VLOOKUP(E915,[1]Diccionario!C$2:AC$150,22,0)</f>
        <v>820808275</v>
      </c>
      <c r="M915" s="18">
        <f>VLOOKUP(E915,[1]Diccionario!C$2:AC$150,24,0)</f>
        <v>46054</v>
      </c>
      <c r="N915" s="19">
        <f>VLOOKUP(E915,[1]Diccionario!C$2:AC$150,25,0)</f>
        <v>46843</v>
      </c>
      <c r="O915" s="20">
        <f>VLOOKUP(E915,[1]Diccionario!C$2:AC$150,26,0)</f>
        <v>26</v>
      </c>
      <c r="P915" s="20">
        <f t="shared" si="169"/>
        <v>-17</v>
      </c>
      <c r="Q915" s="20">
        <v>9</v>
      </c>
      <c r="R915" s="15">
        <v>26</v>
      </c>
      <c r="S915" s="21">
        <v>0.28000000000000003</v>
      </c>
      <c r="T915" s="21"/>
      <c r="U915" s="22"/>
      <c r="V915" s="24"/>
      <c r="W915" s="24">
        <f t="shared" si="170"/>
        <v>0</v>
      </c>
      <c r="X915" s="24">
        <f t="shared" si="171"/>
        <v>229826317.00000003</v>
      </c>
      <c r="Y915" s="24">
        <f t="shared" si="172"/>
        <v>0</v>
      </c>
      <c r="Z915" s="24">
        <f t="shared" si="173"/>
        <v>-229826317.00000003</v>
      </c>
      <c r="AA915" s="25" t="str">
        <f t="shared" si="174"/>
        <v>No se realizó gasto en este corte</v>
      </c>
      <c r="AB915" s="26" t="str">
        <f t="shared" si="175"/>
        <v>Costo eficiente: se está gastando menos de lo presupuestado</v>
      </c>
      <c r="AC915" s="26">
        <f t="shared" si="176"/>
        <v>0</v>
      </c>
      <c r="AD915" s="26" t="str">
        <f t="shared" si="177"/>
        <v>Sin Línea Base</v>
      </c>
      <c r="AE915" s="27">
        <f t="shared" si="178"/>
        <v>0</v>
      </c>
      <c r="AF915" s="27">
        <f t="shared" si="179"/>
        <v>-820808275</v>
      </c>
      <c r="AG915" s="28" t="str">
        <f>VLOOKUP(Indicador!E896,[1]Diccionario!C$1:AC$150,27,0)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915" s="28">
        <v>1</v>
      </c>
      <c r="AI915" s="28">
        <v>1</v>
      </c>
      <c r="AJ915" s="28"/>
      <c r="AK915" s="28"/>
    </row>
    <row r="916" spans="1:37" ht="18.75" customHeight="1" x14ac:dyDescent="0.25">
      <c r="A916" s="11">
        <v>2026</v>
      </c>
      <c r="B916" s="12" t="s">
        <v>56</v>
      </c>
      <c r="C916" s="15" t="s">
        <v>499</v>
      </c>
      <c r="D916" s="39">
        <v>46051.102793749997</v>
      </c>
      <c r="E916" s="15" t="s">
        <v>500</v>
      </c>
      <c r="F916" s="15" t="s">
        <v>184</v>
      </c>
      <c r="G916" s="15" t="s">
        <v>501</v>
      </c>
      <c r="H916" s="15" t="s">
        <v>502</v>
      </c>
      <c r="I916" s="15" t="s">
        <v>43</v>
      </c>
      <c r="J916" s="15" t="s">
        <v>503</v>
      </c>
      <c r="K916" s="15" t="s">
        <v>291</v>
      </c>
      <c r="L916" s="17">
        <f>VLOOKUP(E916,[1]Diccionario!C$2:AC$150,22,0)</f>
        <v>820808275</v>
      </c>
      <c r="M916" s="18">
        <f>VLOOKUP(E916,[1]Diccionario!C$2:AC$150,24,0)</f>
        <v>46054</v>
      </c>
      <c r="N916" s="19">
        <f>VLOOKUP(E916,[1]Diccionario!C$2:AC$150,25,0)</f>
        <v>46843</v>
      </c>
      <c r="O916" s="20">
        <f>VLOOKUP(E916,[1]Diccionario!C$2:AC$150,26,0)</f>
        <v>26</v>
      </c>
      <c r="P916" s="20">
        <f t="shared" si="169"/>
        <v>-16</v>
      </c>
      <c r="Q916" s="20">
        <v>10</v>
      </c>
      <c r="R916" s="15">
        <v>26</v>
      </c>
      <c r="S916" s="21">
        <v>0.3</v>
      </c>
      <c r="T916" s="21"/>
      <c r="U916" s="22"/>
      <c r="V916" s="24"/>
      <c r="W916" s="24">
        <f t="shared" si="170"/>
        <v>0</v>
      </c>
      <c r="X916" s="24">
        <f t="shared" si="171"/>
        <v>246242482.5</v>
      </c>
      <c r="Y916" s="24">
        <f t="shared" si="172"/>
        <v>0</v>
      </c>
      <c r="Z916" s="24">
        <f t="shared" si="173"/>
        <v>-246242482.5</v>
      </c>
      <c r="AA916" s="25" t="str">
        <f t="shared" si="174"/>
        <v>No se realizó gasto en este corte</v>
      </c>
      <c r="AB916" s="26" t="str">
        <f t="shared" si="175"/>
        <v>Costo eficiente: se está gastando menos de lo presupuestado</v>
      </c>
      <c r="AC916" s="26">
        <f t="shared" si="176"/>
        <v>0</v>
      </c>
      <c r="AD916" s="26" t="str">
        <f t="shared" si="177"/>
        <v>Sin Línea Base</v>
      </c>
      <c r="AE916" s="27">
        <f t="shared" si="178"/>
        <v>0</v>
      </c>
      <c r="AF916" s="27">
        <f t="shared" si="179"/>
        <v>-820808275</v>
      </c>
      <c r="AG916" s="28" t="str">
        <f>VLOOKUP(Indicador!E897,[1]Diccionario!C$1:AC$150,27,0)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916" s="28">
        <v>1</v>
      </c>
      <c r="AI916" s="28">
        <v>1</v>
      </c>
      <c r="AJ916" s="28"/>
      <c r="AK916" s="28"/>
    </row>
    <row r="917" spans="1:37" ht="18.75" customHeight="1" x14ac:dyDescent="0.25">
      <c r="A917" s="11">
        <v>2026</v>
      </c>
      <c r="B917" s="12" t="s">
        <v>57</v>
      </c>
      <c r="C917" s="15" t="s">
        <v>499</v>
      </c>
      <c r="D917" s="39">
        <v>46051.102793749997</v>
      </c>
      <c r="E917" s="15" t="s">
        <v>500</v>
      </c>
      <c r="F917" s="15" t="s">
        <v>184</v>
      </c>
      <c r="G917" s="15" t="s">
        <v>501</v>
      </c>
      <c r="H917" s="15" t="s">
        <v>502</v>
      </c>
      <c r="I917" s="15" t="s">
        <v>43</v>
      </c>
      <c r="J917" s="15" t="s">
        <v>503</v>
      </c>
      <c r="K917" s="15" t="s">
        <v>291</v>
      </c>
      <c r="L917" s="17">
        <f>VLOOKUP(E917,[1]Diccionario!C$2:AC$150,22,0)</f>
        <v>820808275</v>
      </c>
      <c r="M917" s="18">
        <f>VLOOKUP(E917,[1]Diccionario!C$2:AC$150,24,0)</f>
        <v>46054</v>
      </c>
      <c r="N917" s="19">
        <f>VLOOKUP(E917,[1]Diccionario!C$2:AC$150,25,0)</f>
        <v>46843</v>
      </c>
      <c r="O917" s="20">
        <f>VLOOKUP(E917,[1]Diccionario!C$2:AC$150,26,0)</f>
        <v>26</v>
      </c>
      <c r="P917" s="20">
        <f t="shared" si="169"/>
        <v>-15</v>
      </c>
      <c r="Q917" s="20">
        <v>11</v>
      </c>
      <c r="R917" s="15">
        <v>26</v>
      </c>
      <c r="S917" s="21">
        <v>0.38</v>
      </c>
      <c r="T917" s="21"/>
      <c r="U917" s="22"/>
      <c r="V917" s="24"/>
      <c r="W917" s="24">
        <f t="shared" si="170"/>
        <v>0</v>
      </c>
      <c r="X917" s="24">
        <f t="shared" si="171"/>
        <v>311907144.5</v>
      </c>
      <c r="Y917" s="24">
        <f t="shared" si="172"/>
        <v>0</v>
      </c>
      <c r="Z917" s="24">
        <f t="shared" si="173"/>
        <v>-311907144.5</v>
      </c>
      <c r="AA917" s="25" t="str">
        <f t="shared" si="174"/>
        <v>No se realizó gasto en este corte</v>
      </c>
      <c r="AB917" s="26" t="str">
        <f t="shared" si="175"/>
        <v>Costo eficiente: se está gastando menos de lo presupuestado</v>
      </c>
      <c r="AC917" s="26">
        <f t="shared" si="176"/>
        <v>0</v>
      </c>
      <c r="AD917" s="26" t="str">
        <f t="shared" si="177"/>
        <v>Sin Línea Base</v>
      </c>
      <c r="AE917" s="27">
        <f t="shared" si="178"/>
        <v>0</v>
      </c>
      <c r="AF917" s="27">
        <f t="shared" si="179"/>
        <v>-820808275</v>
      </c>
      <c r="AG917" s="28" t="str">
        <f>VLOOKUP(Indicador!E898,[1]Diccionario!C$1:AC$150,27,0)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917" s="28">
        <v>1</v>
      </c>
      <c r="AI917" s="28">
        <v>1</v>
      </c>
      <c r="AJ917" s="28"/>
      <c r="AK917" s="28"/>
    </row>
    <row r="918" spans="1:37" ht="18.75" customHeight="1" x14ac:dyDescent="0.25">
      <c r="A918" s="11">
        <v>2027</v>
      </c>
      <c r="B918" s="12" t="s">
        <v>37</v>
      </c>
      <c r="C918" s="15" t="s">
        <v>499</v>
      </c>
      <c r="D918" s="39">
        <v>46051.102793749997</v>
      </c>
      <c r="E918" s="15" t="s">
        <v>500</v>
      </c>
      <c r="F918" s="15" t="s">
        <v>184</v>
      </c>
      <c r="G918" s="15" t="s">
        <v>501</v>
      </c>
      <c r="H918" s="15" t="s">
        <v>502</v>
      </c>
      <c r="I918" s="15" t="s">
        <v>43</v>
      </c>
      <c r="J918" s="15" t="s">
        <v>503</v>
      </c>
      <c r="K918" s="15" t="s">
        <v>291</v>
      </c>
      <c r="L918" s="17">
        <f>VLOOKUP(E918,[1]Diccionario!C$2:AC$150,22,0)</f>
        <v>820808275</v>
      </c>
      <c r="M918" s="18">
        <f>VLOOKUP(E918,[1]Diccionario!C$2:AC$150,24,0)</f>
        <v>46054</v>
      </c>
      <c r="N918" s="19">
        <f>VLOOKUP(E918,[1]Diccionario!C$2:AC$150,25,0)</f>
        <v>46843</v>
      </c>
      <c r="O918" s="20">
        <f>VLOOKUP(E918,[1]Diccionario!C$2:AC$150,26,0)</f>
        <v>26</v>
      </c>
      <c r="P918" s="20">
        <f t="shared" si="169"/>
        <v>-14</v>
      </c>
      <c r="Q918" s="20">
        <v>12</v>
      </c>
      <c r="R918" s="15">
        <v>26</v>
      </c>
      <c r="S918" s="21">
        <v>0.4</v>
      </c>
      <c r="T918" s="21"/>
      <c r="U918" s="22"/>
      <c r="V918" s="24"/>
      <c r="W918" s="24">
        <f t="shared" si="170"/>
        <v>0</v>
      </c>
      <c r="X918" s="24">
        <f t="shared" si="171"/>
        <v>328323310</v>
      </c>
      <c r="Y918" s="24">
        <f t="shared" si="172"/>
        <v>0</v>
      </c>
      <c r="Z918" s="24">
        <f t="shared" si="173"/>
        <v>-328323310</v>
      </c>
      <c r="AA918" s="25" t="str">
        <f t="shared" si="174"/>
        <v>No se realizó gasto en este corte</v>
      </c>
      <c r="AB918" s="26" t="str">
        <f t="shared" si="175"/>
        <v>Costo eficiente: se está gastando menos de lo presupuestado</v>
      </c>
      <c r="AC918" s="26">
        <f t="shared" si="176"/>
        <v>0</v>
      </c>
      <c r="AD918" s="26" t="str">
        <f t="shared" si="177"/>
        <v>Sin Línea Base</v>
      </c>
      <c r="AE918" s="27">
        <f t="shared" si="178"/>
        <v>0</v>
      </c>
      <c r="AF918" s="27">
        <f t="shared" si="179"/>
        <v>-820808275</v>
      </c>
      <c r="AG918" s="28" t="str">
        <f>VLOOKUP(Indicador!E899,[1]Diccionario!C$1:AC$150,27,0)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918" s="28">
        <v>1</v>
      </c>
      <c r="AI918" s="28">
        <v>1</v>
      </c>
      <c r="AJ918" s="28"/>
      <c r="AK918" s="28"/>
    </row>
    <row r="919" spans="1:37" ht="18.75" customHeight="1" x14ac:dyDescent="0.25">
      <c r="A919" s="11">
        <v>2027</v>
      </c>
      <c r="B919" s="12" t="s">
        <v>47</v>
      </c>
      <c r="C919" s="15" t="s">
        <v>499</v>
      </c>
      <c r="D919" s="39">
        <v>46051.102793749997</v>
      </c>
      <c r="E919" s="15" t="s">
        <v>500</v>
      </c>
      <c r="F919" s="15" t="s">
        <v>184</v>
      </c>
      <c r="G919" s="15" t="s">
        <v>501</v>
      </c>
      <c r="H919" s="15" t="s">
        <v>502</v>
      </c>
      <c r="I919" s="15" t="s">
        <v>43</v>
      </c>
      <c r="J919" s="15" t="s">
        <v>503</v>
      </c>
      <c r="K919" s="15" t="s">
        <v>291</v>
      </c>
      <c r="L919" s="17">
        <f>VLOOKUP(E919,[1]Diccionario!C$2:AC$150,22,0)</f>
        <v>820808275</v>
      </c>
      <c r="M919" s="18">
        <f>VLOOKUP(E919,[1]Diccionario!C$2:AC$150,24,0)</f>
        <v>46054</v>
      </c>
      <c r="N919" s="19">
        <f>VLOOKUP(E919,[1]Diccionario!C$2:AC$150,25,0)</f>
        <v>46843</v>
      </c>
      <c r="O919" s="20">
        <f>VLOOKUP(E919,[1]Diccionario!C$2:AC$150,26,0)</f>
        <v>26</v>
      </c>
      <c r="P919" s="20">
        <f t="shared" si="169"/>
        <v>-13</v>
      </c>
      <c r="Q919" s="20">
        <v>13</v>
      </c>
      <c r="R919" s="15">
        <v>26</v>
      </c>
      <c r="S919" s="21">
        <v>0.45</v>
      </c>
      <c r="T919" s="21"/>
      <c r="U919" s="22"/>
      <c r="V919" s="24"/>
      <c r="W919" s="24">
        <f t="shared" si="170"/>
        <v>0</v>
      </c>
      <c r="X919" s="24">
        <f t="shared" si="171"/>
        <v>369363723.75</v>
      </c>
      <c r="Y919" s="24">
        <f t="shared" si="172"/>
        <v>0</v>
      </c>
      <c r="Z919" s="24">
        <f t="shared" si="173"/>
        <v>-369363723.75</v>
      </c>
      <c r="AA919" s="25" t="str">
        <f t="shared" si="174"/>
        <v>No se realizó gasto en este corte</v>
      </c>
      <c r="AB919" s="26" t="str">
        <f t="shared" si="175"/>
        <v>Costo eficiente: se está gastando menos de lo presupuestado</v>
      </c>
      <c r="AC919" s="26">
        <f t="shared" si="176"/>
        <v>0</v>
      </c>
      <c r="AD919" s="26" t="str">
        <f t="shared" si="177"/>
        <v>Sin Línea Base</v>
      </c>
      <c r="AE919" s="27">
        <f t="shared" si="178"/>
        <v>0</v>
      </c>
      <c r="AF919" s="27">
        <f t="shared" si="179"/>
        <v>-820808275</v>
      </c>
      <c r="AG919" s="28" t="str">
        <f>VLOOKUP(Indicador!E900,[1]Diccionario!C$1:AC$150,27,0)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919" s="28">
        <v>1</v>
      </c>
      <c r="AI919" s="28">
        <v>1</v>
      </c>
      <c r="AJ919" s="28"/>
      <c r="AK919" s="28"/>
    </row>
    <row r="920" spans="1:37" ht="18.75" customHeight="1" x14ac:dyDescent="0.25">
      <c r="A920" s="95">
        <v>2027</v>
      </c>
      <c r="B920" s="96" t="s">
        <v>48</v>
      </c>
      <c r="C920" s="97" t="s">
        <v>499</v>
      </c>
      <c r="D920" s="98">
        <v>46051.102793749997</v>
      </c>
      <c r="E920" s="97" t="s">
        <v>500</v>
      </c>
      <c r="F920" s="97" t="s">
        <v>184</v>
      </c>
      <c r="G920" s="97" t="s">
        <v>501</v>
      </c>
      <c r="H920" s="97" t="s">
        <v>502</v>
      </c>
      <c r="I920" s="97" t="s">
        <v>43</v>
      </c>
      <c r="J920" s="97" t="s">
        <v>503</v>
      </c>
      <c r="K920" s="97" t="s">
        <v>291</v>
      </c>
      <c r="L920" s="99">
        <f>VLOOKUP(E920,[1]Diccionario!C$2:AC$150,22,0)</f>
        <v>820808275</v>
      </c>
      <c r="M920" s="100">
        <f>VLOOKUP(E920,[1]Diccionario!C$2:AC$150,24,0)</f>
        <v>46054</v>
      </c>
      <c r="N920" s="101">
        <f>VLOOKUP(E920,[1]Diccionario!C$2:AC$150,25,0)</f>
        <v>46843</v>
      </c>
      <c r="O920" s="102">
        <f>VLOOKUP(E920,[1]Diccionario!C$2:AC$150,26,0)</f>
        <v>26</v>
      </c>
      <c r="P920" s="102">
        <f t="shared" si="169"/>
        <v>-12</v>
      </c>
      <c r="Q920" s="102">
        <v>14</v>
      </c>
      <c r="R920" s="97">
        <v>26</v>
      </c>
      <c r="S920" s="103">
        <v>0.5</v>
      </c>
      <c r="T920" s="103"/>
      <c r="U920" s="104"/>
      <c r="V920" s="105"/>
      <c r="W920" s="105">
        <f t="shared" si="170"/>
        <v>0</v>
      </c>
      <c r="X920" s="105">
        <f t="shared" si="171"/>
        <v>410404137.5</v>
      </c>
      <c r="Y920" s="105">
        <f t="shared" si="172"/>
        <v>0</v>
      </c>
      <c r="Z920" s="105">
        <f t="shared" si="173"/>
        <v>-410404137.5</v>
      </c>
      <c r="AA920" s="106" t="str">
        <f t="shared" si="174"/>
        <v>No se realizó gasto en este corte</v>
      </c>
      <c r="AB920" s="107" t="str">
        <f t="shared" si="175"/>
        <v>Costo eficiente: se está gastando menos de lo presupuestado</v>
      </c>
      <c r="AC920" s="107">
        <f t="shared" si="176"/>
        <v>0</v>
      </c>
      <c r="AD920" s="107" t="str">
        <f t="shared" si="177"/>
        <v>Sin Línea Base</v>
      </c>
      <c r="AE920" s="108">
        <f t="shared" si="178"/>
        <v>0</v>
      </c>
      <c r="AF920" s="108">
        <f t="shared" si="179"/>
        <v>-820808275</v>
      </c>
      <c r="AG920" s="28" t="str">
        <f>VLOOKUP(Indicador!E901,[1]Diccionario!C$1:AC$150,27,0)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920" s="28">
        <v>1</v>
      </c>
      <c r="AI920" s="28">
        <v>1</v>
      </c>
      <c r="AJ920" s="28"/>
      <c r="AK920" s="28"/>
    </row>
    <row r="921" spans="1:37" ht="18.75" customHeight="1" x14ac:dyDescent="0.25">
      <c r="A921" s="11">
        <v>2027</v>
      </c>
      <c r="B921" s="12" t="s">
        <v>49</v>
      </c>
      <c r="C921" s="15" t="s">
        <v>499</v>
      </c>
      <c r="D921" s="39">
        <v>46051.102793749997</v>
      </c>
      <c r="E921" s="15" t="s">
        <v>500</v>
      </c>
      <c r="F921" s="15" t="s">
        <v>184</v>
      </c>
      <c r="G921" s="97" t="s">
        <v>501</v>
      </c>
      <c r="H921" s="15" t="s">
        <v>502</v>
      </c>
      <c r="I921" s="15" t="s">
        <v>43</v>
      </c>
      <c r="J921" s="15" t="s">
        <v>503</v>
      </c>
      <c r="K921" s="15" t="s">
        <v>291</v>
      </c>
      <c r="L921" s="17">
        <f>VLOOKUP(E921,[1]Diccionario!C$2:AC$150,22,0)</f>
        <v>820808275</v>
      </c>
      <c r="M921" s="18">
        <f>VLOOKUP(E921,[1]Diccionario!C$2:AC$150,24,0)</f>
        <v>46054</v>
      </c>
      <c r="N921" s="19">
        <f>VLOOKUP(E921,[1]Diccionario!C$2:AC$150,25,0)</f>
        <v>46843</v>
      </c>
      <c r="O921" s="20">
        <f>VLOOKUP(E921,[1]Diccionario!C$2:AC$150,26,0)</f>
        <v>26</v>
      </c>
      <c r="P921" s="20">
        <f t="shared" si="169"/>
        <v>-11</v>
      </c>
      <c r="Q921" s="20">
        <v>15</v>
      </c>
      <c r="R921" s="15">
        <v>26</v>
      </c>
      <c r="S921" s="21">
        <v>0.57999999999999996</v>
      </c>
      <c r="T921" s="21"/>
      <c r="U921" s="22"/>
      <c r="V921" s="24"/>
      <c r="W921" s="24">
        <f t="shared" si="170"/>
        <v>0</v>
      </c>
      <c r="X921" s="24">
        <f t="shared" si="171"/>
        <v>476068799.49999994</v>
      </c>
      <c r="Y921" s="24">
        <f t="shared" si="172"/>
        <v>0</v>
      </c>
      <c r="Z921" s="24">
        <f t="shared" si="173"/>
        <v>-476068799.49999994</v>
      </c>
      <c r="AA921" s="25" t="str">
        <f t="shared" si="174"/>
        <v>No se realizó gasto en este corte</v>
      </c>
      <c r="AB921" s="26" t="str">
        <f t="shared" si="175"/>
        <v>Costo eficiente: se está gastando menos de lo presupuestado</v>
      </c>
      <c r="AC921" s="26">
        <f t="shared" si="176"/>
        <v>0</v>
      </c>
      <c r="AD921" s="26" t="str">
        <f t="shared" si="177"/>
        <v>Sin Línea Base</v>
      </c>
      <c r="AE921" s="27">
        <f t="shared" si="178"/>
        <v>0</v>
      </c>
      <c r="AF921" s="27">
        <f t="shared" si="179"/>
        <v>-820808275</v>
      </c>
      <c r="AG921" s="28" t="str">
        <f>VLOOKUP(Indicador!E902,[1]Diccionario!C$1:AC$150,27,0)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921" s="28">
        <v>1</v>
      </c>
      <c r="AI921" s="28">
        <v>1</v>
      </c>
      <c r="AJ921" s="28"/>
      <c r="AK921" s="28"/>
    </row>
    <row r="922" spans="1:37" ht="18.75" customHeight="1" x14ac:dyDescent="0.25">
      <c r="A922" s="11">
        <v>2027</v>
      </c>
      <c r="B922" s="12" t="s">
        <v>50</v>
      </c>
      <c r="C922" s="15" t="s">
        <v>499</v>
      </c>
      <c r="D922" s="39">
        <v>46051.102793749997</v>
      </c>
      <c r="E922" s="15" t="s">
        <v>500</v>
      </c>
      <c r="F922" s="15" t="s">
        <v>184</v>
      </c>
      <c r="G922" s="97" t="s">
        <v>501</v>
      </c>
      <c r="H922" s="15" t="s">
        <v>502</v>
      </c>
      <c r="I922" s="15" t="s">
        <v>43</v>
      </c>
      <c r="J922" s="15" t="s">
        <v>503</v>
      </c>
      <c r="K922" s="15" t="s">
        <v>291</v>
      </c>
      <c r="L922" s="17">
        <f>VLOOKUP(E922,[1]Diccionario!C$2:AC$150,22,0)</f>
        <v>820808275</v>
      </c>
      <c r="M922" s="18">
        <f>VLOOKUP(E922,[1]Diccionario!C$2:AC$150,24,0)</f>
        <v>46054</v>
      </c>
      <c r="N922" s="19">
        <f>VLOOKUP(E922,[1]Diccionario!C$2:AC$150,25,0)</f>
        <v>46843</v>
      </c>
      <c r="O922" s="20">
        <f>VLOOKUP(E922,[1]Diccionario!C$2:AC$150,26,0)</f>
        <v>26</v>
      </c>
      <c r="P922" s="20">
        <f t="shared" si="169"/>
        <v>-10</v>
      </c>
      <c r="Q922" s="20">
        <v>16</v>
      </c>
      <c r="R922" s="15">
        <v>26</v>
      </c>
      <c r="S922" s="21">
        <v>0.62</v>
      </c>
      <c r="T922" s="21"/>
      <c r="U922" s="22"/>
      <c r="V922" s="24"/>
      <c r="W922" s="24">
        <f t="shared" si="170"/>
        <v>0</v>
      </c>
      <c r="X922" s="24">
        <f t="shared" si="171"/>
        <v>508901130.5</v>
      </c>
      <c r="Y922" s="24">
        <f t="shared" si="172"/>
        <v>0</v>
      </c>
      <c r="Z922" s="24">
        <f t="shared" si="173"/>
        <v>-508901130.5</v>
      </c>
      <c r="AA922" s="25" t="str">
        <f t="shared" si="174"/>
        <v>No se realizó gasto en este corte</v>
      </c>
      <c r="AB922" s="26" t="str">
        <f t="shared" si="175"/>
        <v>Costo eficiente: se está gastando menos de lo presupuestado</v>
      </c>
      <c r="AC922" s="26">
        <f t="shared" si="176"/>
        <v>0</v>
      </c>
      <c r="AD922" s="26" t="str">
        <f t="shared" si="177"/>
        <v>Sin Línea Base</v>
      </c>
      <c r="AE922" s="27">
        <f t="shared" si="178"/>
        <v>0</v>
      </c>
      <c r="AF922" s="27">
        <f t="shared" si="179"/>
        <v>-820808275</v>
      </c>
      <c r="AG922" s="28" t="str">
        <f>VLOOKUP(Indicador!E903,[1]Diccionario!C$1:AC$150,27,0)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922" s="28">
        <v>1</v>
      </c>
      <c r="AI922" s="28">
        <v>1</v>
      </c>
      <c r="AJ922" s="28"/>
      <c r="AK922" s="28"/>
    </row>
    <row r="923" spans="1:37" ht="18.75" customHeight="1" x14ac:dyDescent="0.25">
      <c r="A923" s="95">
        <v>2027</v>
      </c>
      <c r="B923" s="12" t="s">
        <v>51</v>
      </c>
      <c r="C923" s="97" t="s">
        <v>499</v>
      </c>
      <c r="D923" s="98">
        <v>46051.102793749997</v>
      </c>
      <c r="E923" s="15" t="s">
        <v>500</v>
      </c>
      <c r="F923" s="15" t="s">
        <v>184</v>
      </c>
      <c r="G923" s="97" t="s">
        <v>501</v>
      </c>
      <c r="H923" s="15" t="s">
        <v>502</v>
      </c>
      <c r="I923" s="15" t="s">
        <v>43</v>
      </c>
      <c r="J923" s="15" t="s">
        <v>503</v>
      </c>
      <c r="K923" s="15" t="s">
        <v>291</v>
      </c>
      <c r="L923" s="99">
        <f>VLOOKUP(E923,[1]Diccionario!C$2:AC$150,22,0)</f>
        <v>820808275</v>
      </c>
      <c r="M923" s="100">
        <f>VLOOKUP(E923,[1]Diccionario!C$2:AC$150,24,0)</f>
        <v>46054</v>
      </c>
      <c r="N923" s="101">
        <f>VLOOKUP(E923,[1]Diccionario!C$2:AC$150,25,0)</f>
        <v>46843</v>
      </c>
      <c r="O923" s="102">
        <f>VLOOKUP(E923,[1]Diccionario!C$2:AC$150,26,0)</f>
        <v>26</v>
      </c>
      <c r="P923" s="102">
        <f t="shared" si="169"/>
        <v>-9</v>
      </c>
      <c r="Q923" s="102">
        <v>17</v>
      </c>
      <c r="R923" s="97">
        <v>26</v>
      </c>
      <c r="S923" s="103">
        <v>0.68</v>
      </c>
      <c r="T923" s="103"/>
      <c r="U923" s="104"/>
      <c r="V923" s="105"/>
      <c r="W923" s="105">
        <f t="shared" si="170"/>
        <v>0</v>
      </c>
      <c r="X923" s="105">
        <f t="shared" si="171"/>
        <v>558149627</v>
      </c>
      <c r="Y923" s="105">
        <f t="shared" si="172"/>
        <v>0</v>
      </c>
      <c r="Z923" s="105">
        <f t="shared" si="173"/>
        <v>-558149627</v>
      </c>
      <c r="AA923" s="106" t="str">
        <f t="shared" si="174"/>
        <v>No se realizó gasto en este corte</v>
      </c>
      <c r="AB923" s="107" t="str">
        <f t="shared" si="175"/>
        <v>Costo eficiente: se está gastando menos de lo presupuestado</v>
      </c>
      <c r="AC923" s="107">
        <f t="shared" si="176"/>
        <v>0</v>
      </c>
      <c r="AD923" s="107" t="str">
        <f t="shared" si="177"/>
        <v>Sin Línea Base</v>
      </c>
      <c r="AE923" s="108">
        <f t="shared" si="178"/>
        <v>0</v>
      </c>
      <c r="AF923" s="108">
        <f t="shared" si="179"/>
        <v>-820808275</v>
      </c>
      <c r="AG923" s="28" t="str">
        <f>VLOOKUP(Indicador!E904,[1]Diccionario!C$1:AC$150,27,0)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923" s="28">
        <v>1</v>
      </c>
      <c r="AI923" s="28">
        <v>1</v>
      </c>
      <c r="AJ923" s="28"/>
      <c r="AK923" s="28"/>
    </row>
    <row r="924" spans="1:37" ht="18.75" customHeight="1" x14ac:dyDescent="0.25">
      <c r="A924" s="95">
        <v>2027</v>
      </c>
      <c r="B924" s="12" t="s">
        <v>52</v>
      </c>
      <c r="C924" s="97" t="s">
        <v>499</v>
      </c>
      <c r="D924" s="98">
        <v>46051.102793749997</v>
      </c>
      <c r="E924" s="15" t="s">
        <v>500</v>
      </c>
      <c r="F924" s="15" t="s">
        <v>184</v>
      </c>
      <c r="G924" s="97" t="s">
        <v>501</v>
      </c>
      <c r="H924" s="15" t="s">
        <v>502</v>
      </c>
      <c r="I924" s="15" t="s">
        <v>43</v>
      </c>
      <c r="J924" s="15" t="s">
        <v>503</v>
      </c>
      <c r="K924" s="15" t="s">
        <v>291</v>
      </c>
      <c r="L924" s="99">
        <f>VLOOKUP(E924,[1]Diccionario!C$2:AC$150,22,0)</f>
        <v>820808275</v>
      </c>
      <c r="M924" s="100">
        <f>VLOOKUP(E924,[1]Diccionario!C$2:AC$150,24,0)</f>
        <v>46054</v>
      </c>
      <c r="N924" s="101">
        <f>VLOOKUP(E924,[1]Diccionario!C$2:AC$150,25,0)</f>
        <v>46843</v>
      </c>
      <c r="O924" s="102">
        <f>VLOOKUP(E924,[1]Diccionario!C$2:AC$150,26,0)</f>
        <v>26</v>
      </c>
      <c r="P924" s="102">
        <f t="shared" si="169"/>
        <v>-8</v>
      </c>
      <c r="Q924" s="102">
        <v>18</v>
      </c>
      <c r="R924" s="97">
        <v>26</v>
      </c>
      <c r="S924" s="103">
        <v>0.7</v>
      </c>
      <c r="T924" s="103"/>
      <c r="U924" s="104"/>
      <c r="V924" s="105"/>
      <c r="W924" s="105">
        <f t="shared" si="170"/>
        <v>0</v>
      </c>
      <c r="X924" s="105">
        <f t="shared" si="171"/>
        <v>574565792.5</v>
      </c>
      <c r="Y924" s="105">
        <f t="shared" si="172"/>
        <v>0</v>
      </c>
      <c r="Z924" s="105">
        <f t="shared" si="173"/>
        <v>-574565792.5</v>
      </c>
      <c r="AA924" s="106" t="str">
        <f t="shared" si="174"/>
        <v>No se realizó gasto en este corte</v>
      </c>
      <c r="AB924" s="107" t="str">
        <f t="shared" si="175"/>
        <v>Costo eficiente: se está gastando menos de lo presupuestado</v>
      </c>
      <c r="AC924" s="107">
        <f t="shared" si="176"/>
        <v>0</v>
      </c>
      <c r="AD924" s="107" t="str">
        <f t="shared" si="177"/>
        <v>Sin Línea Base</v>
      </c>
      <c r="AE924" s="108">
        <f t="shared" si="178"/>
        <v>0</v>
      </c>
      <c r="AF924" s="108">
        <f t="shared" si="179"/>
        <v>-820808275</v>
      </c>
      <c r="AG924" s="28" t="str">
        <f>VLOOKUP(Indicador!E905,[1]Diccionario!C$1:AC$150,27,0)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924" s="28">
        <v>1</v>
      </c>
      <c r="AI924" s="28">
        <v>1</v>
      </c>
      <c r="AJ924" s="28"/>
      <c r="AK924" s="28"/>
    </row>
    <row r="925" spans="1:37" ht="18.75" customHeight="1" x14ac:dyDescent="0.25">
      <c r="A925" s="95">
        <v>2027</v>
      </c>
      <c r="B925" s="12" t="s">
        <v>53</v>
      </c>
      <c r="C925" s="97" t="s">
        <v>499</v>
      </c>
      <c r="D925" s="98">
        <v>46051.102793749997</v>
      </c>
      <c r="E925" s="15" t="s">
        <v>500</v>
      </c>
      <c r="F925" s="15" t="s">
        <v>184</v>
      </c>
      <c r="G925" s="97" t="s">
        <v>501</v>
      </c>
      <c r="H925" s="15" t="s">
        <v>502</v>
      </c>
      <c r="I925" s="15" t="s">
        <v>43</v>
      </c>
      <c r="J925" s="15" t="s">
        <v>503</v>
      </c>
      <c r="K925" s="15" t="s">
        <v>291</v>
      </c>
      <c r="L925" s="99">
        <f>VLOOKUP(E925,[1]Diccionario!C$2:AC$150,22,0)</f>
        <v>820808275</v>
      </c>
      <c r="M925" s="100">
        <f>VLOOKUP(E925,[1]Diccionario!C$2:AC$150,24,0)</f>
        <v>46054</v>
      </c>
      <c r="N925" s="101">
        <f>VLOOKUP(E925,[1]Diccionario!C$2:AC$150,25,0)</f>
        <v>46843</v>
      </c>
      <c r="O925" s="102">
        <f>VLOOKUP(E925,[1]Diccionario!C$2:AC$150,26,0)</f>
        <v>26</v>
      </c>
      <c r="P925" s="102">
        <f t="shared" si="169"/>
        <v>-7</v>
      </c>
      <c r="Q925" s="102">
        <v>19</v>
      </c>
      <c r="R925" s="97">
        <v>26</v>
      </c>
      <c r="S925" s="103">
        <v>0.75</v>
      </c>
      <c r="T925" s="103"/>
      <c r="U925" s="104"/>
      <c r="V925" s="105"/>
      <c r="W925" s="105">
        <f t="shared" si="170"/>
        <v>0</v>
      </c>
      <c r="X925" s="105">
        <f t="shared" si="171"/>
        <v>615606206.25</v>
      </c>
      <c r="Y925" s="105">
        <f t="shared" si="172"/>
        <v>0</v>
      </c>
      <c r="Z925" s="105">
        <f t="shared" si="173"/>
        <v>-615606206.25</v>
      </c>
      <c r="AA925" s="106" t="str">
        <f t="shared" si="174"/>
        <v>No se realizó gasto en este corte</v>
      </c>
      <c r="AB925" s="107" t="str">
        <f t="shared" si="175"/>
        <v>Costo eficiente: se está gastando menos de lo presupuestado</v>
      </c>
      <c r="AC925" s="107">
        <f t="shared" si="176"/>
        <v>0</v>
      </c>
      <c r="AD925" s="107" t="str">
        <f t="shared" si="177"/>
        <v>Sin Línea Base</v>
      </c>
      <c r="AE925" s="108">
        <f t="shared" si="178"/>
        <v>0</v>
      </c>
      <c r="AF925" s="108">
        <f t="shared" si="179"/>
        <v>-820808275</v>
      </c>
      <c r="AG925" s="28" t="str">
        <f>VLOOKUP(Indicador!E906,[1]Diccionario!C$1:AC$150,27,0)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925" s="28">
        <v>1</v>
      </c>
      <c r="AI925" s="28">
        <v>1</v>
      </c>
      <c r="AJ925" s="28"/>
      <c r="AK925" s="28"/>
    </row>
    <row r="926" spans="1:37" ht="18.75" customHeight="1" x14ac:dyDescent="0.25">
      <c r="A926" s="95">
        <v>2027</v>
      </c>
      <c r="B926" s="12" t="s">
        <v>54</v>
      </c>
      <c r="C926" s="97" t="s">
        <v>499</v>
      </c>
      <c r="D926" s="98">
        <v>46051.102793749997</v>
      </c>
      <c r="E926" s="15" t="s">
        <v>500</v>
      </c>
      <c r="F926" s="15" t="s">
        <v>184</v>
      </c>
      <c r="G926" s="97" t="s">
        <v>501</v>
      </c>
      <c r="H926" s="15" t="s">
        <v>502</v>
      </c>
      <c r="I926" s="15" t="s">
        <v>43</v>
      </c>
      <c r="J926" s="15" t="s">
        <v>503</v>
      </c>
      <c r="K926" s="15" t="s">
        <v>291</v>
      </c>
      <c r="L926" s="99">
        <f>VLOOKUP(E926,[1]Diccionario!C$2:AC$150,22,0)</f>
        <v>820808275</v>
      </c>
      <c r="M926" s="100">
        <f>VLOOKUP(E926,[1]Diccionario!C$2:AC$150,24,0)</f>
        <v>46054</v>
      </c>
      <c r="N926" s="101">
        <f>VLOOKUP(E926,[1]Diccionario!C$2:AC$150,25,0)</f>
        <v>46843</v>
      </c>
      <c r="O926" s="102">
        <f>VLOOKUP(E926,[1]Diccionario!C$2:AC$150,26,0)</f>
        <v>26</v>
      </c>
      <c r="P926" s="102">
        <f t="shared" si="169"/>
        <v>-6</v>
      </c>
      <c r="Q926" s="102">
        <v>20</v>
      </c>
      <c r="R926" s="97">
        <v>26</v>
      </c>
      <c r="S926" s="103">
        <v>0.78</v>
      </c>
      <c r="T926" s="103"/>
      <c r="U926" s="104"/>
      <c r="V926" s="105"/>
      <c r="W926" s="105">
        <f t="shared" si="170"/>
        <v>0</v>
      </c>
      <c r="X926" s="105">
        <f t="shared" si="171"/>
        <v>640230454.5</v>
      </c>
      <c r="Y926" s="105">
        <f t="shared" si="172"/>
        <v>0</v>
      </c>
      <c r="Z926" s="105">
        <f t="shared" si="173"/>
        <v>-640230454.5</v>
      </c>
      <c r="AA926" s="106" t="str">
        <f t="shared" si="174"/>
        <v>No se realizó gasto en este corte</v>
      </c>
      <c r="AB926" s="107" t="str">
        <f t="shared" si="175"/>
        <v>Costo eficiente: se está gastando menos de lo presupuestado</v>
      </c>
      <c r="AC926" s="107">
        <f t="shared" si="176"/>
        <v>0</v>
      </c>
      <c r="AD926" s="107" t="str">
        <f t="shared" si="177"/>
        <v>Sin Línea Base</v>
      </c>
      <c r="AE926" s="108">
        <f t="shared" si="178"/>
        <v>0</v>
      </c>
      <c r="AF926" s="108">
        <f t="shared" si="179"/>
        <v>-820808275</v>
      </c>
      <c r="AG926" s="28" t="str">
        <f>VLOOKUP(Indicador!E907,[1]Diccionario!C$1:AC$150,27,0)</f>
        <v>https://growdatasas.sharepoint.com/:x:/r/sites/Gestiondocumental/Administrativa/GD/Financiera/_layouts/15/Doc.aspx?sourcedoc=%7B69FFBD03-5B13-48F9-8F84-54729A673BE7%7D&amp;file=MODELO%20FINANCIERO%20PREVISORA.xlsm&amp;action=default&amp;mobileredirect=true</v>
      </c>
      <c r="AH926" s="28">
        <v>1</v>
      </c>
      <c r="AI926" s="28">
        <v>1</v>
      </c>
      <c r="AJ926" s="28"/>
      <c r="AK926" s="28"/>
    </row>
    <row r="927" spans="1:37" ht="18.75" customHeight="1" x14ac:dyDescent="0.25">
      <c r="A927" s="95">
        <v>2027</v>
      </c>
      <c r="B927" s="12" t="s">
        <v>55</v>
      </c>
      <c r="C927" s="97" t="s">
        <v>499</v>
      </c>
      <c r="D927" s="98">
        <v>46051.102793749997</v>
      </c>
      <c r="E927" s="15" t="s">
        <v>500</v>
      </c>
      <c r="F927" s="15" t="s">
        <v>184</v>
      </c>
      <c r="G927" s="97" t="s">
        <v>501</v>
      </c>
      <c r="H927" s="15" t="s">
        <v>502</v>
      </c>
      <c r="I927" s="15" t="s">
        <v>43</v>
      </c>
      <c r="J927" s="15" t="s">
        <v>503</v>
      </c>
      <c r="K927" s="15" t="s">
        <v>291</v>
      </c>
      <c r="L927" s="99">
        <f>VLOOKUP(E927,[1]Diccionario!C$2:AC$150,22,0)</f>
        <v>820808275</v>
      </c>
      <c r="M927" s="100">
        <f>VLOOKUP(E927,[1]Diccionario!C$2:AC$150,24,0)</f>
        <v>46054</v>
      </c>
      <c r="N927" s="101">
        <f>VLOOKUP(E927,[1]Diccionario!C$2:AC$150,25,0)</f>
        <v>46843</v>
      </c>
      <c r="O927" s="102">
        <f>VLOOKUP(E927,[1]Diccionario!C$2:AC$150,26,0)</f>
        <v>26</v>
      </c>
      <c r="P927" s="102">
        <f t="shared" si="169"/>
        <v>-5</v>
      </c>
      <c r="Q927" s="102">
        <v>21</v>
      </c>
      <c r="R927" s="97">
        <v>26</v>
      </c>
      <c r="S927" s="103">
        <v>0.8</v>
      </c>
      <c r="T927" s="103"/>
      <c r="U927" s="104"/>
      <c r="V927" s="105"/>
      <c r="W927" s="105">
        <f t="shared" si="170"/>
        <v>0</v>
      </c>
      <c r="X927" s="105">
        <f t="shared" si="171"/>
        <v>656646620</v>
      </c>
      <c r="Y927" s="105">
        <f t="shared" si="172"/>
        <v>0</v>
      </c>
      <c r="Z927" s="105">
        <f t="shared" si="173"/>
        <v>-656646620</v>
      </c>
      <c r="AA927" s="106" t="str">
        <f t="shared" si="174"/>
        <v>No se realizó gasto en este corte</v>
      </c>
      <c r="AB927" s="107" t="str">
        <f t="shared" si="175"/>
        <v>Costo eficiente: se está gastando menos de lo presupuestado</v>
      </c>
      <c r="AC927" s="107">
        <f t="shared" si="176"/>
        <v>0</v>
      </c>
      <c r="AD927" s="107" t="str">
        <f t="shared" si="177"/>
        <v>Sin Línea Base</v>
      </c>
      <c r="AE927" s="108">
        <f t="shared" si="178"/>
        <v>0</v>
      </c>
      <c r="AF927" s="108">
        <f t="shared" si="179"/>
        <v>-820808275</v>
      </c>
      <c r="AG927" s="28" t="str">
        <f>VLOOKUP(Indicador!E908,[1]Diccionario!C$1:AC$150,27,0)</f>
        <v>https://growdatasas.sharepoint.com/:x:/r/sites/Gestiondocumental/Administrativa/GD/Financiera/_layouts/15/Doc.aspx?sourcedoc=%7B69FFBD03-5B13-48F9-8F84-54729A673BE7%7D&amp;file=MODELO%20FINANCIERO%20PREVISORA.xlsm&amp;action=default&amp;mobileredirect=true</v>
      </c>
      <c r="AH927" s="28">
        <v>1</v>
      </c>
      <c r="AI927" s="28">
        <v>1</v>
      </c>
      <c r="AJ927" s="28"/>
      <c r="AK927" s="28"/>
    </row>
    <row r="928" spans="1:37" ht="18.75" customHeight="1" x14ac:dyDescent="0.25">
      <c r="A928" s="95">
        <v>2027</v>
      </c>
      <c r="B928" s="12" t="s">
        <v>56</v>
      </c>
      <c r="C928" s="97" t="s">
        <v>499</v>
      </c>
      <c r="D928" s="98">
        <v>46051.102793749997</v>
      </c>
      <c r="E928" s="15" t="s">
        <v>500</v>
      </c>
      <c r="F928" s="15" t="s">
        <v>184</v>
      </c>
      <c r="G928" s="97" t="s">
        <v>501</v>
      </c>
      <c r="H928" s="15" t="s">
        <v>502</v>
      </c>
      <c r="I928" s="15" t="s">
        <v>43</v>
      </c>
      <c r="J928" s="15" t="s">
        <v>503</v>
      </c>
      <c r="K928" s="15" t="s">
        <v>291</v>
      </c>
      <c r="L928" s="99">
        <f>VLOOKUP(E928,[1]Diccionario!C$2:AC$150,22,0)</f>
        <v>820808275</v>
      </c>
      <c r="M928" s="100">
        <f>VLOOKUP(E928,[1]Diccionario!C$2:AC$150,24,0)</f>
        <v>46054</v>
      </c>
      <c r="N928" s="101">
        <f>VLOOKUP(E928,[1]Diccionario!C$2:AC$150,25,0)</f>
        <v>46843</v>
      </c>
      <c r="O928" s="102">
        <f>VLOOKUP(E928,[1]Diccionario!C$2:AC$150,26,0)</f>
        <v>26</v>
      </c>
      <c r="P928" s="102">
        <f t="shared" si="169"/>
        <v>-4</v>
      </c>
      <c r="Q928" s="102">
        <v>22</v>
      </c>
      <c r="R928" s="97">
        <v>26</v>
      </c>
      <c r="S928" s="103">
        <v>0.82</v>
      </c>
      <c r="T928" s="103"/>
      <c r="U928" s="104"/>
      <c r="V928" s="105"/>
      <c r="W928" s="105">
        <f t="shared" si="170"/>
        <v>0</v>
      </c>
      <c r="X928" s="105">
        <f t="shared" si="171"/>
        <v>673062785.5</v>
      </c>
      <c r="Y928" s="105">
        <f t="shared" si="172"/>
        <v>0</v>
      </c>
      <c r="Z928" s="105">
        <f t="shared" si="173"/>
        <v>-673062785.5</v>
      </c>
      <c r="AA928" s="106" t="str">
        <f t="shared" si="174"/>
        <v>No se realizó gasto en este corte</v>
      </c>
      <c r="AB928" s="107" t="str">
        <f t="shared" si="175"/>
        <v>Costo eficiente: se está gastando menos de lo presupuestado</v>
      </c>
      <c r="AC928" s="107">
        <f t="shared" si="176"/>
        <v>0</v>
      </c>
      <c r="AD928" s="107" t="str">
        <f t="shared" si="177"/>
        <v>Sin Línea Base</v>
      </c>
      <c r="AE928" s="108">
        <f t="shared" si="178"/>
        <v>0</v>
      </c>
      <c r="AF928" s="108">
        <f t="shared" si="179"/>
        <v>-820808275</v>
      </c>
      <c r="AG928" s="28" t="str">
        <f>VLOOKUP(Indicador!E909,[1]Diccionario!C$1:AC$150,27,0)</f>
        <v>https://growdatasas.sharepoint.com/:x:/r/sites/Gestiondocumental/Administrativa/GD/Financiera/_layouts/15/Doc.aspx?sourcedoc=%7B69FFBD03-5B13-48F9-8F84-54729A673BE7%7D&amp;file=MODELO%20FINANCIERO%20PREVISORA.xlsm&amp;action=default&amp;mobileredirect=true</v>
      </c>
      <c r="AH928" s="28">
        <v>1</v>
      </c>
      <c r="AI928" s="28">
        <v>1</v>
      </c>
      <c r="AJ928" s="28"/>
      <c r="AK928" s="28"/>
    </row>
    <row r="929" spans="1:37" ht="18.75" customHeight="1" x14ac:dyDescent="0.25">
      <c r="A929" s="95">
        <v>2027</v>
      </c>
      <c r="B929" s="12" t="s">
        <v>57</v>
      </c>
      <c r="C929" s="97" t="s">
        <v>499</v>
      </c>
      <c r="D929" s="98">
        <v>46051.102793749997</v>
      </c>
      <c r="E929" s="15" t="s">
        <v>500</v>
      </c>
      <c r="F929" s="15" t="s">
        <v>184</v>
      </c>
      <c r="G929" s="97" t="s">
        <v>501</v>
      </c>
      <c r="H929" s="15" t="s">
        <v>502</v>
      </c>
      <c r="I929" s="15" t="s">
        <v>43</v>
      </c>
      <c r="J929" s="15" t="s">
        <v>503</v>
      </c>
      <c r="K929" s="15" t="s">
        <v>291</v>
      </c>
      <c r="L929" s="99">
        <f>VLOOKUP(E929,[1]Diccionario!C$2:AC$150,22,0)</f>
        <v>820808275</v>
      </c>
      <c r="M929" s="100">
        <f>VLOOKUP(E929,[1]Diccionario!C$2:AC$150,24,0)</f>
        <v>46054</v>
      </c>
      <c r="N929" s="101">
        <f>VLOOKUP(E929,[1]Diccionario!C$2:AC$150,25,0)</f>
        <v>46843</v>
      </c>
      <c r="O929" s="102">
        <f>VLOOKUP(E929,[1]Diccionario!C$2:AC$150,26,0)</f>
        <v>26</v>
      </c>
      <c r="P929" s="102">
        <f t="shared" si="169"/>
        <v>-3</v>
      </c>
      <c r="Q929" s="102">
        <v>23</v>
      </c>
      <c r="R929" s="97">
        <v>26</v>
      </c>
      <c r="S929" s="103">
        <v>0.87</v>
      </c>
      <c r="T929" s="103"/>
      <c r="U929" s="104"/>
      <c r="V929" s="105"/>
      <c r="W929" s="105">
        <f t="shared" si="170"/>
        <v>0</v>
      </c>
      <c r="X929" s="105">
        <f t="shared" si="171"/>
        <v>714103199.25</v>
      </c>
      <c r="Y929" s="105">
        <f t="shared" si="172"/>
        <v>0</v>
      </c>
      <c r="Z929" s="105">
        <f t="shared" si="173"/>
        <v>-714103199.25</v>
      </c>
      <c r="AA929" s="106" t="str">
        <f t="shared" si="174"/>
        <v>No se realizó gasto en este corte</v>
      </c>
      <c r="AB929" s="107" t="str">
        <f t="shared" si="175"/>
        <v>Costo eficiente: se está gastando menos de lo presupuestado</v>
      </c>
      <c r="AC929" s="107">
        <f t="shared" si="176"/>
        <v>0</v>
      </c>
      <c r="AD929" s="107" t="str">
        <f t="shared" si="177"/>
        <v>Sin Línea Base</v>
      </c>
      <c r="AE929" s="108">
        <f t="shared" si="178"/>
        <v>0</v>
      </c>
      <c r="AF929" s="108">
        <f t="shared" si="179"/>
        <v>-820808275</v>
      </c>
      <c r="AG929" s="28" t="str">
        <f>VLOOKUP(Indicador!E910,[1]Diccionario!C$1:AC$150,27,0)</f>
        <v>https://growdatasas.sharepoint.com/:x:/r/sites/Gestiondocumental/Administrativa/GD/Financiera/_layouts/15/Doc.aspx?sourcedoc=%7B69FFBD03-5B13-48F9-8F84-54729A673BE7%7D&amp;file=MODELO%20FINANCIERO%20PREVISORA.xlsm&amp;action=default&amp;mobileredirect=true</v>
      </c>
      <c r="AH929" s="28">
        <v>1</v>
      </c>
      <c r="AI929" s="28">
        <v>1</v>
      </c>
      <c r="AJ929" s="28"/>
      <c r="AK929" s="28"/>
    </row>
    <row r="930" spans="1:37" ht="18.75" customHeight="1" x14ac:dyDescent="0.25">
      <c r="A930" s="95">
        <v>2028</v>
      </c>
      <c r="B930" s="12" t="s">
        <v>37</v>
      </c>
      <c r="C930" s="97" t="s">
        <v>499</v>
      </c>
      <c r="D930" s="98">
        <v>46051.102793749997</v>
      </c>
      <c r="E930" s="15" t="s">
        <v>500</v>
      </c>
      <c r="F930" s="15" t="s">
        <v>184</v>
      </c>
      <c r="G930" s="97" t="s">
        <v>501</v>
      </c>
      <c r="H930" s="15" t="s">
        <v>502</v>
      </c>
      <c r="I930" s="15" t="s">
        <v>43</v>
      </c>
      <c r="J930" s="15" t="s">
        <v>503</v>
      </c>
      <c r="K930" s="15" t="s">
        <v>291</v>
      </c>
      <c r="L930" s="99">
        <f>VLOOKUP(E930,[1]Diccionario!C$2:AC$150,22,0)</f>
        <v>820808275</v>
      </c>
      <c r="M930" s="100">
        <f>VLOOKUP(E930,[1]Diccionario!C$2:AC$150,24,0)</f>
        <v>46054</v>
      </c>
      <c r="N930" s="101">
        <f>VLOOKUP(E930,[1]Diccionario!C$2:AC$150,25,0)</f>
        <v>46843</v>
      </c>
      <c r="O930" s="102">
        <f>VLOOKUP(E930,[1]Diccionario!C$2:AC$150,26,0)</f>
        <v>26</v>
      </c>
      <c r="P930" s="102">
        <f t="shared" si="169"/>
        <v>-2</v>
      </c>
      <c r="Q930" s="102">
        <v>24</v>
      </c>
      <c r="R930" s="97">
        <v>26</v>
      </c>
      <c r="S930" s="103">
        <v>0.9</v>
      </c>
      <c r="T930" s="103"/>
      <c r="U930" s="104"/>
      <c r="V930" s="105"/>
      <c r="W930" s="105">
        <f t="shared" si="170"/>
        <v>0</v>
      </c>
      <c r="X930" s="105">
        <f t="shared" si="171"/>
        <v>738727447.5</v>
      </c>
      <c r="Y930" s="105">
        <f t="shared" si="172"/>
        <v>0</v>
      </c>
      <c r="Z930" s="105">
        <f t="shared" si="173"/>
        <v>-738727447.5</v>
      </c>
      <c r="AA930" s="106" t="str">
        <f t="shared" si="174"/>
        <v>No se realizó gasto en este corte</v>
      </c>
      <c r="AB930" s="107" t="str">
        <f t="shared" si="175"/>
        <v>Costo eficiente: se está gastando menos de lo presupuestado</v>
      </c>
      <c r="AC930" s="107">
        <f t="shared" si="176"/>
        <v>0</v>
      </c>
      <c r="AD930" s="107" t="str">
        <f t="shared" si="177"/>
        <v>Sin Línea Base</v>
      </c>
      <c r="AE930" s="108">
        <f t="shared" si="178"/>
        <v>0</v>
      </c>
      <c r="AF930" s="108">
        <f t="shared" si="179"/>
        <v>-820808275</v>
      </c>
      <c r="AG930" s="28" t="str">
        <f>VLOOKUP(Indicador!E911,[1]Diccionario!C$1:AC$150,27,0)</f>
        <v>https://growdatasas.sharepoint.com/:x:/r/sites/Gestiondocumental/Administrativa/GD/Financiera/_layouts/15/Doc.aspx?sourcedoc=%7B69FFBD03-5B13-48F9-8F84-54729A673BE7%7D&amp;file=MODELO%20FINANCIERO%20PREVISORA.xlsm&amp;action=default&amp;mobileredirect=true</v>
      </c>
      <c r="AH930" s="28">
        <v>1</v>
      </c>
      <c r="AI930" s="28">
        <v>1</v>
      </c>
      <c r="AJ930" s="28"/>
      <c r="AK930" s="28"/>
    </row>
    <row r="931" spans="1:37" ht="18.75" customHeight="1" x14ac:dyDescent="0.25">
      <c r="A931" s="95">
        <v>2028</v>
      </c>
      <c r="B931" s="12" t="s">
        <v>47</v>
      </c>
      <c r="C931" s="97" t="s">
        <v>499</v>
      </c>
      <c r="D931" s="98">
        <v>46051.102793749997</v>
      </c>
      <c r="E931" s="15" t="s">
        <v>500</v>
      </c>
      <c r="F931" s="15" t="s">
        <v>184</v>
      </c>
      <c r="G931" s="97" t="s">
        <v>501</v>
      </c>
      <c r="H931" s="15" t="s">
        <v>502</v>
      </c>
      <c r="I931" s="15" t="s">
        <v>43</v>
      </c>
      <c r="J931" s="15" t="s">
        <v>503</v>
      </c>
      <c r="K931" s="15" t="s">
        <v>291</v>
      </c>
      <c r="L931" s="99">
        <f>VLOOKUP(E931,[1]Diccionario!C$2:AC$150,22,0)</f>
        <v>820808275</v>
      </c>
      <c r="M931" s="100">
        <f>VLOOKUP(E931,[1]Diccionario!C$2:AC$150,24,0)</f>
        <v>46054</v>
      </c>
      <c r="N931" s="101">
        <f>VLOOKUP(E931,[1]Diccionario!C$2:AC$150,25,0)</f>
        <v>46843</v>
      </c>
      <c r="O931" s="102">
        <f>VLOOKUP(E931,[1]Diccionario!C$2:AC$150,26,0)</f>
        <v>26</v>
      </c>
      <c r="P931" s="102">
        <f t="shared" si="169"/>
        <v>-1</v>
      </c>
      <c r="Q931" s="102">
        <v>25</v>
      </c>
      <c r="R931" s="97">
        <v>26</v>
      </c>
      <c r="S931" s="103">
        <v>0.95</v>
      </c>
      <c r="T931" s="103"/>
      <c r="U931" s="104"/>
      <c r="V931" s="105"/>
      <c r="W931" s="105">
        <f t="shared" si="170"/>
        <v>0</v>
      </c>
      <c r="X931" s="105">
        <f t="shared" si="171"/>
        <v>779767861.25</v>
      </c>
      <c r="Y931" s="105">
        <f t="shared" si="172"/>
        <v>0</v>
      </c>
      <c r="Z931" s="105">
        <f t="shared" si="173"/>
        <v>-779767861.25</v>
      </c>
      <c r="AA931" s="106" t="str">
        <f t="shared" si="174"/>
        <v>No se realizó gasto en este corte</v>
      </c>
      <c r="AB931" s="107" t="str">
        <f t="shared" si="175"/>
        <v>Costo eficiente: se está gastando menos de lo presupuestado</v>
      </c>
      <c r="AC931" s="107">
        <f t="shared" si="176"/>
        <v>0</v>
      </c>
      <c r="AD931" s="107" t="str">
        <f t="shared" si="177"/>
        <v>Sin Línea Base</v>
      </c>
      <c r="AE931" s="108">
        <f t="shared" si="178"/>
        <v>0</v>
      </c>
      <c r="AF931" s="108">
        <f t="shared" si="179"/>
        <v>-820808275</v>
      </c>
      <c r="AG931" s="28" t="str">
        <f>VLOOKUP(Indicador!E912,[1]Diccionario!C$1:AC$150,27,0)</f>
        <v>https://growdatasas.sharepoint.com/:x:/r/sites/Gestiondocumental/Administrativa/GD/Financiera/_layouts/15/Doc.aspx?sourcedoc=%7B69FFBD03-5B13-48F9-8F84-54729A673BE7%7D&amp;file=MODELO%20FINANCIERO%20PREVISORA.xlsm&amp;action=default&amp;mobileredirect=true</v>
      </c>
      <c r="AH931" s="28">
        <v>1</v>
      </c>
      <c r="AI931" s="28">
        <v>1</v>
      </c>
      <c r="AJ931" s="28"/>
      <c r="AK931" s="28"/>
    </row>
    <row r="932" spans="1:37" ht="18.75" customHeight="1" x14ac:dyDescent="0.25">
      <c r="A932" s="95">
        <v>2028</v>
      </c>
      <c r="B932" s="12" t="s">
        <v>48</v>
      </c>
      <c r="C932" s="97" t="s">
        <v>499</v>
      </c>
      <c r="D932" s="98">
        <v>46051.102793749997</v>
      </c>
      <c r="E932" s="15" t="s">
        <v>500</v>
      </c>
      <c r="F932" s="15" t="s">
        <v>184</v>
      </c>
      <c r="G932" s="97" t="s">
        <v>501</v>
      </c>
      <c r="H932" s="15" t="s">
        <v>502</v>
      </c>
      <c r="I932" s="15" t="s">
        <v>43</v>
      </c>
      <c r="J932" s="15" t="s">
        <v>503</v>
      </c>
      <c r="K932" s="15" t="s">
        <v>291</v>
      </c>
      <c r="L932" s="99">
        <f>VLOOKUP(E932,[1]Diccionario!C$2:AC$150,22,0)</f>
        <v>820808275</v>
      </c>
      <c r="M932" s="100">
        <f>VLOOKUP(E932,[1]Diccionario!C$2:AC$150,24,0)</f>
        <v>46054</v>
      </c>
      <c r="N932" s="101">
        <f>VLOOKUP(E932,[1]Diccionario!C$2:AC$150,25,0)</f>
        <v>46843</v>
      </c>
      <c r="O932" s="102">
        <f>VLOOKUP(E932,[1]Diccionario!C$2:AC$150,26,0)</f>
        <v>26</v>
      </c>
      <c r="P932" s="102">
        <f t="shared" si="169"/>
        <v>0</v>
      </c>
      <c r="Q932" s="102">
        <v>26</v>
      </c>
      <c r="R932" s="97">
        <v>26</v>
      </c>
      <c r="S932" s="103">
        <v>1</v>
      </c>
      <c r="T932" s="103"/>
      <c r="U932" s="104"/>
      <c r="V932" s="105"/>
      <c r="W932" s="105">
        <f t="shared" si="170"/>
        <v>0</v>
      </c>
      <c r="X932" s="105">
        <f t="shared" si="171"/>
        <v>820808275</v>
      </c>
      <c r="Y932" s="105">
        <f t="shared" si="172"/>
        <v>0</v>
      </c>
      <c r="Z932" s="105">
        <f t="shared" si="173"/>
        <v>-820808275</v>
      </c>
      <c r="AA932" s="106" t="str">
        <f t="shared" si="174"/>
        <v>No se realizó gasto en este corte</v>
      </c>
      <c r="AB932" s="107" t="str">
        <f t="shared" si="175"/>
        <v>Costo eficiente: se está gastando menos de lo presupuestado</v>
      </c>
      <c r="AC932" s="107">
        <f t="shared" si="176"/>
        <v>0</v>
      </c>
      <c r="AD932" s="107" t="str">
        <f t="shared" si="177"/>
        <v>Sin Línea Base</v>
      </c>
      <c r="AE932" s="108">
        <f t="shared" si="178"/>
        <v>0</v>
      </c>
      <c r="AF932" s="108">
        <f t="shared" si="179"/>
        <v>-820808275</v>
      </c>
      <c r="AG932" s="28" t="str">
        <f>VLOOKUP(Indicador!E913,[1]Diccionario!C$1:AC$150,27,0)</f>
        <v>https://growdatasas.sharepoint.com/:x:/r/sites/Gestiondocumental/Administrativa/GD/Financiera/_layouts/15/Doc.aspx?sourcedoc=%7B69FFBD03-5B13-48F9-8F84-54729A673BE7%7D&amp;file=MODELO%20FINANCIERO%20PREVISORA.xlsm&amp;action=default&amp;mobileredirect=true</v>
      </c>
      <c r="AH932" s="28">
        <v>1</v>
      </c>
      <c r="AI932" s="28">
        <v>1</v>
      </c>
      <c r="AJ932" s="28"/>
      <c r="AK932" s="28"/>
    </row>
    <row r="933" spans="1:37" ht="18.75" customHeight="1" x14ac:dyDescent="0.25">
      <c r="A933" s="109">
        <v>2025</v>
      </c>
      <c r="B933" s="110" t="s">
        <v>56</v>
      </c>
      <c r="C933" s="111" t="s">
        <v>504</v>
      </c>
      <c r="D933" s="112">
        <v>46041.516546261577</v>
      </c>
      <c r="E933" s="66" t="s">
        <v>505</v>
      </c>
      <c r="F933" s="113" t="s">
        <v>506</v>
      </c>
      <c r="G933" s="113" t="s">
        <v>507</v>
      </c>
      <c r="H933" s="113" t="s">
        <v>508</v>
      </c>
      <c r="I933" s="113" t="s">
        <v>63</v>
      </c>
      <c r="J933" s="109">
        <v>397</v>
      </c>
      <c r="K933" s="66" t="s">
        <v>291</v>
      </c>
      <c r="L933" s="114">
        <v>315533593</v>
      </c>
      <c r="M933" s="115">
        <v>45976</v>
      </c>
      <c r="N933" s="116">
        <v>46387</v>
      </c>
      <c r="O933" s="117">
        <f>VLOOKUP(E933,[1]Diccionario!C$2:AC$150,26,0)</f>
        <v>13.53</v>
      </c>
      <c r="P933" s="117">
        <f t="shared" si="169"/>
        <v>-12.53</v>
      </c>
      <c r="Q933" s="117">
        <v>1</v>
      </c>
      <c r="R933" s="109">
        <v>14</v>
      </c>
      <c r="S933" s="118">
        <v>0.05</v>
      </c>
      <c r="T933" s="118">
        <v>0.02</v>
      </c>
      <c r="U933" s="119">
        <f>TablaIndicador[[#This Row],[Costo Mensual]]</f>
        <v>0</v>
      </c>
      <c r="V933" s="119">
        <v>0</v>
      </c>
      <c r="W933" s="119">
        <f t="shared" si="170"/>
        <v>6310671.8600000003</v>
      </c>
      <c r="X933" s="120">
        <f t="shared" si="171"/>
        <v>15776679.65</v>
      </c>
      <c r="Y933" s="119">
        <f t="shared" si="172"/>
        <v>6310671.8600000003</v>
      </c>
      <c r="Z933" s="119">
        <f t="shared" si="173"/>
        <v>-9466007.7899999991</v>
      </c>
      <c r="AA933" s="121" t="str">
        <f t="shared" si="174"/>
        <v>No se realizó gasto en este corte</v>
      </c>
      <c r="AB933" s="122" t="str">
        <f t="shared" si="175"/>
        <v>Costo eficiente: se está gastando menos de lo presupuestado</v>
      </c>
      <c r="AC933" s="122">
        <f t="shared" si="176"/>
        <v>0.4</v>
      </c>
      <c r="AD933" s="122" t="str">
        <f t="shared" si="177"/>
        <v>Proyecto atrasado con respecto al cronograma</v>
      </c>
      <c r="AE933" s="123">
        <f t="shared" si="178"/>
        <v>0</v>
      </c>
      <c r="AF933" s="123">
        <f t="shared" si="179"/>
        <v>-315533593</v>
      </c>
      <c r="AG933" s="78">
        <f>VLOOKUP(Indicador!E933,[1]Diccionario!C$1:AC$150,27,0)</f>
        <v>0</v>
      </c>
      <c r="AH933" s="78"/>
      <c r="AI933" s="78"/>
      <c r="AJ933" s="78"/>
      <c r="AK933" s="78" t="s">
        <v>319</v>
      </c>
    </row>
    <row r="934" spans="1:37" ht="18.75" customHeight="1" x14ac:dyDescent="0.25">
      <c r="A934" s="109">
        <v>2025</v>
      </c>
      <c r="B934" s="110" t="s">
        <v>57</v>
      </c>
      <c r="C934" s="111" t="s">
        <v>504</v>
      </c>
      <c r="D934" s="112">
        <v>46041.516546261577</v>
      </c>
      <c r="E934" s="109" t="s">
        <v>505</v>
      </c>
      <c r="F934" s="113" t="s">
        <v>506</v>
      </c>
      <c r="G934" s="113" t="s">
        <v>507</v>
      </c>
      <c r="H934" s="113" t="s">
        <v>508</v>
      </c>
      <c r="I934" s="113" t="s">
        <v>63</v>
      </c>
      <c r="J934" s="109">
        <v>397</v>
      </c>
      <c r="K934" s="109" t="s">
        <v>291</v>
      </c>
      <c r="L934" s="114">
        <v>315533593</v>
      </c>
      <c r="M934" s="115">
        <v>45976</v>
      </c>
      <c r="N934" s="116">
        <v>46387</v>
      </c>
      <c r="O934" s="117">
        <f>VLOOKUP(E934,[1]Diccionario!C$2:AC$150,26,0)</f>
        <v>13.53</v>
      </c>
      <c r="P934" s="117">
        <f t="shared" si="169"/>
        <v>-11.53</v>
      </c>
      <c r="Q934" s="117">
        <v>2</v>
      </c>
      <c r="R934" s="109">
        <v>14</v>
      </c>
      <c r="S934" s="118">
        <v>0.1</v>
      </c>
      <c r="T934" s="118">
        <v>0.03</v>
      </c>
      <c r="U934" s="119">
        <f>U933+TablaIndicador[[#This Row],[Costo Mensual]]</f>
        <v>0</v>
      </c>
      <c r="V934" s="119">
        <v>0</v>
      </c>
      <c r="W934" s="119">
        <f t="shared" si="170"/>
        <v>9466007.7899999991</v>
      </c>
      <c r="X934" s="119">
        <f t="shared" si="171"/>
        <v>31553359.300000001</v>
      </c>
      <c r="Y934" s="119">
        <f t="shared" si="172"/>
        <v>9466007.7899999991</v>
      </c>
      <c r="Z934" s="119">
        <f t="shared" si="173"/>
        <v>-22087351.510000002</v>
      </c>
      <c r="AA934" s="121" t="str">
        <f t="shared" si="174"/>
        <v>No se realizó gasto en este corte</v>
      </c>
      <c r="AB934" s="122" t="str">
        <f t="shared" si="175"/>
        <v>Costo eficiente: se está gastando menos de lo presupuestado</v>
      </c>
      <c r="AC934" s="122">
        <f t="shared" si="176"/>
        <v>0.3</v>
      </c>
      <c r="AD934" s="122" t="str">
        <f t="shared" si="177"/>
        <v>Proyecto atrasado con respecto al cronograma</v>
      </c>
      <c r="AE934" s="123">
        <f t="shared" si="178"/>
        <v>0</v>
      </c>
      <c r="AF934" s="123">
        <f t="shared" si="179"/>
        <v>-315533593</v>
      </c>
      <c r="AG934" s="78">
        <f>VLOOKUP(Indicador!E934,[1]Diccionario!C$1:AC$150,27,0)</f>
        <v>0</v>
      </c>
      <c r="AH934" s="78"/>
      <c r="AI934" s="78"/>
      <c r="AJ934" s="78"/>
      <c r="AK934" s="78" t="s">
        <v>319</v>
      </c>
    </row>
    <row r="935" spans="1:37" ht="18.75" customHeight="1" x14ac:dyDescent="0.25">
      <c r="A935" s="109">
        <v>2025</v>
      </c>
      <c r="B935" s="110" t="s">
        <v>37</v>
      </c>
      <c r="C935" s="111" t="s">
        <v>504</v>
      </c>
      <c r="D935" s="112">
        <v>46041.516546261577</v>
      </c>
      <c r="E935" s="109" t="s">
        <v>505</v>
      </c>
      <c r="F935" s="113" t="s">
        <v>506</v>
      </c>
      <c r="G935" s="113" t="s">
        <v>507</v>
      </c>
      <c r="H935" s="113" t="s">
        <v>508</v>
      </c>
      <c r="I935" s="113" t="s">
        <v>63</v>
      </c>
      <c r="J935" s="109">
        <v>397</v>
      </c>
      <c r="K935" s="109" t="s">
        <v>291</v>
      </c>
      <c r="L935" s="114">
        <v>315533593</v>
      </c>
      <c r="M935" s="115">
        <v>45976</v>
      </c>
      <c r="N935" s="116">
        <v>46387</v>
      </c>
      <c r="O935" s="117">
        <f>VLOOKUP(E935,[1]Diccionario!C$2:AC$150,26,0)</f>
        <v>13.53</v>
      </c>
      <c r="P935" s="117">
        <f t="shared" si="169"/>
        <v>-10.53</v>
      </c>
      <c r="Q935" s="117">
        <v>3</v>
      </c>
      <c r="R935" s="109">
        <v>14</v>
      </c>
      <c r="S935" s="118">
        <v>0.15</v>
      </c>
      <c r="T935" s="118">
        <v>0.1</v>
      </c>
      <c r="U935" s="119">
        <f>U934+TablaIndicador[[#This Row],[Costo Mensual]]</f>
        <v>0</v>
      </c>
      <c r="V935" s="119">
        <v>0</v>
      </c>
      <c r="W935" s="119">
        <f t="shared" si="170"/>
        <v>31553359.300000001</v>
      </c>
      <c r="X935" s="119">
        <f t="shared" si="171"/>
        <v>47330038.949999996</v>
      </c>
      <c r="Y935" s="119">
        <f t="shared" si="172"/>
        <v>31553359.300000001</v>
      </c>
      <c r="Z935" s="119">
        <f t="shared" si="173"/>
        <v>-15776679.649999995</v>
      </c>
      <c r="AA935" s="121" t="str">
        <f t="shared" si="174"/>
        <v>No se realizó gasto en este corte</v>
      </c>
      <c r="AB935" s="122" t="str">
        <f t="shared" si="175"/>
        <v>Costo eficiente: se está gastando menos de lo presupuestado</v>
      </c>
      <c r="AC935" s="122">
        <f t="shared" si="176"/>
        <v>0.66666666666666674</v>
      </c>
      <c r="AD935" s="122" t="str">
        <f t="shared" si="177"/>
        <v>Proyecto atrasado con respecto al cronograma</v>
      </c>
      <c r="AE935" s="123">
        <f t="shared" si="178"/>
        <v>0</v>
      </c>
      <c r="AF935" s="123">
        <f t="shared" si="179"/>
        <v>-315533593</v>
      </c>
      <c r="AG935" s="78">
        <f>VLOOKUP(Indicador!E935,[1]Diccionario!C$1:AC$150,27,0)</f>
        <v>0</v>
      </c>
      <c r="AH935" s="78"/>
      <c r="AI935" s="78"/>
      <c r="AJ935" s="78"/>
      <c r="AK935" s="78" t="s">
        <v>319</v>
      </c>
    </row>
    <row r="936" spans="1:37" ht="18.75" customHeight="1" x14ac:dyDescent="0.25">
      <c r="A936" s="109">
        <v>2025</v>
      </c>
      <c r="B936" s="110" t="s">
        <v>47</v>
      </c>
      <c r="C936" s="111" t="s">
        <v>504</v>
      </c>
      <c r="D936" s="112">
        <v>46041.516546261577</v>
      </c>
      <c r="E936" s="109" t="s">
        <v>505</v>
      </c>
      <c r="F936" s="113" t="s">
        <v>506</v>
      </c>
      <c r="G936" s="113" t="s">
        <v>507</v>
      </c>
      <c r="H936" s="113" t="s">
        <v>508</v>
      </c>
      <c r="I936" s="113" t="s">
        <v>63</v>
      </c>
      <c r="J936" s="109">
        <v>397</v>
      </c>
      <c r="K936" s="109" t="s">
        <v>291</v>
      </c>
      <c r="L936" s="114">
        <v>315533593</v>
      </c>
      <c r="M936" s="115">
        <v>45976</v>
      </c>
      <c r="N936" s="116">
        <v>46387</v>
      </c>
      <c r="O936" s="117">
        <f>VLOOKUP(E936,[1]Diccionario!C$2:AC$150,26,0)</f>
        <v>13.53</v>
      </c>
      <c r="P936" s="117">
        <f t="shared" si="169"/>
        <v>-9.5299999999999994</v>
      </c>
      <c r="Q936" s="117">
        <v>4</v>
      </c>
      <c r="R936" s="109">
        <v>14</v>
      </c>
      <c r="S936" s="118">
        <v>0.6</v>
      </c>
      <c r="T936" s="118">
        <v>0.65</v>
      </c>
      <c r="U936" s="119">
        <f>U935+TablaIndicador[[#This Row],[Costo Mensual]]</f>
        <v>240890997.99000001</v>
      </c>
      <c r="V936" s="119">
        <v>240890997.99000001</v>
      </c>
      <c r="W936" s="119">
        <f t="shared" si="170"/>
        <v>205096835.45000002</v>
      </c>
      <c r="X936" s="119">
        <f t="shared" si="171"/>
        <v>189320155.79999998</v>
      </c>
      <c r="Y936" s="119">
        <f t="shared" si="172"/>
        <v>-35794162.539999992</v>
      </c>
      <c r="Z936" s="119">
        <f t="shared" si="173"/>
        <v>15776679.650000036</v>
      </c>
      <c r="AA936" s="121">
        <f t="shared" si="174"/>
        <v>0.85140929782072683</v>
      </c>
      <c r="AB936" s="122" t="str">
        <f t="shared" si="175"/>
        <v>Costo ineficiente: se está gastando más de lo presupuestado</v>
      </c>
      <c r="AC936" s="122">
        <f t="shared" si="176"/>
        <v>1.0833333333333335</v>
      </c>
      <c r="AD936" s="122" t="str">
        <f t="shared" si="177"/>
        <v>Proyecto adelantado respecto al cronograma</v>
      </c>
      <c r="AE936" s="123">
        <f t="shared" si="178"/>
        <v>370601535.36923075</v>
      </c>
      <c r="AF936" s="123">
        <f t="shared" si="179"/>
        <v>55067942.369230747</v>
      </c>
      <c r="AG936" s="78">
        <f>VLOOKUP(Indicador!E936,[1]Diccionario!C$1:AC$150,27,0)</f>
        <v>0</v>
      </c>
      <c r="AH936" s="78"/>
      <c r="AI936" s="78"/>
      <c r="AJ936" s="78"/>
      <c r="AK936" s="78" t="s">
        <v>319</v>
      </c>
    </row>
    <row r="937" spans="1:37" ht="18.75" customHeight="1" x14ac:dyDescent="0.25">
      <c r="A937" s="109">
        <v>2025</v>
      </c>
      <c r="B937" s="110" t="s">
        <v>48</v>
      </c>
      <c r="C937" s="111" t="s">
        <v>504</v>
      </c>
      <c r="D937" s="112">
        <v>46041.516546261577</v>
      </c>
      <c r="E937" s="109" t="s">
        <v>505</v>
      </c>
      <c r="F937" s="113" t="s">
        <v>506</v>
      </c>
      <c r="G937" s="113" t="s">
        <v>507</v>
      </c>
      <c r="H937" s="113" t="s">
        <v>508</v>
      </c>
      <c r="I937" s="113" t="s">
        <v>63</v>
      </c>
      <c r="J937" s="109">
        <v>397</v>
      </c>
      <c r="K937" s="109" t="s">
        <v>291</v>
      </c>
      <c r="L937" s="114">
        <v>315533593</v>
      </c>
      <c r="M937" s="115">
        <v>45976</v>
      </c>
      <c r="N937" s="116">
        <v>46387</v>
      </c>
      <c r="O937" s="117">
        <f>VLOOKUP(E937,[1]Diccionario!C$2:AC$150,26,0)</f>
        <v>13.53</v>
      </c>
      <c r="P937" s="117">
        <f t="shared" si="169"/>
        <v>-8.5299999999999994</v>
      </c>
      <c r="Q937" s="117">
        <v>5</v>
      </c>
      <c r="R937" s="109">
        <v>14</v>
      </c>
      <c r="S937" s="118">
        <v>0.01</v>
      </c>
      <c r="T937" s="118"/>
      <c r="U937" s="119">
        <f>U936+TablaIndicador[[#This Row],[Costo Mensual]]</f>
        <v>240890997.99000001</v>
      </c>
      <c r="V937" s="119"/>
      <c r="W937" s="119">
        <f t="shared" si="170"/>
        <v>0</v>
      </c>
      <c r="X937" s="119">
        <f t="shared" si="171"/>
        <v>3155335.93</v>
      </c>
      <c r="Y937" s="119">
        <f t="shared" si="172"/>
        <v>-240890997.99000001</v>
      </c>
      <c r="Z937" s="119">
        <f t="shared" si="173"/>
        <v>-3155335.93</v>
      </c>
      <c r="AA937" s="121">
        <f t="shared" si="174"/>
        <v>0</v>
      </c>
      <c r="AB937" s="122" t="str">
        <f t="shared" si="175"/>
        <v>No calculado</v>
      </c>
      <c r="AC937" s="122">
        <f t="shared" si="176"/>
        <v>0</v>
      </c>
      <c r="AD937" s="122" t="str">
        <f t="shared" si="177"/>
        <v>Sin Línea Base</v>
      </c>
      <c r="AE937" s="123">
        <f t="shared" si="178"/>
        <v>0</v>
      </c>
      <c r="AF937" s="123">
        <f t="shared" si="179"/>
        <v>-315533593</v>
      </c>
      <c r="AG937" s="78">
        <f>VLOOKUP(Indicador!E937,[1]Diccionario!C$1:AC$150,27,0)</f>
        <v>0</v>
      </c>
      <c r="AH937" s="78"/>
      <c r="AI937" s="78"/>
      <c r="AJ937" s="78"/>
      <c r="AK937" s="78" t="s">
        <v>319</v>
      </c>
    </row>
    <row r="938" spans="1:37" ht="18.75" customHeight="1" x14ac:dyDescent="0.25">
      <c r="A938" s="109">
        <v>2025</v>
      </c>
      <c r="B938" s="110" t="s">
        <v>49</v>
      </c>
      <c r="C938" s="111" t="s">
        <v>504</v>
      </c>
      <c r="D938" s="112">
        <v>46041.516546261577</v>
      </c>
      <c r="E938" s="109" t="s">
        <v>505</v>
      </c>
      <c r="F938" s="113" t="s">
        <v>506</v>
      </c>
      <c r="G938" s="113" t="s">
        <v>507</v>
      </c>
      <c r="H938" s="113" t="s">
        <v>508</v>
      </c>
      <c r="I938" s="113" t="s">
        <v>63</v>
      </c>
      <c r="J938" s="109">
        <v>397</v>
      </c>
      <c r="K938" s="109" t="s">
        <v>291</v>
      </c>
      <c r="L938" s="114">
        <v>315533593</v>
      </c>
      <c r="M938" s="115">
        <v>45976</v>
      </c>
      <c r="N938" s="116">
        <v>46387</v>
      </c>
      <c r="O938" s="117">
        <f>VLOOKUP(E938,[1]Diccionario!C$2:AC$150,26,0)</f>
        <v>13.53</v>
      </c>
      <c r="P938" s="117">
        <f t="shared" si="169"/>
        <v>-7.5299999999999994</v>
      </c>
      <c r="Q938" s="117">
        <v>6</v>
      </c>
      <c r="R938" s="109">
        <v>14</v>
      </c>
      <c r="S938" s="118">
        <v>0.01</v>
      </c>
      <c r="T938" s="118"/>
      <c r="U938" s="119">
        <f>U937+TablaIndicador[[#This Row],[Costo Mensual]]</f>
        <v>240890997.99000001</v>
      </c>
      <c r="V938" s="119"/>
      <c r="W938" s="119">
        <f t="shared" si="170"/>
        <v>0</v>
      </c>
      <c r="X938" s="119">
        <f t="shared" si="171"/>
        <v>3155335.93</v>
      </c>
      <c r="Y938" s="119">
        <f t="shared" si="172"/>
        <v>-240890997.99000001</v>
      </c>
      <c r="Z938" s="119">
        <f t="shared" si="173"/>
        <v>-3155335.93</v>
      </c>
      <c r="AA938" s="121">
        <f t="shared" si="174"/>
        <v>0</v>
      </c>
      <c r="AB938" s="122" t="str">
        <f t="shared" si="175"/>
        <v>No calculado</v>
      </c>
      <c r="AC938" s="122">
        <f t="shared" si="176"/>
        <v>0</v>
      </c>
      <c r="AD938" s="122" t="str">
        <f t="shared" si="177"/>
        <v>Sin Línea Base</v>
      </c>
      <c r="AE938" s="123">
        <f t="shared" si="178"/>
        <v>0</v>
      </c>
      <c r="AF938" s="123">
        <f t="shared" si="179"/>
        <v>-315533593</v>
      </c>
      <c r="AG938" s="78">
        <f>VLOOKUP(Indicador!E938,[1]Diccionario!C$1:AC$150,27,0)</f>
        <v>0</v>
      </c>
      <c r="AH938" s="78"/>
      <c r="AI938" s="78"/>
      <c r="AJ938" s="78"/>
      <c r="AK938" s="78" t="s">
        <v>319</v>
      </c>
    </row>
    <row r="939" spans="1:37" ht="18.75" customHeight="1" x14ac:dyDescent="0.25">
      <c r="A939" s="109">
        <v>2025</v>
      </c>
      <c r="B939" s="110" t="s">
        <v>50</v>
      </c>
      <c r="C939" s="111" t="s">
        <v>504</v>
      </c>
      <c r="D939" s="112">
        <v>46041.516546261577</v>
      </c>
      <c r="E939" s="109" t="s">
        <v>505</v>
      </c>
      <c r="F939" s="113" t="s">
        <v>506</v>
      </c>
      <c r="G939" s="113" t="s">
        <v>507</v>
      </c>
      <c r="H939" s="113" t="s">
        <v>508</v>
      </c>
      <c r="I939" s="113" t="s">
        <v>63</v>
      </c>
      <c r="J939" s="109">
        <v>397</v>
      </c>
      <c r="K939" s="109" t="s">
        <v>291</v>
      </c>
      <c r="L939" s="114">
        <v>315533593</v>
      </c>
      <c r="M939" s="115">
        <v>45976</v>
      </c>
      <c r="N939" s="116">
        <v>46387</v>
      </c>
      <c r="O939" s="117">
        <f>VLOOKUP(E939,[1]Diccionario!C$2:AC$150,26,0)</f>
        <v>13.53</v>
      </c>
      <c r="P939" s="117">
        <f t="shared" si="169"/>
        <v>-6.5299999999999994</v>
      </c>
      <c r="Q939" s="117">
        <v>7</v>
      </c>
      <c r="R939" s="109">
        <v>14</v>
      </c>
      <c r="S939" s="118">
        <v>0.01</v>
      </c>
      <c r="T939" s="118"/>
      <c r="U939" s="119">
        <f>U938+TablaIndicador[[#This Row],[Costo Mensual]]</f>
        <v>240890997.99000001</v>
      </c>
      <c r="V939" s="119"/>
      <c r="W939" s="119">
        <f t="shared" si="170"/>
        <v>0</v>
      </c>
      <c r="X939" s="119">
        <f t="shared" si="171"/>
        <v>3155335.93</v>
      </c>
      <c r="Y939" s="119">
        <f t="shared" si="172"/>
        <v>-240890997.99000001</v>
      </c>
      <c r="Z939" s="119">
        <f t="shared" si="173"/>
        <v>-3155335.93</v>
      </c>
      <c r="AA939" s="121">
        <f t="shared" si="174"/>
        <v>0</v>
      </c>
      <c r="AB939" s="122" t="str">
        <f t="shared" si="175"/>
        <v>No calculado</v>
      </c>
      <c r="AC939" s="122">
        <f t="shared" si="176"/>
        <v>0</v>
      </c>
      <c r="AD939" s="122" t="str">
        <f t="shared" si="177"/>
        <v>Sin Línea Base</v>
      </c>
      <c r="AE939" s="123">
        <f t="shared" si="178"/>
        <v>0</v>
      </c>
      <c r="AF939" s="123">
        <f t="shared" si="179"/>
        <v>-315533593</v>
      </c>
      <c r="AG939" s="78">
        <f>VLOOKUP(Indicador!E939,[1]Diccionario!C$1:AC$150,27,0)</f>
        <v>0</v>
      </c>
      <c r="AH939" s="78"/>
      <c r="AI939" s="78"/>
      <c r="AJ939" s="78"/>
      <c r="AK939" s="78" t="s">
        <v>319</v>
      </c>
    </row>
    <row r="940" spans="1:37" ht="18.75" customHeight="1" x14ac:dyDescent="0.25">
      <c r="A940" s="109">
        <v>2025</v>
      </c>
      <c r="B940" s="110" t="s">
        <v>51</v>
      </c>
      <c r="C940" s="111" t="s">
        <v>504</v>
      </c>
      <c r="D940" s="112">
        <v>46041.516546261577</v>
      </c>
      <c r="E940" s="109" t="s">
        <v>505</v>
      </c>
      <c r="F940" s="113" t="s">
        <v>506</v>
      </c>
      <c r="G940" s="113" t="s">
        <v>507</v>
      </c>
      <c r="H940" s="113" t="s">
        <v>508</v>
      </c>
      <c r="I940" s="113" t="s">
        <v>63</v>
      </c>
      <c r="J940" s="109">
        <v>397</v>
      </c>
      <c r="K940" s="109" t="s">
        <v>291</v>
      </c>
      <c r="L940" s="114">
        <v>315533593</v>
      </c>
      <c r="M940" s="115">
        <v>45976</v>
      </c>
      <c r="N940" s="116">
        <v>46387</v>
      </c>
      <c r="O940" s="117">
        <f>VLOOKUP(E940,[1]Diccionario!C$2:AC$150,26,0)</f>
        <v>13.53</v>
      </c>
      <c r="P940" s="117">
        <f t="shared" si="169"/>
        <v>-5.5299999999999994</v>
      </c>
      <c r="Q940" s="117">
        <v>8</v>
      </c>
      <c r="R940" s="109">
        <v>14</v>
      </c>
      <c r="S940" s="118">
        <v>0.01</v>
      </c>
      <c r="T940" s="118"/>
      <c r="U940" s="119">
        <f>U939+TablaIndicador[[#This Row],[Costo Mensual]]</f>
        <v>240890997.99000001</v>
      </c>
      <c r="V940" s="119"/>
      <c r="W940" s="119">
        <f t="shared" si="170"/>
        <v>0</v>
      </c>
      <c r="X940" s="119">
        <f t="shared" si="171"/>
        <v>3155335.93</v>
      </c>
      <c r="Y940" s="119">
        <f t="shared" si="172"/>
        <v>-240890997.99000001</v>
      </c>
      <c r="Z940" s="119">
        <f t="shared" si="173"/>
        <v>-3155335.93</v>
      </c>
      <c r="AA940" s="121">
        <f t="shared" si="174"/>
        <v>0</v>
      </c>
      <c r="AB940" s="122" t="str">
        <f t="shared" si="175"/>
        <v>No calculado</v>
      </c>
      <c r="AC940" s="122">
        <f t="shared" si="176"/>
        <v>0</v>
      </c>
      <c r="AD940" s="122" t="str">
        <f t="shared" si="177"/>
        <v>Sin Línea Base</v>
      </c>
      <c r="AE940" s="123">
        <f t="shared" si="178"/>
        <v>0</v>
      </c>
      <c r="AF940" s="123">
        <f t="shared" si="179"/>
        <v>-315533593</v>
      </c>
      <c r="AG940" s="78">
        <f>VLOOKUP(Indicador!E940,[1]Diccionario!C$1:AC$150,27,0)</f>
        <v>0</v>
      </c>
      <c r="AH940" s="78"/>
      <c r="AI940" s="78"/>
      <c r="AJ940" s="78"/>
      <c r="AK940" s="78" t="s">
        <v>319</v>
      </c>
    </row>
    <row r="941" spans="1:37" ht="18.75" customHeight="1" x14ac:dyDescent="0.25">
      <c r="A941" s="109">
        <v>2025</v>
      </c>
      <c r="B941" s="110" t="s">
        <v>52</v>
      </c>
      <c r="C941" s="111" t="s">
        <v>504</v>
      </c>
      <c r="D941" s="112">
        <v>46041.516546261577</v>
      </c>
      <c r="E941" s="109" t="s">
        <v>505</v>
      </c>
      <c r="F941" s="113" t="s">
        <v>506</v>
      </c>
      <c r="G941" s="113" t="s">
        <v>507</v>
      </c>
      <c r="H941" s="113" t="s">
        <v>508</v>
      </c>
      <c r="I941" s="113" t="s">
        <v>63</v>
      </c>
      <c r="J941" s="109">
        <v>397</v>
      </c>
      <c r="K941" s="109" t="s">
        <v>291</v>
      </c>
      <c r="L941" s="114">
        <v>315533593</v>
      </c>
      <c r="M941" s="115">
        <v>45976</v>
      </c>
      <c r="N941" s="116">
        <v>46387</v>
      </c>
      <c r="O941" s="117">
        <f>VLOOKUP(E941,[1]Diccionario!C$2:AC$150,26,0)</f>
        <v>13.53</v>
      </c>
      <c r="P941" s="117">
        <f t="shared" si="169"/>
        <v>-4.5299999999999994</v>
      </c>
      <c r="Q941" s="117">
        <v>9</v>
      </c>
      <c r="R941" s="109">
        <v>14</v>
      </c>
      <c r="S941" s="118">
        <v>0.01</v>
      </c>
      <c r="T941" s="118"/>
      <c r="U941" s="119">
        <f>U940+TablaIndicador[[#This Row],[Costo Mensual]]</f>
        <v>240890997.99000001</v>
      </c>
      <c r="V941" s="119"/>
      <c r="W941" s="119">
        <f t="shared" si="170"/>
        <v>0</v>
      </c>
      <c r="X941" s="119">
        <f t="shared" si="171"/>
        <v>3155335.93</v>
      </c>
      <c r="Y941" s="119">
        <f t="shared" si="172"/>
        <v>-240890997.99000001</v>
      </c>
      <c r="Z941" s="119">
        <f t="shared" si="173"/>
        <v>-3155335.93</v>
      </c>
      <c r="AA941" s="121">
        <f t="shared" si="174"/>
        <v>0</v>
      </c>
      <c r="AB941" s="122" t="str">
        <f t="shared" si="175"/>
        <v>No calculado</v>
      </c>
      <c r="AC941" s="122">
        <f t="shared" si="176"/>
        <v>0</v>
      </c>
      <c r="AD941" s="122" t="str">
        <f t="shared" si="177"/>
        <v>Sin Línea Base</v>
      </c>
      <c r="AE941" s="123">
        <f t="shared" si="178"/>
        <v>0</v>
      </c>
      <c r="AF941" s="123">
        <f t="shared" si="179"/>
        <v>-315533593</v>
      </c>
      <c r="AG941" s="78">
        <f>VLOOKUP(Indicador!E941,[1]Diccionario!C$1:AC$150,27,0)</f>
        <v>0</v>
      </c>
      <c r="AH941" s="78"/>
      <c r="AI941" s="78"/>
      <c r="AJ941" s="78"/>
      <c r="AK941" s="78" t="s">
        <v>319</v>
      </c>
    </row>
    <row r="942" spans="1:37" ht="18.75" customHeight="1" x14ac:dyDescent="0.25">
      <c r="A942" s="109">
        <v>2025</v>
      </c>
      <c r="B942" s="110" t="s">
        <v>53</v>
      </c>
      <c r="C942" s="111" t="s">
        <v>504</v>
      </c>
      <c r="D942" s="112">
        <v>46041.516546261577</v>
      </c>
      <c r="E942" s="109" t="s">
        <v>505</v>
      </c>
      <c r="F942" s="113" t="s">
        <v>506</v>
      </c>
      <c r="G942" s="113" t="s">
        <v>507</v>
      </c>
      <c r="H942" s="113" t="s">
        <v>508</v>
      </c>
      <c r="I942" s="113" t="s">
        <v>63</v>
      </c>
      <c r="J942" s="109">
        <v>397</v>
      </c>
      <c r="K942" s="109" t="s">
        <v>291</v>
      </c>
      <c r="L942" s="114">
        <v>315533593</v>
      </c>
      <c r="M942" s="115">
        <v>45976</v>
      </c>
      <c r="N942" s="116">
        <v>46387</v>
      </c>
      <c r="O942" s="117">
        <f>VLOOKUP(E942,[1]Diccionario!C$2:AC$150,26,0)</f>
        <v>13.53</v>
      </c>
      <c r="P942" s="117">
        <f t="shared" si="169"/>
        <v>-3.5299999999999994</v>
      </c>
      <c r="Q942" s="117">
        <v>10</v>
      </c>
      <c r="R942" s="109">
        <v>14</v>
      </c>
      <c r="S942" s="118">
        <v>0.01</v>
      </c>
      <c r="T942" s="118"/>
      <c r="U942" s="119">
        <f>U941+TablaIndicador[[#This Row],[Costo Mensual]]</f>
        <v>240890997.99000001</v>
      </c>
      <c r="V942" s="119"/>
      <c r="W942" s="119">
        <f t="shared" si="170"/>
        <v>0</v>
      </c>
      <c r="X942" s="119">
        <f t="shared" si="171"/>
        <v>3155335.93</v>
      </c>
      <c r="Y942" s="119">
        <f t="shared" si="172"/>
        <v>-240890997.99000001</v>
      </c>
      <c r="Z942" s="119">
        <f t="shared" si="173"/>
        <v>-3155335.93</v>
      </c>
      <c r="AA942" s="121">
        <f t="shared" si="174"/>
        <v>0</v>
      </c>
      <c r="AB942" s="122" t="str">
        <f t="shared" si="175"/>
        <v>No calculado</v>
      </c>
      <c r="AC942" s="122">
        <f t="shared" si="176"/>
        <v>0</v>
      </c>
      <c r="AD942" s="122" t="str">
        <f t="shared" si="177"/>
        <v>Sin Línea Base</v>
      </c>
      <c r="AE942" s="123">
        <f t="shared" si="178"/>
        <v>0</v>
      </c>
      <c r="AF942" s="123">
        <f t="shared" si="179"/>
        <v>-315533593</v>
      </c>
      <c r="AG942" s="78">
        <f>VLOOKUP(Indicador!E942,[1]Diccionario!C$1:AC$150,27,0)</f>
        <v>0</v>
      </c>
      <c r="AH942" s="78"/>
      <c r="AI942" s="78"/>
      <c r="AJ942" s="78"/>
      <c r="AK942" s="78" t="s">
        <v>319</v>
      </c>
    </row>
    <row r="943" spans="1:37" ht="18.75" customHeight="1" x14ac:dyDescent="0.25">
      <c r="A943" s="109">
        <v>2025</v>
      </c>
      <c r="B943" s="110" t="s">
        <v>54</v>
      </c>
      <c r="C943" s="111" t="s">
        <v>504</v>
      </c>
      <c r="D943" s="112">
        <v>46041.516546261577</v>
      </c>
      <c r="E943" s="109" t="s">
        <v>505</v>
      </c>
      <c r="F943" s="113" t="s">
        <v>506</v>
      </c>
      <c r="G943" s="113" t="s">
        <v>507</v>
      </c>
      <c r="H943" s="113" t="s">
        <v>508</v>
      </c>
      <c r="I943" s="113" t="s">
        <v>63</v>
      </c>
      <c r="J943" s="109">
        <v>397</v>
      </c>
      <c r="K943" s="109" t="s">
        <v>291</v>
      </c>
      <c r="L943" s="114">
        <v>315533593</v>
      </c>
      <c r="M943" s="115">
        <v>45976</v>
      </c>
      <c r="N943" s="116">
        <v>46387</v>
      </c>
      <c r="O943" s="117">
        <f>VLOOKUP(E943,[1]Diccionario!C$2:AC$150,26,0)</f>
        <v>13.53</v>
      </c>
      <c r="P943" s="117">
        <f t="shared" si="169"/>
        <v>-2.5299999999999994</v>
      </c>
      <c r="Q943" s="117">
        <v>11</v>
      </c>
      <c r="R943" s="109">
        <v>14</v>
      </c>
      <c r="S943" s="118">
        <v>0.01</v>
      </c>
      <c r="T943" s="118"/>
      <c r="U943" s="119">
        <f>U942+TablaIndicador[[#This Row],[Costo Mensual]]</f>
        <v>240890997.99000001</v>
      </c>
      <c r="V943" s="119"/>
      <c r="W943" s="119">
        <f t="shared" si="170"/>
        <v>0</v>
      </c>
      <c r="X943" s="119">
        <f t="shared" si="171"/>
        <v>3155335.93</v>
      </c>
      <c r="Y943" s="119">
        <f t="shared" si="172"/>
        <v>-240890997.99000001</v>
      </c>
      <c r="Z943" s="119">
        <f t="shared" si="173"/>
        <v>-3155335.93</v>
      </c>
      <c r="AA943" s="121">
        <f t="shared" si="174"/>
        <v>0</v>
      </c>
      <c r="AB943" s="122" t="str">
        <f t="shared" si="175"/>
        <v>No calculado</v>
      </c>
      <c r="AC943" s="122">
        <f t="shared" si="176"/>
        <v>0</v>
      </c>
      <c r="AD943" s="122" t="str">
        <f t="shared" si="177"/>
        <v>Sin Línea Base</v>
      </c>
      <c r="AE943" s="123">
        <f t="shared" si="178"/>
        <v>0</v>
      </c>
      <c r="AF943" s="123">
        <f t="shared" si="179"/>
        <v>-315533593</v>
      </c>
      <c r="AG943" s="78">
        <f>VLOOKUP(Indicador!E943,[1]Diccionario!C$1:AC$150,27,0)</f>
        <v>0</v>
      </c>
      <c r="AH943" s="78"/>
      <c r="AI943" s="78"/>
      <c r="AJ943" s="78"/>
      <c r="AK943" s="78" t="s">
        <v>319</v>
      </c>
    </row>
    <row r="944" spans="1:37" ht="18.75" customHeight="1" x14ac:dyDescent="0.25">
      <c r="A944" s="109">
        <v>2025</v>
      </c>
      <c r="B944" s="110" t="s">
        <v>55</v>
      </c>
      <c r="C944" s="111" t="s">
        <v>504</v>
      </c>
      <c r="D944" s="112">
        <v>46041.516546261577</v>
      </c>
      <c r="E944" s="109" t="s">
        <v>505</v>
      </c>
      <c r="F944" s="113" t="s">
        <v>506</v>
      </c>
      <c r="G944" s="113" t="s">
        <v>507</v>
      </c>
      <c r="H944" s="113" t="s">
        <v>508</v>
      </c>
      <c r="I944" s="113" t="s">
        <v>63</v>
      </c>
      <c r="J944" s="109">
        <v>397</v>
      </c>
      <c r="K944" s="109" t="s">
        <v>291</v>
      </c>
      <c r="L944" s="114">
        <v>315533593</v>
      </c>
      <c r="M944" s="115">
        <v>45976</v>
      </c>
      <c r="N944" s="116">
        <v>46387</v>
      </c>
      <c r="O944" s="117">
        <f>VLOOKUP(E944,[1]Diccionario!C$2:AC$150,26,0)</f>
        <v>13.53</v>
      </c>
      <c r="P944" s="117">
        <f t="shared" si="169"/>
        <v>-1.5299999999999994</v>
      </c>
      <c r="Q944" s="117">
        <v>12</v>
      </c>
      <c r="R944" s="109">
        <v>14</v>
      </c>
      <c r="S944" s="118">
        <v>0.01</v>
      </c>
      <c r="T944" s="118"/>
      <c r="U944" s="119">
        <f>U943+TablaIndicador[[#This Row],[Costo Mensual]]</f>
        <v>240890997.99000001</v>
      </c>
      <c r="V944" s="119"/>
      <c r="W944" s="119">
        <f t="shared" si="170"/>
        <v>0</v>
      </c>
      <c r="X944" s="119">
        <f t="shared" si="171"/>
        <v>3155335.93</v>
      </c>
      <c r="Y944" s="119">
        <f t="shared" si="172"/>
        <v>-240890997.99000001</v>
      </c>
      <c r="Z944" s="119">
        <f t="shared" si="173"/>
        <v>-3155335.93</v>
      </c>
      <c r="AA944" s="121">
        <f t="shared" si="174"/>
        <v>0</v>
      </c>
      <c r="AB944" s="122" t="str">
        <f t="shared" si="175"/>
        <v>No calculado</v>
      </c>
      <c r="AC944" s="122">
        <f t="shared" si="176"/>
        <v>0</v>
      </c>
      <c r="AD944" s="122" t="str">
        <f t="shared" si="177"/>
        <v>Sin Línea Base</v>
      </c>
      <c r="AE944" s="123">
        <f t="shared" si="178"/>
        <v>0</v>
      </c>
      <c r="AF944" s="123">
        <f t="shared" si="179"/>
        <v>-315533593</v>
      </c>
      <c r="AG944" s="78">
        <f>VLOOKUP(Indicador!E944,[1]Diccionario!C$1:AC$150,27,0)</f>
        <v>0</v>
      </c>
      <c r="AH944" s="78"/>
      <c r="AI944" s="78"/>
      <c r="AJ944" s="78"/>
      <c r="AK944" s="78" t="s">
        <v>319</v>
      </c>
    </row>
    <row r="945" spans="1:37" ht="18.75" customHeight="1" x14ac:dyDescent="0.25">
      <c r="A945" s="109">
        <v>2025</v>
      </c>
      <c r="B945" s="110" t="s">
        <v>56</v>
      </c>
      <c r="C945" s="111" t="s">
        <v>504</v>
      </c>
      <c r="D945" s="112">
        <v>46041.516546261577</v>
      </c>
      <c r="E945" s="109" t="s">
        <v>505</v>
      </c>
      <c r="F945" s="113" t="s">
        <v>506</v>
      </c>
      <c r="G945" s="113" t="s">
        <v>507</v>
      </c>
      <c r="H945" s="113" t="s">
        <v>508</v>
      </c>
      <c r="I945" s="113" t="s">
        <v>63</v>
      </c>
      <c r="J945" s="109">
        <v>397</v>
      </c>
      <c r="K945" s="109" t="s">
        <v>291</v>
      </c>
      <c r="L945" s="114">
        <v>315533593</v>
      </c>
      <c r="M945" s="115">
        <v>45976</v>
      </c>
      <c r="N945" s="116">
        <v>46387</v>
      </c>
      <c r="O945" s="117">
        <f>VLOOKUP(E945,[1]Diccionario!C$2:AC$150,26,0)</f>
        <v>13.53</v>
      </c>
      <c r="P945" s="117">
        <f t="shared" si="169"/>
        <v>-0.52999999999999936</v>
      </c>
      <c r="Q945" s="117">
        <v>13</v>
      </c>
      <c r="R945" s="109">
        <v>14</v>
      </c>
      <c r="S945" s="118">
        <v>0.01</v>
      </c>
      <c r="T945" s="118"/>
      <c r="U945" s="119">
        <f>U944+TablaIndicador[[#This Row],[Costo Mensual]]</f>
        <v>240890997.99000001</v>
      </c>
      <c r="V945" s="119"/>
      <c r="W945" s="119">
        <f t="shared" si="170"/>
        <v>0</v>
      </c>
      <c r="X945" s="119">
        <f t="shared" si="171"/>
        <v>3155335.93</v>
      </c>
      <c r="Y945" s="119">
        <f t="shared" si="172"/>
        <v>-240890997.99000001</v>
      </c>
      <c r="Z945" s="119">
        <f t="shared" si="173"/>
        <v>-3155335.93</v>
      </c>
      <c r="AA945" s="121">
        <f t="shared" si="174"/>
        <v>0</v>
      </c>
      <c r="AB945" s="122" t="str">
        <f t="shared" si="175"/>
        <v>No calculado</v>
      </c>
      <c r="AC945" s="122">
        <f t="shared" si="176"/>
        <v>0</v>
      </c>
      <c r="AD945" s="122" t="str">
        <f t="shared" si="177"/>
        <v>Sin Línea Base</v>
      </c>
      <c r="AE945" s="123">
        <f t="shared" si="178"/>
        <v>0</v>
      </c>
      <c r="AF945" s="123">
        <f t="shared" si="179"/>
        <v>-315533593</v>
      </c>
      <c r="AG945" s="78">
        <f>VLOOKUP(Indicador!E945,[1]Diccionario!C$1:AC$150,27,0)</f>
        <v>0</v>
      </c>
      <c r="AH945" s="78"/>
      <c r="AI945" s="78"/>
      <c r="AJ945" s="78"/>
      <c r="AK945" s="78" t="s">
        <v>319</v>
      </c>
    </row>
    <row r="946" spans="1:37" ht="18.75" customHeight="1" x14ac:dyDescent="0.25">
      <c r="A946" s="124">
        <v>2025</v>
      </c>
      <c r="B946" s="125" t="s">
        <v>57</v>
      </c>
      <c r="C946" s="111" t="s">
        <v>504</v>
      </c>
      <c r="D946" s="112">
        <v>46041.516546261577</v>
      </c>
      <c r="E946" s="124" t="s">
        <v>505</v>
      </c>
      <c r="F946" s="113" t="s">
        <v>506</v>
      </c>
      <c r="G946" s="113" t="s">
        <v>507</v>
      </c>
      <c r="H946" s="113" t="s">
        <v>508</v>
      </c>
      <c r="I946" s="113" t="s">
        <v>63</v>
      </c>
      <c r="J946" s="109">
        <v>397</v>
      </c>
      <c r="K946" s="109" t="s">
        <v>291</v>
      </c>
      <c r="L946" s="114">
        <v>315533593</v>
      </c>
      <c r="M946" s="115">
        <v>45976</v>
      </c>
      <c r="N946" s="116">
        <v>46387</v>
      </c>
      <c r="O946" s="117">
        <f>VLOOKUP(E946,[1]Diccionario!C$2:AC$150,26,0)</f>
        <v>13.53</v>
      </c>
      <c r="P946" s="117">
        <f t="shared" si="169"/>
        <v>0.47000000000000064</v>
      </c>
      <c r="Q946" s="117">
        <v>14</v>
      </c>
      <c r="R946" s="109">
        <v>14</v>
      </c>
      <c r="S946" s="118">
        <v>0.01</v>
      </c>
      <c r="T946" s="118"/>
      <c r="U946" s="119">
        <f>U945+TablaIndicador[[#This Row],[Costo Mensual]]</f>
        <v>240890997.99000001</v>
      </c>
      <c r="V946" s="119"/>
      <c r="W946" s="119">
        <f t="shared" si="170"/>
        <v>0</v>
      </c>
      <c r="X946" s="119">
        <f t="shared" si="171"/>
        <v>3155335.93</v>
      </c>
      <c r="Y946" s="119">
        <f t="shared" si="172"/>
        <v>-240890997.99000001</v>
      </c>
      <c r="Z946" s="119">
        <f t="shared" si="173"/>
        <v>-3155335.93</v>
      </c>
      <c r="AA946" s="121">
        <f t="shared" si="174"/>
        <v>0</v>
      </c>
      <c r="AB946" s="122" t="str">
        <f t="shared" si="175"/>
        <v>No calculado</v>
      </c>
      <c r="AC946" s="122">
        <f t="shared" si="176"/>
        <v>0</v>
      </c>
      <c r="AD946" s="122" t="str">
        <f t="shared" si="177"/>
        <v>Sin Línea Base</v>
      </c>
      <c r="AE946" s="123">
        <f t="shared" si="178"/>
        <v>0</v>
      </c>
      <c r="AF946" s="123">
        <f t="shared" si="179"/>
        <v>-315533593</v>
      </c>
      <c r="AG946" s="78">
        <f>VLOOKUP(Indicador!E946,[1]Diccionario!C$1:AC$150,27,0)</f>
        <v>0</v>
      </c>
      <c r="AH946" s="78"/>
      <c r="AI946" s="78"/>
      <c r="AJ946" s="78"/>
      <c r="AK946" s="78" t="s">
        <v>319</v>
      </c>
    </row>
  </sheetData>
  <conditionalFormatting sqref="J6:J16">
    <cfRule type="duplicateValues" dxfId="15" priority="1"/>
    <cfRule type="duplicateValues" dxfId="14" priority="2"/>
  </conditionalFormatting>
  <conditionalFormatting sqref="J17:J24">
    <cfRule type="duplicateValues" dxfId="13" priority="3"/>
    <cfRule type="duplicateValues" dxfId="12" priority="4"/>
  </conditionalFormatting>
  <conditionalFormatting sqref="J25:J50">
    <cfRule type="duplicateValues" dxfId="11" priority="5"/>
    <cfRule type="duplicateValues" dxfId="10" priority="6"/>
  </conditionalFormatting>
  <conditionalFormatting sqref="J51:J56">
    <cfRule type="duplicateValues" dxfId="9" priority="7"/>
    <cfRule type="duplicateValues" dxfId="8" priority="8"/>
  </conditionalFormatting>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86653-0BF4-4816-B728-371126754051}">
  <dimension ref="A1:T46"/>
  <sheetViews>
    <sheetView zoomScale="85" zoomScaleNormal="85" workbookViewId="0">
      <pane ySplit="1" topLeftCell="A35" activePane="bottomLeft" state="frozen"/>
      <selection pane="bottomLeft" activeCell="A36" sqref="A36:XFD46"/>
    </sheetView>
  </sheetViews>
  <sheetFormatPr baseColWidth="10" defaultColWidth="11.42578125" defaultRowHeight="18.75" customHeight="1" x14ac:dyDescent="0.25"/>
  <cols>
    <col min="1" max="1" width="11.42578125" style="10"/>
    <col min="2" max="3" width="53.42578125" style="10" customWidth="1"/>
    <col min="4" max="4" width="29.42578125" style="10" customWidth="1"/>
    <col min="5" max="5" width="16.7109375" style="10" customWidth="1"/>
    <col min="6" max="6" width="12.140625" style="10" customWidth="1"/>
    <col min="7" max="7" width="14.42578125" style="10" hidden="1" customWidth="1"/>
    <col min="8" max="8" width="15.7109375" style="128" customWidth="1"/>
    <col min="9" max="9" width="21.85546875" style="128" customWidth="1"/>
    <col min="10" max="10" width="21.85546875" style="10" customWidth="1"/>
    <col min="11" max="11" width="22.42578125" style="10" customWidth="1"/>
    <col min="12" max="12" width="23.5703125" style="10" customWidth="1"/>
    <col min="13" max="13" width="23.7109375" style="10" customWidth="1"/>
    <col min="14" max="14" width="28.5703125" style="10" customWidth="1"/>
    <col min="15" max="15" width="34" style="10" customWidth="1"/>
    <col min="16" max="16" width="66" style="10" bestFit="1" customWidth="1"/>
    <col min="17" max="17" width="38.85546875" style="10" customWidth="1"/>
    <col min="18" max="18" width="52.5703125" style="10" bestFit="1" customWidth="1"/>
    <col min="19" max="19" width="33.5703125" style="10" customWidth="1"/>
    <col min="20" max="20" width="48.7109375" style="10" customWidth="1"/>
    <col min="21" max="16384" width="11.42578125" style="10"/>
  </cols>
  <sheetData>
    <row r="1" spans="1:20" ht="18.75" customHeight="1" x14ac:dyDescent="0.25">
      <c r="A1" s="1" t="s">
        <v>0</v>
      </c>
      <c r="B1" s="3" t="s">
        <v>4</v>
      </c>
      <c r="C1" s="3" t="s">
        <v>754</v>
      </c>
      <c r="D1" s="138" t="s">
        <v>11</v>
      </c>
      <c r="E1" s="3" t="s">
        <v>12</v>
      </c>
      <c r="F1" s="3" t="s">
        <v>13</v>
      </c>
      <c r="G1" s="3" t="s">
        <v>14</v>
      </c>
      <c r="H1" s="7" t="s">
        <v>18</v>
      </c>
      <c r="I1" s="7" t="s">
        <v>19</v>
      </c>
      <c r="J1" s="5" t="s">
        <v>20</v>
      </c>
      <c r="K1" s="4" t="s">
        <v>22</v>
      </c>
      <c r="L1" s="4" t="s">
        <v>23</v>
      </c>
      <c r="M1" s="4" t="s">
        <v>24</v>
      </c>
      <c r="N1" s="4" t="s">
        <v>25</v>
      </c>
      <c r="O1" s="4" t="s">
        <v>26</v>
      </c>
      <c r="P1" s="4" t="s">
        <v>27</v>
      </c>
      <c r="Q1" s="4" t="s">
        <v>28</v>
      </c>
      <c r="R1" s="4" t="s">
        <v>29</v>
      </c>
      <c r="S1" s="5" t="s">
        <v>30</v>
      </c>
      <c r="T1" s="5" t="s">
        <v>31</v>
      </c>
    </row>
    <row r="2" spans="1:20" ht="18.75" customHeight="1" x14ac:dyDescent="0.25">
      <c r="A2" s="10">
        <v>2025</v>
      </c>
      <c r="B2" s="30" t="s">
        <v>418</v>
      </c>
      <c r="C2" s="30" t="str">
        <f>VLOOKUP(TablaIndicador3[[#This Row],[ProjectName]],TablaIndicador[[ProjectName]:[CentrodeCostosProyecto]],6,0)</f>
        <v>0385</v>
      </c>
      <c r="D2" s="138">
        <v>772840336</v>
      </c>
      <c r="E2" s="18">
        <v>45945</v>
      </c>
      <c r="F2" s="19">
        <v>46022</v>
      </c>
      <c r="G2" s="20">
        <f t="shared" ref="G2:G46" si="0">DATEDIF(E2,F2,"m")+1</f>
        <v>3</v>
      </c>
      <c r="H2" s="21">
        <f>VLOOKUP(TablaIndicador3[[#This Row],[ProjectName]],Hoja3!T3:Y52,6,0)/100</f>
        <v>1</v>
      </c>
      <c r="I2" s="21">
        <f>VLOOKUP(TablaIndicador3[[#This Row],[ProjectName]],Hoja3!T3:Y52,2,0)/100</f>
        <v>1</v>
      </c>
      <c r="J2" s="22">
        <v>1337000924</v>
      </c>
      <c r="K2" s="24">
        <f t="shared" ref="K2:K46" si="1">IFERROR(I2*D2,0)</f>
        <v>772840336</v>
      </c>
      <c r="L2" s="24">
        <f t="shared" ref="L2:L46" si="2">H2*D2</f>
        <v>772840336</v>
      </c>
      <c r="M2" s="24">
        <f t="shared" ref="M2:M46" si="3">IFERROR(K2-J2,0)</f>
        <v>-564160588</v>
      </c>
      <c r="N2" s="24">
        <f t="shared" ref="N2:N46" si="4">K2-L2</f>
        <v>0</v>
      </c>
      <c r="O2" s="25">
        <f t="shared" ref="O2:O46" si="5">IFERROR(K2/J2,"No se realizó gasto en este corte")</f>
        <v>0.57804024075603411</v>
      </c>
      <c r="P2" s="26" t="str">
        <f t="shared" ref="P2:P46" si="6">IFERROR(
  IF(OR(O2="",O2=0),
    "No calculado",
    IF(O2&gt;1,"Costo eficiente: se gasto menos de lo presupuestado",
      IF(O2=1,"Costo según lo presupuestado",
        "Costo ineficiente: se gasto más de lo presupuestado"))),
"No calculado")</f>
        <v>Costo ineficiente: se gasto más de lo presupuestado</v>
      </c>
      <c r="Q2" s="26">
        <f t="shared" ref="Q2:Q46" si="7">IFERROR(K2/L2,0)</f>
        <v>1</v>
      </c>
      <c r="R2" s="26" t="str">
        <f t="shared" ref="R2:R46" si="8">IF(OR(Q2="",Q2=0),"Sin Línea Base",
IF(Q2&gt;1,"Proyecto adelantado respecto al cronograma",
IF(Q2=1,"Proyecto a tiempo según lo planificado",
IF(Q2&lt;1,"Proyecto atrasado con respecto al cronograma",
"No calculado"))))</f>
        <v>Proyecto a tiempo según lo planificado</v>
      </c>
      <c r="S2" s="27">
        <f t="shared" ref="S2:S46" si="9">IFERROR(D2/O2,0)</f>
        <v>1337000924</v>
      </c>
      <c r="T2" s="27">
        <f t="shared" ref="T2:T46" si="10">IFERROR(S2-D2,0)</f>
        <v>564160588</v>
      </c>
    </row>
    <row r="3" spans="1:20" ht="18.75" customHeight="1" x14ac:dyDescent="0.25">
      <c r="A3" s="10">
        <v>2025</v>
      </c>
      <c r="B3" s="30" t="s">
        <v>384</v>
      </c>
      <c r="C3" s="30" t="str">
        <f>VLOOKUP(TablaIndicador3[[#This Row],[ProjectName]],TablaIndicador[[ProjectName]:[CentrodeCostosProyecto]],6,0)</f>
        <v>0382</v>
      </c>
      <c r="D3" s="138">
        <v>243037690</v>
      </c>
      <c r="E3" s="18">
        <v>45962</v>
      </c>
      <c r="F3" s="19">
        <v>45991</v>
      </c>
      <c r="G3" s="20">
        <f t="shared" si="0"/>
        <v>1</v>
      </c>
      <c r="H3" s="21">
        <f>VLOOKUP(TablaIndicador3[[#This Row],[ProjectName]],Hoja3!T4:Y53,6,0)/100</f>
        <v>1</v>
      </c>
      <c r="I3" s="21">
        <f>VLOOKUP(TablaIndicador3[[#This Row],[ProjectName]],Hoja3!T4:Y53,2,0)/100</f>
        <v>1</v>
      </c>
      <c r="J3" s="137">
        <v>491039241.54000002</v>
      </c>
      <c r="K3" s="24">
        <f t="shared" si="1"/>
        <v>243037690</v>
      </c>
      <c r="L3" s="24">
        <f t="shared" si="2"/>
        <v>243037690</v>
      </c>
      <c r="M3" s="24">
        <f t="shared" si="3"/>
        <v>-248001551.54000002</v>
      </c>
      <c r="N3" s="24">
        <f t="shared" si="4"/>
        <v>0</v>
      </c>
      <c r="O3" s="25">
        <f t="shared" si="5"/>
        <v>0.49494555514093708</v>
      </c>
      <c r="P3" s="26" t="str">
        <f t="shared" si="6"/>
        <v>Costo ineficiente: se gasto más de lo presupuestado</v>
      </c>
      <c r="Q3" s="26">
        <f t="shared" si="7"/>
        <v>1</v>
      </c>
      <c r="R3" s="26" t="str">
        <f t="shared" si="8"/>
        <v>Proyecto a tiempo según lo planificado</v>
      </c>
      <c r="S3" s="27">
        <f t="shared" si="9"/>
        <v>491039241.54000002</v>
      </c>
      <c r="T3" s="27">
        <f t="shared" si="10"/>
        <v>248001551.54000002</v>
      </c>
    </row>
    <row r="4" spans="1:20" ht="18.75" customHeight="1" x14ac:dyDescent="0.25">
      <c r="A4" s="10">
        <v>2025</v>
      </c>
      <c r="B4" s="30" t="s">
        <v>326</v>
      </c>
      <c r="C4" s="30" t="str">
        <f>VLOOKUP(TablaIndicador3[[#This Row],[ProjectName]],TablaIndicador[[ProjectName]:[CentrodeCostosProyecto]],6,0)</f>
        <v>0376</v>
      </c>
      <c r="D4" s="138">
        <v>162301726</v>
      </c>
      <c r="E4" s="18">
        <v>45901</v>
      </c>
      <c r="F4" s="19">
        <v>46022</v>
      </c>
      <c r="G4" s="20">
        <f t="shared" si="0"/>
        <v>4</v>
      </c>
      <c r="H4" s="21">
        <f>VLOOKUP(TablaIndicador3[[#This Row],[ProjectName]],Hoja3!T5:Y54,6,0)/100</f>
        <v>1</v>
      </c>
      <c r="I4" s="21">
        <f>VLOOKUP(TablaIndicador3[[#This Row],[ProjectName]],Hoja3!T5:Y54,2,0)/100</f>
        <v>1</v>
      </c>
      <c r="J4" s="33">
        <v>278145426</v>
      </c>
      <c r="K4" s="24">
        <f t="shared" si="1"/>
        <v>162301726</v>
      </c>
      <c r="L4" s="24">
        <f t="shared" si="2"/>
        <v>162301726</v>
      </c>
      <c r="M4" s="24">
        <f t="shared" si="3"/>
        <v>-115843700</v>
      </c>
      <c r="N4" s="24">
        <f t="shared" si="4"/>
        <v>0</v>
      </c>
      <c r="O4" s="25">
        <f t="shared" si="5"/>
        <v>0.58351391332964075</v>
      </c>
      <c r="P4" s="26" t="str">
        <f t="shared" si="6"/>
        <v>Costo ineficiente: se gasto más de lo presupuestado</v>
      </c>
      <c r="Q4" s="26">
        <f t="shared" si="7"/>
        <v>1</v>
      </c>
      <c r="R4" s="26" t="str">
        <f t="shared" si="8"/>
        <v>Proyecto a tiempo según lo planificado</v>
      </c>
      <c r="S4" s="27">
        <f t="shared" si="9"/>
        <v>278145426</v>
      </c>
      <c r="T4" s="27">
        <f t="shared" si="10"/>
        <v>115843700</v>
      </c>
    </row>
    <row r="5" spans="1:20" ht="18.75" customHeight="1" x14ac:dyDescent="0.25">
      <c r="A5" s="10">
        <v>2025</v>
      </c>
      <c r="B5" s="30" t="s">
        <v>321</v>
      </c>
      <c r="C5" s="30" t="str">
        <f>VLOOKUP(TablaIndicador3[[#This Row],[ProjectName]],TablaIndicador[[ProjectName]:[CentrodeCostosProyecto]],6,0)</f>
        <v>0375</v>
      </c>
      <c r="D5" s="138">
        <v>5018888965</v>
      </c>
      <c r="E5" s="18">
        <v>45870</v>
      </c>
      <c r="F5" s="19">
        <v>46022</v>
      </c>
      <c r="G5" s="20">
        <f t="shared" si="0"/>
        <v>5</v>
      </c>
      <c r="H5" s="21">
        <f>VLOOKUP(TablaIndicador3[[#This Row],[ProjectName]],Hoja3!T6:Y55,6,0)/100</f>
        <v>0.93013099999999993</v>
      </c>
      <c r="I5" s="21">
        <f>VLOOKUP(TablaIndicador3[[#This Row],[ProjectName]],Hoja3!T6:Y55,2,0)/100</f>
        <v>0.99</v>
      </c>
      <c r="J5" s="33">
        <v>15277118459.960001</v>
      </c>
      <c r="K5" s="24">
        <f t="shared" si="1"/>
        <v>4968700075.3500004</v>
      </c>
      <c r="L5" s="24">
        <f t="shared" si="2"/>
        <v>4668224211.9044142</v>
      </c>
      <c r="M5" s="24">
        <f t="shared" si="3"/>
        <v>-10308418384.610001</v>
      </c>
      <c r="N5" s="24">
        <f t="shared" si="4"/>
        <v>300475863.4455862</v>
      </c>
      <c r="O5" s="25">
        <f t="shared" si="5"/>
        <v>0.32523804069285261</v>
      </c>
      <c r="P5" s="26" t="str">
        <f t="shared" si="6"/>
        <v>Costo ineficiente: se gasto más de lo presupuestado</v>
      </c>
      <c r="Q5" s="26">
        <f t="shared" si="7"/>
        <v>1.0643662021801232</v>
      </c>
      <c r="R5" s="26" t="str">
        <f t="shared" si="8"/>
        <v>Proyecto adelantado respecto al cronograma</v>
      </c>
      <c r="S5" s="27">
        <f t="shared" si="9"/>
        <v>15431432787.838383</v>
      </c>
      <c r="T5" s="27">
        <f t="shared" si="10"/>
        <v>10412543822.838383</v>
      </c>
    </row>
    <row r="6" spans="1:20" ht="18.75" customHeight="1" x14ac:dyDescent="0.25">
      <c r="A6" s="10">
        <v>2025</v>
      </c>
      <c r="B6" s="30" t="s">
        <v>299</v>
      </c>
      <c r="C6" s="30" t="str">
        <f>VLOOKUP(TablaIndicador3[[#This Row],[ProjectName]],TablaIndicador[[ProjectName]:[CentrodeCostosProyecto]],6,0)</f>
        <v>0370</v>
      </c>
      <c r="D6" s="138">
        <v>589176956</v>
      </c>
      <c r="E6" s="18">
        <v>45834</v>
      </c>
      <c r="F6" s="19">
        <v>46006</v>
      </c>
      <c r="G6" s="20">
        <f t="shared" si="0"/>
        <v>6</v>
      </c>
      <c r="H6" s="21">
        <f>VLOOKUP(TablaIndicador3[[#This Row],[ProjectName]],Hoja3!T7:Y56,6,0)/100</f>
        <v>1</v>
      </c>
      <c r="I6" s="21">
        <f>VLOOKUP(TablaIndicador3[[#This Row],[ProjectName]],Hoja3!T7:Y56,2,0)/100</f>
        <v>1</v>
      </c>
      <c r="J6" s="33">
        <v>943953076.31999993</v>
      </c>
      <c r="K6" s="24">
        <f t="shared" si="1"/>
        <v>589176956</v>
      </c>
      <c r="L6" s="24">
        <f t="shared" si="2"/>
        <v>589176956</v>
      </c>
      <c r="M6" s="24">
        <f t="shared" si="3"/>
        <v>-354776120.31999993</v>
      </c>
      <c r="N6" s="24">
        <f t="shared" si="4"/>
        <v>0</v>
      </c>
      <c r="O6" s="25">
        <f t="shared" si="5"/>
        <v>0.62415915661497257</v>
      </c>
      <c r="P6" s="26" t="str">
        <f t="shared" si="6"/>
        <v>Costo ineficiente: se gasto más de lo presupuestado</v>
      </c>
      <c r="Q6" s="26">
        <f t="shared" si="7"/>
        <v>1</v>
      </c>
      <c r="R6" s="26" t="str">
        <f t="shared" si="8"/>
        <v>Proyecto a tiempo según lo planificado</v>
      </c>
      <c r="S6" s="27">
        <f t="shared" si="9"/>
        <v>943953076.31999993</v>
      </c>
      <c r="T6" s="27">
        <f t="shared" si="10"/>
        <v>354776120.31999993</v>
      </c>
    </row>
    <row r="7" spans="1:20" ht="18.75" customHeight="1" x14ac:dyDescent="0.25">
      <c r="A7" s="10">
        <v>2025</v>
      </c>
      <c r="B7" s="30" t="s">
        <v>265</v>
      </c>
      <c r="C7" s="30" t="str">
        <f>VLOOKUP(TablaIndicador3[[#This Row],[ProjectName]],TablaIndicador[[ProjectName]:[CentrodeCostosProyecto]],6,0)</f>
        <v>0360</v>
      </c>
      <c r="D7" s="138">
        <v>2873641115</v>
      </c>
      <c r="E7" s="18">
        <v>45705</v>
      </c>
      <c r="F7" s="19">
        <v>46129</v>
      </c>
      <c r="G7" s="20">
        <f t="shared" si="0"/>
        <v>15</v>
      </c>
      <c r="H7" s="21">
        <f>VLOOKUP(TablaIndicador3[[#This Row],[ProjectName]],Hoja3!T8:Y57,6,0)/100</f>
        <v>1</v>
      </c>
      <c r="I7" s="21">
        <f>VLOOKUP(TablaIndicador3[[#This Row],[ProjectName]],Hoja3!T8:Y57,2,0)/100</f>
        <v>0.99</v>
      </c>
      <c r="J7" s="33">
        <v>-1470984928.3000004</v>
      </c>
      <c r="K7" s="24">
        <f t="shared" si="1"/>
        <v>2844904703.8499999</v>
      </c>
      <c r="L7" s="24">
        <f t="shared" si="2"/>
        <v>2873641115</v>
      </c>
      <c r="M7" s="24">
        <f t="shared" si="3"/>
        <v>4315889632.1500006</v>
      </c>
      <c r="N7" s="24">
        <f t="shared" si="4"/>
        <v>-28736411.150000095</v>
      </c>
      <c r="O7" s="25">
        <f t="shared" si="5"/>
        <v>-1.9340134960715214</v>
      </c>
      <c r="P7" s="26" t="str">
        <f t="shared" si="6"/>
        <v>Costo ineficiente: se gasto más de lo presupuestado</v>
      </c>
      <c r="Q7" s="26">
        <f t="shared" si="7"/>
        <v>0.99</v>
      </c>
      <c r="R7" s="26" t="str">
        <f t="shared" si="8"/>
        <v>Proyecto atrasado con respecto al cronograma</v>
      </c>
      <c r="S7" s="27">
        <f t="shared" si="9"/>
        <v>-1485843361.9191923</v>
      </c>
      <c r="T7" s="27">
        <f t="shared" si="10"/>
        <v>-4359484476.9191923</v>
      </c>
    </row>
    <row r="8" spans="1:20" ht="18.75" customHeight="1" x14ac:dyDescent="0.25">
      <c r="A8" s="10">
        <v>2025</v>
      </c>
      <c r="B8" s="30" t="s">
        <v>260</v>
      </c>
      <c r="C8" s="30" t="str">
        <f>VLOOKUP(TablaIndicador3[[#This Row],[ProjectName]],TablaIndicador[[ProjectName]:[CentrodeCostosProyecto]],6,0)</f>
        <v>0361</v>
      </c>
      <c r="D8" s="138">
        <v>40504918</v>
      </c>
      <c r="E8" s="18">
        <v>45689</v>
      </c>
      <c r="F8" s="19">
        <v>45716</v>
      </c>
      <c r="G8" s="20">
        <f t="shared" si="0"/>
        <v>1</v>
      </c>
      <c r="H8" s="21">
        <f>VLOOKUP(TablaIndicador3[[#This Row],[ProjectName]],Hoja3!T9:Y58,6,0)/100</f>
        <v>0.47970256</v>
      </c>
      <c r="I8" s="21">
        <f>VLOOKUP(TablaIndicador3[[#This Row],[ProjectName]],Hoja3!T9:Y58,2,0)/100</f>
        <v>1</v>
      </c>
      <c r="J8" s="33">
        <v>32185063.149999999</v>
      </c>
      <c r="K8" s="24">
        <f t="shared" si="1"/>
        <v>40504918</v>
      </c>
      <c r="L8" s="24">
        <f t="shared" si="2"/>
        <v>19430312.85719008</v>
      </c>
      <c r="M8" s="24">
        <f t="shared" si="3"/>
        <v>8319854.8500000015</v>
      </c>
      <c r="N8" s="24">
        <f t="shared" si="4"/>
        <v>21074605.14280992</v>
      </c>
      <c r="O8" s="25">
        <f t="shared" si="5"/>
        <v>1.2585004979242989</v>
      </c>
      <c r="P8" s="26" t="str">
        <f t="shared" si="6"/>
        <v>Costo eficiente: se gasto menos de lo presupuestado</v>
      </c>
      <c r="Q8" s="26">
        <f t="shared" si="7"/>
        <v>2.0846251060240331</v>
      </c>
      <c r="R8" s="26" t="str">
        <f t="shared" si="8"/>
        <v>Proyecto adelantado respecto al cronograma</v>
      </c>
      <c r="S8" s="27">
        <f t="shared" si="9"/>
        <v>32185063.149999999</v>
      </c>
      <c r="T8" s="27">
        <f t="shared" si="10"/>
        <v>-8319854.8500000015</v>
      </c>
    </row>
    <row r="9" spans="1:20" ht="18.75" customHeight="1" x14ac:dyDescent="0.25">
      <c r="A9" s="10">
        <v>2025</v>
      </c>
      <c r="B9" s="30" t="s">
        <v>250</v>
      </c>
      <c r="C9" s="30" t="str">
        <f>VLOOKUP(TablaIndicador3[[#This Row],[ProjectName]],TablaIndicador[[ProjectName]:[CentrodeCostosProyecto]],6,0)</f>
        <v>0359</v>
      </c>
      <c r="D9" s="138">
        <v>503460622</v>
      </c>
      <c r="E9" s="18">
        <v>45689</v>
      </c>
      <c r="F9" s="19">
        <v>45716</v>
      </c>
      <c r="G9" s="20">
        <f t="shared" si="0"/>
        <v>1</v>
      </c>
      <c r="H9" s="21">
        <f>VLOOKUP(TablaIndicador3[[#This Row],[ProjectName]],Hoja3!T10:Y59,6,0)/100</f>
        <v>0.18632075000000001</v>
      </c>
      <c r="I9" s="21">
        <f>VLOOKUP(TablaIndicador3[[#This Row],[ProjectName]],Hoja3!T10:Y59,2,0)/100</f>
        <v>1</v>
      </c>
      <c r="J9" s="33">
        <v>438736071.81999999</v>
      </c>
      <c r="K9" s="24">
        <f t="shared" si="1"/>
        <v>503460622</v>
      </c>
      <c r="L9" s="24">
        <f t="shared" si="2"/>
        <v>93805160.68650651</v>
      </c>
      <c r="M9" s="24">
        <f t="shared" si="3"/>
        <v>64724550.180000007</v>
      </c>
      <c r="N9" s="24">
        <f t="shared" si="4"/>
        <v>409655461.31349349</v>
      </c>
      <c r="O9" s="25">
        <f t="shared" si="5"/>
        <v>1.1475250254931273</v>
      </c>
      <c r="P9" s="26" t="str">
        <f t="shared" si="6"/>
        <v>Costo eficiente: se gasto menos de lo presupuestado</v>
      </c>
      <c r="Q9" s="26">
        <f t="shared" si="7"/>
        <v>5.3670887434706005</v>
      </c>
      <c r="R9" s="26" t="str">
        <f t="shared" si="8"/>
        <v>Proyecto adelantado respecto al cronograma</v>
      </c>
      <c r="S9" s="27">
        <f t="shared" si="9"/>
        <v>438736071.81999999</v>
      </c>
      <c r="T9" s="27">
        <f t="shared" si="10"/>
        <v>-64724550.180000007</v>
      </c>
    </row>
    <row r="10" spans="1:20" ht="18.75" customHeight="1" x14ac:dyDescent="0.25">
      <c r="A10" s="10">
        <v>2024</v>
      </c>
      <c r="B10" s="30" t="s">
        <v>245</v>
      </c>
      <c r="C10" s="30" t="str">
        <f>VLOOKUP(TablaIndicador3[[#This Row],[ProjectName]],TablaIndicador[[ProjectName]:[CentrodeCostosProyecto]],6,0)</f>
        <v>0356</v>
      </c>
      <c r="D10" s="138">
        <v>40327077</v>
      </c>
      <c r="E10" s="18">
        <v>45627</v>
      </c>
      <c r="F10" s="19">
        <v>45657</v>
      </c>
      <c r="G10" s="20">
        <f t="shared" si="0"/>
        <v>1</v>
      </c>
      <c r="H10" s="21">
        <f>VLOOKUP(TablaIndicador3[[#This Row],[ProjectName]],Hoja3!T11:Y60,6,0)/100</f>
        <v>1</v>
      </c>
      <c r="I10" s="21">
        <f>VLOOKUP(TablaIndicador3[[#This Row],[ProjectName]],Hoja3!T11:Y60,2,0)/100</f>
        <v>1</v>
      </c>
      <c r="J10" s="33">
        <v>9339970.6500000004</v>
      </c>
      <c r="K10" s="24">
        <f t="shared" si="1"/>
        <v>40327077</v>
      </c>
      <c r="L10" s="24">
        <f t="shared" si="2"/>
        <v>40327077</v>
      </c>
      <c r="M10" s="24">
        <f t="shared" si="3"/>
        <v>30987106.350000001</v>
      </c>
      <c r="N10" s="24">
        <f t="shared" si="4"/>
        <v>0</v>
      </c>
      <c r="O10" s="25">
        <f t="shared" si="5"/>
        <v>4.3176877648967773</v>
      </c>
      <c r="P10" s="26" t="str">
        <f t="shared" si="6"/>
        <v>Costo eficiente: se gasto menos de lo presupuestado</v>
      </c>
      <c r="Q10" s="26">
        <f t="shared" si="7"/>
        <v>1</v>
      </c>
      <c r="R10" s="26" t="str">
        <f t="shared" si="8"/>
        <v>Proyecto a tiempo según lo planificado</v>
      </c>
      <c r="S10" s="27">
        <f t="shared" si="9"/>
        <v>9339970.6500000004</v>
      </c>
      <c r="T10" s="27">
        <f t="shared" si="10"/>
        <v>-30987106.350000001</v>
      </c>
    </row>
    <row r="11" spans="1:20" ht="18.75" customHeight="1" x14ac:dyDescent="0.25">
      <c r="A11" s="10">
        <v>2024</v>
      </c>
      <c r="B11" s="30" t="s">
        <v>234</v>
      </c>
      <c r="C11" s="30" t="str">
        <f>VLOOKUP(TablaIndicador3[[#This Row],[ProjectName]],TablaIndicador[[ProjectName]:[CentrodeCostosProyecto]],6,0)</f>
        <v>0354</v>
      </c>
      <c r="D11" s="138">
        <v>55501215</v>
      </c>
      <c r="E11" s="18">
        <v>45642</v>
      </c>
      <c r="F11" s="19">
        <v>45657</v>
      </c>
      <c r="G11" s="20">
        <f t="shared" si="0"/>
        <v>1</v>
      </c>
      <c r="H11" s="21">
        <f>VLOOKUP(TablaIndicador3[[#This Row],[ProjectName]],Hoja3!T13:Y62,6,0)/100</f>
        <v>1</v>
      </c>
      <c r="I11" s="21">
        <f>VLOOKUP(TablaIndicador3[[#This Row],[ProjectName]],Hoja3!T13:Y62,2,0)/100</f>
        <v>1</v>
      </c>
      <c r="J11" s="33">
        <v>373794.95</v>
      </c>
      <c r="K11" s="24">
        <f t="shared" si="1"/>
        <v>55501215</v>
      </c>
      <c r="L11" s="24">
        <f t="shared" si="2"/>
        <v>55501215</v>
      </c>
      <c r="M11" s="24">
        <f t="shared" si="3"/>
        <v>55127420.049999997</v>
      </c>
      <c r="N11" s="24">
        <f t="shared" si="4"/>
        <v>0</v>
      </c>
      <c r="O11" s="25">
        <f t="shared" si="5"/>
        <v>148.48037674131231</v>
      </c>
      <c r="P11" s="26" t="str">
        <f t="shared" si="6"/>
        <v>Costo eficiente: se gasto menos de lo presupuestado</v>
      </c>
      <c r="Q11" s="26">
        <f t="shared" si="7"/>
        <v>1</v>
      </c>
      <c r="R11" s="26" t="str">
        <f t="shared" si="8"/>
        <v>Proyecto a tiempo según lo planificado</v>
      </c>
      <c r="S11" s="27">
        <f t="shared" si="9"/>
        <v>373794.95</v>
      </c>
      <c r="T11" s="27">
        <f t="shared" si="10"/>
        <v>-55127420.049999997</v>
      </c>
    </row>
    <row r="12" spans="1:20" ht="18.75" customHeight="1" x14ac:dyDescent="0.25">
      <c r="A12" s="10">
        <v>2024</v>
      </c>
      <c r="B12" s="30" t="s">
        <v>224</v>
      </c>
      <c r="C12" s="30" t="str">
        <f>VLOOKUP(TablaIndicador3[[#This Row],[ProjectName]],TablaIndicador[[ProjectName]:[CentrodeCostosProyecto]],6,0)</f>
        <v>0353</v>
      </c>
      <c r="D12" s="138">
        <v>410789543</v>
      </c>
      <c r="E12" s="18">
        <v>45536</v>
      </c>
      <c r="F12" s="19">
        <v>45597</v>
      </c>
      <c r="G12" s="20">
        <f t="shared" si="0"/>
        <v>3</v>
      </c>
      <c r="H12" s="21">
        <f>VLOOKUP(TablaIndicador3[[#This Row],[ProjectName]],Hoja3!T14:Y63,6,0)/100</f>
        <v>1</v>
      </c>
      <c r="I12" s="21">
        <f>VLOOKUP(TablaIndicador3[[#This Row],[ProjectName]],Hoja3!T14:Y63,2,0)/100</f>
        <v>1</v>
      </c>
      <c r="J12" s="33">
        <v>40379724.340000004</v>
      </c>
      <c r="K12" s="24">
        <f t="shared" si="1"/>
        <v>410789543</v>
      </c>
      <c r="L12" s="24">
        <f t="shared" si="2"/>
        <v>410789543</v>
      </c>
      <c r="M12" s="24">
        <f t="shared" si="3"/>
        <v>370409818.65999997</v>
      </c>
      <c r="N12" s="24">
        <f t="shared" si="4"/>
        <v>0</v>
      </c>
      <c r="O12" s="25">
        <f t="shared" si="5"/>
        <v>10.173163628882762</v>
      </c>
      <c r="P12" s="26" t="str">
        <f t="shared" si="6"/>
        <v>Costo eficiente: se gasto menos de lo presupuestado</v>
      </c>
      <c r="Q12" s="26">
        <f t="shared" si="7"/>
        <v>1</v>
      </c>
      <c r="R12" s="26" t="str">
        <f t="shared" si="8"/>
        <v>Proyecto a tiempo según lo planificado</v>
      </c>
      <c r="S12" s="27">
        <f t="shared" si="9"/>
        <v>40379724.340000004</v>
      </c>
      <c r="T12" s="27">
        <f t="shared" si="10"/>
        <v>-370409818.65999997</v>
      </c>
    </row>
    <row r="13" spans="1:20" ht="18.75" customHeight="1" x14ac:dyDescent="0.25">
      <c r="A13" s="10">
        <v>2024</v>
      </c>
      <c r="B13" s="60" t="s">
        <v>219</v>
      </c>
      <c r="C13" s="60" t="str">
        <f>VLOOKUP(TablaIndicador3[[#This Row],[ProjectName]],TablaIndicador[[ProjectName]:[CentrodeCostosProyecto]],6,0)</f>
        <v>0348</v>
      </c>
      <c r="D13" s="139">
        <v>7049000</v>
      </c>
      <c r="E13" s="140">
        <v>45536</v>
      </c>
      <c r="F13" s="141">
        <v>45565</v>
      </c>
      <c r="G13" s="142">
        <f t="shared" si="0"/>
        <v>1</v>
      </c>
      <c r="H13" s="143">
        <f>VLOOKUP(TablaIndicador3[[#This Row],[ProjectName]],Hoja3!T15:Y64,6,0)/100</f>
        <v>1</v>
      </c>
      <c r="I13" s="143">
        <f>VLOOKUP(TablaIndicador3[[#This Row],[ProjectName]],Hoja3!T15:Y64,2,0)/100</f>
        <v>1</v>
      </c>
      <c r="J13" s="144">
        <v>7297</v>
      </c>
      <c r="K13" s="24">
        <f t="shared" si="1"/>
        <v>7049000</v>
      </c>
      <c r="L13" s="24">
        <f t="shared" si="2"/>
        <v>7049000</v>
      </c>
      <c r="M13" s="24">
        <f t="shared" si="3"/>
        <v>7041703</v>
      </c>
      <c r="N13" s="24">
        <f t="shared" si="4"/>
        <v>0</v>
      </c>
      <c r="O13" s="25">
        <f t="shared" si="5"/>
        <v>966.01343017678494</v>
      </c>
      <c r="P13" s="26" t="str">
        <f t="shared" si="6"/>
        <v>Costo eficiente: se gasto menos de lo presupuestado</v>
      </c>
      <c r="Q13" s="26">
        <f t="shared" si="7"/>
        <v>1</v>
      </c>
      <c r="R13" s="26" t="str">
        <f t="shared" si="8"/>
        <v>Proyecto a tiempo según lo planificado</v>
      </c>
      <c r="S13" s="27">
        <f t="shared" si="9"/>
        <v>7297</v>
      </c>
      <c r="T13" s="27">
        <f t="shared" si="10"/>
        <v>-7041703</v>
      </c>
    </row>
    <row r="14" spans="1:20" ht="18.75" customHeight="1" x14ac:dyDescent="0.25">
      <c r="A14" s="10">
        <v>2024</v>
      </c>
      <c r="B14" s="30" t="s">
        <v>214</v>
      </c>
      <c r="C14" s="30" t="str">
        <f>VLOOKUP(TablaIndicador3[[#This Row],[ProjectName]],TablaIndicador[[ProjectName]:[CentrodeCostosProyecto]],6,0)</f>
        <v>0351</v>
      </c>
      <c r="D14" s="138">
        <f>788895875+604034946</f>
        <v>1392930821</v>
      </c>
      <c r="E14" s="18">
        <v>45597</v>
      </c>
      <c r="F14" s="19">
        <v>46295</v>
      </c>
      <c r="G14" s="20">
        <f t="shared" si="0"/>
        <v>23</v>
      </c>
      <c r="H14" s="21">
        <f>VLOOKUP(TablaIndicador3[[#This Row],[ProjectName]],Hoja3!T16:Y65,6,0)/100</f>
        <v>0.66804123999999998</v>
      </c>
      <c r="I14" s="21">
        <f>VLOOKUP(TablaIndicador3[[#This Row],[ProjectName]],Hoja3!T16:Y65,2,0)/100</f>
        <v>0.81</v>
      </c>
      <c r="J14" s="38">
        <v>1561321186.1900001</v>
      </c>
      <c r="K14" s="24">
        <f t="shared" si="1"/>
        <v>1128273965.01</v>
      </c>
      <c r="L14" s="24">
        <f t="shared" si="2"/>
        <v>930535232.89505804</v>
      </c>
      <c r="M14" s="24">
        <f t="shared" si="3"/>
        <v>-433047221.18000007</v>
      </c>
      <c r="N14" s="24">
        <f t="shared" si="4"/>
        <v>197738732.11494195</v>
      </c>
      <c r="O14" s="25">
        <f t="shared" si="5"/>
        <v>0.72264052713155091</v>
      </c>
      <c r="P14" s="26" t="str">
        <f t="shared" si="6"/>
        <v>Costo ineficiente: se gasto más de lo presupuestado</v>
      </c>
      <c r="Q14" s="26">
        <f t="shared" si="7"/>
        <v>1.2124999947608024</v>
      </c>
      <c r="R14" s="26" t="str">
        <f t="shared" si="8"/>
        <v>Proyecto adelantado respecto al cronograma</v>
      </c>
      <c r="S14" s="27">
        <f t="shared" si="9"/>
        <v>1927557019.9876544</v>
      </c>
      <c r="T14" s="27">
        <f t="shared" si="10"/>
        <v>534626198.98765445</v>
      </c>
    </row>
    <row r="15" spans="1:20" ht="18.75" customHeight="1" x14ac:dyDescent="0.25">
      <c r="A15" s="10">
        <v>2024</v>
      </c>
      <c r="B15" s="30" t="s">
        <v>209</v>
      </c>
      <c r="C15" s="30" t="str">
        <f>VLOOKUP(TablaIndicador3[[#This Row],[ProjectName]],TablaIndicador[[ProjectName]:[CentrodeCostosProyecto]],6,0)</f>
        <v>0350</v>
      </c>
      <c r="D15" s="138">
        <v>219060050</v>
      </c>
      <c r="E15" s="18">
        <v>45597</v>
      </c>
      <c r="F15" s="19">
        <v>45657</v>
      </c>
      <c r="G15" s="20">
        <f t="shared" si="0"/>
        <v>2</v>
      </c>
      <c r="H15" s="21">
        <f>VLOOKUP(TablaIndicador3[[#This Row],[ProjectName]],Hoja3!T17:Y66,6,0)/100</f>
        <v>1</v>
      </c>
      <c r="I15" s="21">
        <f>VLOOKUP(TablaIndicador3[[#This Row],[ProjectName]],Hoja3!T17:Y66,2,0)/100</f>
        <v>1</v>
      </c>
      <c r="J15" s="23">
        <v>5626927</v>
      </c>
      <c r="K15" s="24">
        <f t="shared" si="1"/>
        <v>219060050</v>
      </c>
      <c r="L15" s="24">
        <f t="shared" si="2"/>
        <v>219060050</v>
      </c>
      <c r="M15" s="24">
        <f t="shared" si="3"/>
        <v>213433123</v>
      </c>
      <c r="N15" s="24">
        <f t="shared" si="4"/>
        <v>0</v>
      </c>
      <c r="O15" s="25">
        <f t="shared" si="5"/>
        <v>38.930672105751505</v>
      </c>
      <c r="P15" s="26" t="str">
        <f t="shared" si="6"/>
        <v>Costo eficiente: se gasto menos de lo presupuestado</v>
      </c>
      <c r="Q15" s="26">
        <f t="shared" si="7"/>
        <v>1</v>
      </c>
      <c r="R15" s="26" t="str">
        <f t="shared" si="8"/>
        <v>Proyecto a tiempo según lo planificado</v>
      </c>
      <c r="S15" s="27">
        <f t="shared" si="9"/>
        <v>5626927</v>
      </c>
      <c r="T15" s="27">
        <f t="shared" si="10"/>
        <v>-213433123</v>
      </c>
    </row>
    <row r="16" spans="1:20" ht="18.75" customHeight="1" x14ac:dyDescent="0.25">
      <c r="A16" s="10">
        <v>2024</v>
      </c>
      <c r="B16" s="30" t="s">
        <v>513</v>
      </c>
      <c r="C16" s="30" t="e">
        <f>VLOOKUP(TablaIndicador3[[#This Row],[ProjectName]],TablaIndicador[[ProjectName]:[CentrodeCostosProyecto]],6,0)</f>
        <v>#N/A</v>
      </c>
      <c r="D16" s="138">
        <f>3587394229+157327090</f>
        <v>3744721319</v>
      </c>
      <c r="E16" s="18">
        <v>45581</v>
      </c>
      <c r="F16" s="19">
        <v>45672</v>
      </c>
      <c r="G16" s="20">
        <f t="shared" si="0"/>
        <v>3</v>
      </c>
      <c r="H16" s="21">
        <f>VLOOKUP(TablaIndicador3[[#This Row],[ProjectName]],Hoja3!T19:Y68,6,0)/100</f>
        <v>0.97321428999999993</v>
      </c>
      <c r="I16" s="21">
        <f>VLOOKUP(TablaIndicador3[[#This Row],[ProjectName]],Hoja3!T19:Y68,2,0)/100</f>
        <v>0.98</v>
      </c>
      <c r="J16" s="33">
        <v>2243125938.1600003</v>
      </c>
      <c r="K16" s="24">
        <f t="shared" si="1"/>
        <v>3669826892.6199999</v>
      </c>
      <c r="L16" s="24">
        <f t="shared" si="2"/>
        <v>3644416299.7184482</v>
      </c>
      <c r="M16" s="24">
        <f t="shared" si="3"/>
        <v>1426700954.4599996</v>
      </c>
      <c r="N16" s="24">
        <f t="shared" si="4"/>
        <v>25410592.901551723</v>
      </c>
      <c r="O16" s="25">
        <f t="shared" si="5"/>
        <v>1.6360324804724513</v>
      </c>
      <c r="P16" s="26" t="str">
        <f t="shared" si="6"/>
        <v>Costo eficiente: se gasto menos de lo presupuestado</v>
      </c>
      <c r="Q16" s="26">
        <f t="shared" si="7"/>
        <v>1.0069724726298461</v>
      </c>
      <c r="R16" s="26" t="str">
        <f t="shared" si="8"/>
        <v>Proyecto adelantado respecto al cronograma</v>
      </c>
      <c r="S16" s="27">
        <f t="shared" si="9"/>
        <v>2288904018.5306129</v>
      </c>
      <c r="T16" s="27">
        <f t="shared" si="10"/>
        <v>-1455817300.4693871</v>
      </c>
    </row>
    <row r="17" spans="1:20" ht="18.75" customHeight="1" x14ac:dyDescent="0.25">
      <c r="A17" s="10">
        <v>2024</v>
      </c>
      <c r="B17" s="30" t="s">
        <v>515</v>
      </c>
      <c r="C17" s="30" t="e">
        <f>VLOOKUP(TablaIndicador3[[#This Row],[ProjectName]],TablaIndicador[[ProjectName]:[CentrodeCostosProyecto]],6,0)</f>
        <v>#N/A</v>
      </c>
      <c r="D17" s="138">
        <v>183312819</v>
      </c>
      <c r="E17" s="18">
        <v>45581</v>
      </c>
      <c r="F17" s="19">
        <v>45626</v>
      </c>
      <c r="G17" s="20">
        <f t="shared" si="0"/>
        <v>2</v>
      </c>
      <c r="H17" s="21">
        <f>VLOOKUP(TablaIndicador3[[#This Row],[ProjectName]],Hoja3!T21:Y70,6,0)/100</f>
        <v>1</v>
      </c>
      <c r="I17" s="21">
        <f>VLOOKUP(TablaIndicador3[[#This Row],[ProjectName]],Hoja3!T21:Y70,2,0)/100</f>
        <v>1</v>
      </c>
      <c r="J17" s="23">
        <v>11817586.1</v>
      </c>
      <c r="K17" s="24">
        <f t="shared" si="1"/>
        <v>183312819</v>
      </c>
      <c r="L17" s="24">
        <f t="shared" si="2"/>
        <v>183312819</v>
      </c>
      <c r="M17" s="24">
        <f t="shared" si="3"/>
        <v>171495232.90000001</v>
      </c>
      <c r="N17" s="24">
        <f t="shared" si="4"/>
        <v>0</v>
      </c>
      <c r="O17" s="25">
        <f t="shared" si="5"/>
        <v>15.511866590081372</v>
      </c>
      <c r="P17" s="26" t="str">
        <f t="shared" si="6"/>
        <v>Costo eficiente: se gasto menos de lo presupuestado</v>
      </c>
      <c r="Q17" s="26">
        <f t="shared" si="7"/>
        <v>1</v>
      </c>
      <c r="R17" s="26" t="str">
        <f t="shared" si="8"/>
        <v>Proyecto a tiempo según lo planificado</v>
      </c>
      <c r="S17" s="27">
        <f t="shared" si="9"/>
        <v>11817586.1</v>
      </c>
      <c r="T17" s="27">
        <f t="shared" si="10"/>
        <v>-171495232.90000001</v>
      </c>
    </row>
    <row r="18" spans="1:20" ht="18.75" customHeight="1" x14ac:dyDescent="0.25">
      <c r="A18" s="10">
        <v>2024</v>
      </c>
      <c r="B18" s="30" t="s">
        <v>194</v>
      </c>
      <c r="C18" s="30" t="str">
        <f>VLOOKUP(TablaIndicador3[[#This Row],[ProjectName]],TablaIndicador[[ProjectName]:[CentrodeCostosProyecto]],6,0)</f>
        <v>0343</v>
      </c>
      <c r="D18" s="138">
        <v>319021846</v>
      </c>
      <c r="E18" s="18">
        <v>45566</v>
      </c>
      <c r="F18" s="19">
        <v>45641</v>
      </c>
      <c r="G18" s="20">
        <f t="shared" si="0"/>
        <v>3</v>
      </c>
      <c r="H18" s="21">
        <f>VLOOKUP(TablaIndicador3[[#This Row],[ProjectName]],Hoja3!T23:Y72,6,0)/100</f>
        <v>1</v>
      </c>
      <c r="I18" s="21">
        <f>VLOOKUP(TablaIndicador3[[#This Row],[ProjectName]],Hoja3!T23:Y72,2,0)/100</f>
        <v>1</v>
      </c>
      <c r="J18" s="33">
        <v>136787862.08999997</v>
      </c>
      <c r="K18" s="24">
        <f t="shared" si="1"/>
        <v>319021846</v>
      </c>
      <c r="L18" s="24">
        <f t="shared" si="2"/>
        <v>319021846</v>
      </c>
      <c r="M18" s="24">
        <f t="shared" si="3"/>
        <v>182233983.91000003</v>
      </c>
      <c r="N18" s="24">
        <f t="shared" si="4"/>
        <v>0</v>
      </c>
      <c r="O18" s="25">
        <f t="shared" si="5"/>
        <v>2.3322379714517258</v>
      </c>
      <c r="P18" s="26" t="str">
        <f t="shared" si="6"/>
        <v>Costo eficiente: se gasto menos de lo presupuestado</v>
      </c>
      <c r="Q18" s="26">
        <f t="shared" si="7"/>
        <v>1</v>
      </c>
      <c r="R18" s="26" t="str">
        <f t="shared" si="8"/>
        <v>Proyecto a tiempo según lo planificado</v>
      </c>
      <c r="S18" s="27">
        <f t="shared" si="9"/>
        <v>136787862.08999997</v>
      </c>
      <c r="T18" s="27">
        <f t="shared" si="10"/>
        <v>-182233983.91000003</v>
      </c>
    </row>
    <row r="19" spans="1:20" ht="18.75" customHeight="1" x14ac:dyDescent="0.25">
      <c r="A19" s="10">
        <v>2024</v>
      </c>
      <c r="B19" s="30" t="s">
        <v>177</v>
      </c>
      <c r="C19" s="30" t="str">
        <f>VLOOKUP(TablaIndicador3[[#This Row],[ProjectName]],TablaIndicador[[ProjectName]:[CentrodeCostosProyecto]],6,0)</f>
        <v>0342</v>
      </c>
      <c r="D19" s="138">
        <v>792295683</v>
      </c>
      <c r="E19" s="18">
        <v>45537</v>
      </c>
      <c r="F19" s="19">
        <v>45838</v>
      </c>
      <c r="G19" s="20">
        <f t="shared" si="0"/>
        <v>10</v>
      </c>
      <c r="H19" s="21">
        <f>VLOOKUP(TablaIndicador3[[#This Row],[ProjectName]],Hoja3!T26:Y75,6,0)/100</f>
        <v>1</v>
      </c>
      <c r="I19" s="21">
        <f>VLOOKUP(TablaIndicador3[[#This Row],[ProjectName]],Hoja3!T26:Y75,2,0)/100</f>
        <v>1</v>
      </c>
      <c r="J19" s="23">
        <v>194494408.36000001</v>
      </c>
      <c r="K19" s="24">
        <f t="shared" si="1"/>
        <v>792295683</v>
      </c>
      <c r="L19" s="24">
        <f t="shared" si="2"/>
        <v>792295683</v>
      </c>
      <c r="M19" s="24">
        <f t="shared" si="3"/>
        <v>597801274.63999999</v>
      </c>
      <c r="N19" s="24">
        <f t="shared" si="4"/>
        <v>0</v>
      </c>
      <c r="O19" s="25">
        <f t="shared" si="5"/>
        <v>4.073616767087195</v>
      </c>
      <c r="P19" s="26" t="str">
        <f t="shared" si="6"/>
        <v>Costo eficiente: se gasto menos de lo presupuestado</v>
      </c>
      <c r="Q19" s="26">
        <f t="shared" si="7"/>
        <v>1</v>
      </c>
      <c r="R19" s="26" t="str">
        <f t="shared" si="8"/>
        <v>Proyecto a tiempo según lo planificado</v>
      </c>
      <c r="S19" s="27">
        <f t="shared" si="9"/>
        <v>194494408.36000001</v>
      </c>
      <c r="T19" s="27">
        <f t="shared" si="10"/>
        <v>-597801274.63999999</v>
      </c>
    </row>
    <row r="20" spans="1:20" ht="18.75" customHeight="1" x14ac:dyDescent="0.25">
      <c r="A20" s="10">
        <v>2024</v>
      </c>
      <c r="B20" s="30" t="s">
        <v>172</v>
      </c>
      <c r="C20" s="30" t="str">
        <f>VLOOKUP(TablaIndicador3[[#This Row],[ProjectName]],TablaIndicador[[ProjectName]:[CentrodeCostosProyecto]],6,0)</f>
        <v>0340</v>
      </c>
      <c r="D20" s="138">
        <v>370376769</v>
      </c>
      <c r="E20" s="18">
        <v>45536</v>
      </c>
      <c r="F20" s="19">
        <v>45596</v>
      </c>
      <c r="G20" s="20">
        <f t="shared" si="0"/>
        <v>2</v>
      </c>
      <c r="H20" s="21">
        <f>VLOOKUP(TablaIndicador3[[#This Row],[ProjectName]],Hoja3!T27:Y76,6,0)/100</f>
        <v>1</v>
      </c>
      <c r="I20" s="21">
        <f>VLOOKUP(TablaIndicador3[[#This Row],[ProjectName]],Hoja3!T27:Y76,2,0)/100</f>
        <v>1</v>
      </c>
      <c r="J20" s="33">
        <v>221024204.88999999</v>
      </c>
      <c r="K20" s="24">
        <f t="shared" si="1"/>
        <v>370376769</v>
      </c>
      <c r="L20" s="24">
        <f t="shared" si="2"/>
        <v>370376769</v>
      </c>
      <c r="M20" s="24">
        <f t="shared" si="3"/>
        <v>149352564.11000001</v>
      </c>
      <c r="N20" s="24">
        <f t="shared" si="4"/>
        <v>0</v>
      </c>
      <c r="O20" s="25">
        <f t="shared" si="5"/>
        <v>1.6757294486562242</v>
      </c>
      <c r="P20" s="26" t="str">
        <f t="shared" si="6"/>
        <v>Costo eficiente: se gasto menos de lo presupuestado</v>
      </c>
      <c r="Q20" s="26">
        <f t="shared" si="7"/>
        <v>1</v>
      </c>
      <c r="R20" s="26" t="str">
        <f t="shared" si="8"/>
        <v>Proyecto a tiempo según lo planificado</v>
      </c>
      <c r="S20" s="27">
        <f t="shared" si="9"/>
        <v>221024204.88999999</v>
      </c>
      <c r="T20" s="27">
        <f t="shared" si="10"/>
        <v>-149352564.11000001</v>
      </c>
    </row>
    <row r="21" spans="1:20" ht="18.75" customHeight="1" x14ac:dyDescent="0.25">
      <c r="A21" s="10">
        <v>2024</v>
      </c>
      <c r="B21" s="30" t="s">
        <v>167</v>
      </c>
      <c r="C21" s="30" t="str">
        <f>VLOOKUP(TablaIndicador3[[#This Row],[ProjectName]],TablaIndicador[[ProjectName]:[CentrodeCostosProyecto]],6,0)</f>
        <v>0337</v>
      </c>
      <c r="D21" s="138">
        <v>7397230574</v>
      </c>
      <c r="E21" s="18">
        <v>45505</v>
      </c>
      <c r="F21" s="19">
        <v>45807</v>
      </c>
      <c r="G21" s="20">
        <f t="shared" si="0"/>
        <v>10</v>
      </c>
      <c r="H21" s="21">
        <f>VLOOKUP(TablaIndicador3[[#This Row],[ProjectName]],Hoja3!T28:Y77,6,0)/100</f>
        <v>0.93752551999999989</v>
      </c>
      <c r="I21" s="21">
        <f>VLOOKUP(TablaIndicador3[[#This Row],[ProjectName]],Hoja3!T28:Y77,2,0)/100</f>
        <v>0.99</v>
      </c>
      <c r="J21" s="23">
        <v>7637035271.6000013</v>
      </c>
      <c r="K21" s="24">
        <f t="shared" si="1"/>
        <v>7323258268.2600002</v>
      </c>
      <c r="L21" s="24">
        <f t="shared" si="2"/>
        <v>6935092440.4492474</v>
      </c>
      <c r="M21" s="24">
        <f t="shared" si="3"/>
        <v>-313777003.34000111</v>
      </c>
      <c r="N21" s="24">
        <f t="shared" si="4"/>
        <v>388165827.81075287</v>
      </c>
      <c r="O21" s="25">
        <f t="shared" si="5"/>
        <v>0.95891376795039174</v>
      </c>
      <c r="P21" s="26" t="str">
        <f t="shared" si="6"/>
        <v>Costo ineficiente: se gasto más de lo presupuestado</v>
      </c>
      <c r="Q21" s="26">
        <f t="shared" si="7"/>
        <v>1.055971255054476</v>
      </c>
      <c r="R21" s="26" t="str">
        <f t="shared" si="8"/>
        <v>Proyecto adelantado respecto al cronograma</v>
      </c>
      <c r="S21" s="27">
        <f t="shared" si="9"/>
        <v>7714177042.0202026</v>
      </c>
      <c r="T21" s="27">
        <f t="shared" si="10"/>
        <v>316946468.02020264</v>
      </c>
    </row>
    <row r="22" spans="1:20" ht="18.75" customHeight="1" x14ac:dyDescent="0.25">
      <c r="A22" s="10">
        <v>2024</v>
      </c>
      <c r="B22" s="30" t="s">
        <v>161</v>
      </c>
      <c r="C22" s="30" t="str">
        <f>VLOOKUP(TablaIndicador3[[#This Row],[ProjectName]],TablaIndicador[[ProjectName]:[CentrodeCostosProyecto]],6,0)</f>
        <v>0338</v>
      </c>
      <c r="D22" s="138">
        <v>523479413</v>
      </c>
      <c r="E22" s="18">
        <v>45516</v>
      </c>
      <c r="F22" s="19">
        <v>45595</v>
      </c>
      <c r="G22" s="20">
        <f t="shared" si="0"/>
        <v>3</v>
      </c>
      <c r="H22" s="21">
        <f>VLOOKUP(TablaIndicador3[[#This Row],[ProjectName]],Hoja3!T29:Y78,6,0)/100</f>
        <v>1</v>
      </c>
      <c r="I22" s="21">
        <f>VLOOKUP(TablaIndicador3[[#This Row],[ProjectName]],Hoja3!T29:Y78,2,0)/100</f>
        <v>1</v>
      </c>
      <c r="J22" s="33">
        <v>21649158.120000001</v>
      </c>
      <c r="K22" s="24">
        <f t="shared" si="1"/>
        <v>523479413</v>
      </c>
      <c r="L22" s="24">
        <f t="shared" si="2"/>
        <v>523479413</v>
      </c>
      <c r="M22" s="24">
        <f t="shared" si="3"/>
        <v>501830254.88</v>
      </c>
      <c r="N22" s="24">
        <f t="shared" si="4"/>
        <v>0</v>
      </c>
      <c r="O22" s="25">
        <f t="shared" si="5"/>
        <v>24.180127933769278</v>
      </c>
      <c r="P22" s="26" t="str">
        <f t="shared" si="6"/>
        <v>Costo eficiente: se gasto menos de lo presupuestado</v>
      </c>
      <c r="Q22" s="26">
        <f t="shared" si="7"/>
        <v>1</v>
      </c>
      <c r="R22" s="26" t="str">
        <f t="shared" si="8"/>
        <v>Proyecto a tiempo según lo planificado</v>
      </c>
      <c r="S22" s="27">
        <f t="shared" si="9"/>
        <v>21649158.120000001</v>
      </c>
      <c r="T22" s="27">
        <f t="shared" si="10"/>
        <v>-501830254.88</v>
      </c>
    </row>
    <row r="23" spans="1:20" ht="18.75" customHeight="1" x14ac:dyDescent="0.25">
      <c r="A23" s="10">
        <v>2024</v>
      </c>
      <c r="B23" s="30" t="s">
        <v>156</v>
      </c>
      <c r="C23" s="30" t="str">
        <f>VLOOKUP(TablaIndicador3[[#This Row],[ProjectName]],TablaIndicador[[ProjectName]:[CentrodeCostosProyecto]],6,0)</f>
        <v>0335</v>
      </c>
      <c r="D23" s="138">
        <v>1821030084</v>
      </c>
      <c r="E23" s="18">
        <v>45473</v>
      </c>
      <c r="F23" s="19">
        <v>45655</v>
      </c>
      <c r="G23" s="20">
        <f t="shared" si="0"/>
        <v>6</v>
      </c>
      <c r="H23" s="21">
        <f>VLOOKUP(TablaIndicador3[[#This Row],[ProjectName]],Hoja3!T30:Y79,6,0)/100</f>
        <v>1</v>
      </c>
      <c r="I23" s="21">
        <f>VLOOKUP(TablaIndicador3[[#This Row],[ProjectName]],Hoja3!T30:Y79,2,0)/100</f>
        <v>1</v>
      </c>
      <c r="J23" s="23">
        <v>18300059.73</v>
      </c>
      <c r="K23" s="24">
        <f t="shared" si="1"/>
        <v>1821030084</v>
      </c>
      <c r="L23" s="24">
        <f t="shared" si="2"/>
        <v>1821030084</v>
      </c>
      <c r="M23" s="24">
        <f t="shared" si="3"/>
        <v>1802730024.27</v>
      </c>
      <c r="N23" s="24">
        <f t="shared" si="4"/>
        <v>0</v>
      </c>
      <c r="O23" s="25">
        <f t="shared" si="5"/>
        <v>99.509515863203134</v>
      </c>
      <c r="P23" s="26" t="str">
        <f t="shared" si="6"/>
        <v>Costo eficiente: se gasto menos de lo presupuestado</v>
      </c>
      <c r="Q23" s="26">
        <f t="shared" si="7"/>
        <v>1</v>
      </c>
      <c r="R23" s="26" t="str">
        <f t="shared" si="8"/>
        <v>Proyecto a tiempo según lo planificado</v>
      </c>
      <c r="S23" s="27">
        <f t="shared" si="9"/>
        <v>18300059.73</v>
      </c>
      <c r="T23" s="27">
        <f t="shared" si="10"/>
        <v>-1802730024.27</v>
      </c>
    </row>
    <row r="24" spans="1:20" ht="18.75" customHeight="1" x14ac:dyDescent="0.25">
      <c r="A24" s="10">
        <v>2024</v>
      </c>
      <c r="B24" s="30" t="s">
        <v>145</v>
      </c>
      <c r="C24" s="30" t="str">
        <f>VLOOKUP(TablaIndicador3[[#This Row],[ProjectName]],TablaIndicador[[ProjectName]:[CentrodeCostosProyecto]],6,0)</f>
        <v>0331</v>
      </c>
      <c r="D24" s="138">
        <v>218649688</v>
      </c>
      <c r="E24" s="18">
        <v>45413</v>
      </c>
      <c r="F24" s="19">
        <v>45534</v>
      </c>
      <c r="G24" s="20">
        <f t="shared" si="0"/>
        <v>4</v>
      </c>
      <c r="H24" s="21">
        <f>VLOOKUP(TablaIndicador3[[#This Row],[ProjectName]],Hoja3!T32:Y81,6,0)/100</f>
        <v>1</v>
      </c>
      <c r="I24" s="21">
        <f>VLOOKUP(TablaIndicador3[[#This Row],[ProjectName]],Hoja3!T32:Y81,2,0)/100</f>
        <v>0.99</v>
      </c>
      <c r="J24" s="23">
        <v>583894</v>
      </c>
      <c r="K24" s="24">
        <f t="shared" si="1"/>
        <v>216463191.12</v>
      </c>
      <c r="L24" s="24">
        <f t="shared" si="2"/>
        <v>218649688</v>
      </c>
      <c r="M24" s="24">
        <f t="shared" si="3"/>
        <v>215879297.12</v>
      </c>
      <c r="N24" s="24">
        <f t="shared" si="4"/>
        <v>-2186496.8799999952</v>
      </c>
      <c r="O24" s="25">
        <f t="shared" si="5"/>
        <v>370.72343802128472</v>
      </c>
      <c r="P24" s="26" t="str">
        <f t="shared" si="6"/>
        <v>Costo eficiente: se gasto menos de lo presupuestado</v>
      </c>
      <c r="Q24" s="26">
        <f t="shared" si="7"/>
        <v>0.99</v>
      </c>
      <c r="R24" s="26" t="str">
        <f t="shared" si="8"/>
        <v>Proyecto atrasado con respecto al cronograma</v>
      </c>
      <c r="S24" s="27">
        <f t="shared" si="9"/>
        <v>589791.91919191915</v>
      </c>
      <c r="T24" s="27">
        <f t="shared" si="10"/>
        <v>-218059896.08080807</v>
      </c>
    </row>
    <row r="25" spans="1:20" ht="18.75" customHeight="1" x14ac:dyDescent="0.25">
      <c r="A25" s="10">
        <v>2024</v>
      </c>
      <c r="B25" s="30" t="s">
        <v>139</v>
      </c>
      <c r="C25" s="30" t="str">
        <f>VLOOKUP(TablaIndicador3[[#This Row],[ProjectName]],TablaIndicador[[ProjectName]:[CentrodeCostosProyecto]],6,0)</f>
        <v>0333</v>
      </c>
      <c r="D25" s="138">
        <v>81162217</v>
      </c>
      <c r="E25" s="18">
        <v>45444</v>
      </c>
      <c r="F25" s="19">
        <v>45595</v>
      </c>
      <c r="G25" s="20">
        <f t="shared" si="0"/>
        <v>5</v>
      </c>
      <c r="H25" s="21">
        <f>VLOOKUP(TablaIndicador3[[#This Row],[ProjectName]],Hoja3!T33:Y82,6,0)/100</f>
        <v>0.78761061999999993</v>
      </c>
      <c r="I25" s="21">
        <f>VLOOKUP(TablaIndicador3[[#This Row],[ProjectName]],Hoja3!T33:Y82,2,0)/100</f>
        <v>1</v>
      </c>
      <c r="J25" s="33">
        <v>77273</v>
      </c>
      <c r="K25" s="24">
        <f t="shared" si="1"/>
        <v>81162217</v>
      </c>
      <c r="L25" s="24">
        <f t="shared" si="2"/>
        <v>63924224.051944532</v>
      </c>
      <c r="M25" s="24">
        <f t="shared" si="3"/>
        <v>81084944</v>
      </c>
      <c r="N25" s="24">
        <f t="shared" si="4"/>
        <v>17237992.948055468</v>
      </c>
      <c r="O25" s="25">
        <f t="shared" si="5"/>
        <v>1050.3308658910616</v>
      </c>
      <c r="P25" s="26" t="str">
        <f t="shared" si="6"/>
        <v>Costo eficiente: se gasto menos de lo presupuestado</v>
      </c>
      <c r="Q25" s="26">
        <f t="shared" si="7"/>
        <v>1.2696629204923622</v>
      </c>
      <c r="R25" s="26" t="str">
        <f t="shared" si="8"/>
        <v>Proyecto adelantado respecto al cronograma</v>
      </c>
      <c r="S25" s="27">
        <f t="shared" si="9"/>
        <v>77273</v>
      </c>
      <c r="T25" s="27">
        <f t="shared" si="10"/>
        <v>-81084944</v>
      </c>
    </row>
    <row r="26" spans="1:20" ht="18.75" customHeight="1" x14ac:dyDescent="0.25">
      <c r="A26" s="10">
        <v>2024</v>
      </c>
      <c r="B26" s="30" t="s">
        <v>133</v>
      </c>
      <c r="C26" s="30" t="str">
        <f>VLOOKUP(TablaIndicador3[[#This Row],[ProjectName]],TablaIndicador[[ProjectName]:[CentrodeCostosProyecto]],6,0)</f>
        <v>0332</v>
      </c>
      <c r="D26" s="138">
        <v>234252949</v>
      </c>
      <c r="E26" s="18">
        <v>45456</v>
      </c>
      <c r="F26" s="19">
        <v>45503</v>
      </c>
      <c r="G26" s="20">
        <f t="shared" si="0"/>
        <v>2</v>
      </c>
      <c r="H26" s="21">
        <f>VLOOKUP(TablaIndicador3[[#This Row],[ProjectName]],Hoja3!T34:Y83,6,0)/100</f>
        <v>0</v>
      </c>
      <c r="I26" s="21">
        <f>VLOOKUP(TablaIndicador3[[#This Row],[ProjectName]],Hoja3!T34:Y83,2,0)/100</f>
        <v>1</v>
      </c>
      <c r="J26" s="33">
        <v>293850</v>
      </c>
      <c r="K26" s="24">
        <f t="shared" si="1"/>
        <v>234252949</v>
      </c>
      <c r="L26" s="24">
        <f t="shared" si="2"/>
        <v>0</v>
      </c>
      <c r="M26" s="24">
        <f t="shared" si="3"/>
        <v>233959099</v>
      </c>
      <c r="N26" s="24">
        <f t="shared" si="4"/>
        <v>234252949</v>
      </c>
      <c r="O26" s="25">
        <f t="shared" si="5"/>
        <v>797.18546537348982</v>
      </c>
      <c r="P26" s="26" t="str">
        <f t="shared" si="6"/>
        <v>Costo eficiente: se gasto menos de lo presupuestado</v>
      </c>
      <c r="Q26" s="26">
        <f t="shared" si="7"/>
        <v>0</v>
      </c>
      <c r="R26" s="26" t="str">
        <f t="shared" si="8"/>
        <v>Sin Línea Base</v>
      </c>
      <c r="S26" s="27">
        <f t="shared" si="9"/>
        <v>293850</v>
      </c>
      <c r="T26" s="27">
        <f t="shared" si="10"/>
        <v>-233959099</v>
      </c>
    </row>
    <row r="27" spans="1:20" ht="18.75" customHeight="1" x14ac:dyDescent="0.25">
      <c r="A27" s="10">
        <v>2024</v>
      </c>
      <c r="B27" s="30" t="s">
        <v>111</v>
      </c>
      <c r="C27" s="30" t="str">
        <f>VLOOKUP(TablaIndicador3[[#This Row],[ProjectName]],TablaIndicador[[ProjectName]:[CentrodeCostosProyecto]],6,0)</f>
        <v>0328</v>
      </c>
      <c r="D27" s="138">
        <v>830180856</v>
      </c>
      <c r="E27" s="18">
        <v>45414</v>
      </c>
      <c r="F27" s="19">
        <v>45596</v>
      </c>
      <c r="G27" s="20">
        <f t="shared" si="0"/>
        <v>6</v>
      </c>
      <c r="H27" s="21">
        <f>VLOOKUP(TablaIndicador3[[#This Row],[ProjectName]],Hoja3!T38:Y87,6,0)/100</f>
        <v>1</v>
      </c>
      <c r="I27" s="21">
        <f>VLOOKUP(TablaIndicador3[[#This Row],[ProjectName]],Hoja3!T38:Y87,2,0)/100</f>
        <v>1</v>
      </c>
      <c r="J27" s="33">
        <v>38007100</v>
      </c>
      <c r="K27" s="24">
        <f t="shared" si="1"/>
        <v>830180856</v>
      </c>
      <c r="L27" s="24">
        <f t="shared" si="2"/>
        <v>830180856</v>
      </c>
      <c r="M27" s="24">
        <f t="shared" si="3"/>
        <v>792173756</v>
      </c>
      <c r="N27" s="24">
        <f t="shared" si="4"/>
        <v>0</v>
      </c>
      <c r="O27" s="25">
        <f t="shared" si="5"/>
        <v>21.842783479928752</v>
      </c>
      <c r="P27" s="26" t="str">
        <f t="shared" si="6"/>
        <v>Costo eficiente: se gasto menos de lo presupuestado</v>
      </c>
      <c r="Q27" s="26">
        <f t="shared" si="7"/>
        <v>1</v>
      </c>
      <c r="R27" s="26" t="str">
        <f t="shared" si="8"/>
        <v>Proyecto a tiempo según lo planificado</v>
      </c>
      <c r="S27" s="27">
        <f t="shared" si="9"/>
        <v>38007100</v>
      </c>
      <c r="T27" s="27">
        <f t="shared" si="10"/>
        <v>-792173756</v>
      </c>
    </row>
    <row r="28" spans="1:20" ht="18.75" customHeight="1" x14ac:dyDescent="0.25">
      <c r="A28" s="10">
        <v>2024</v>
      </c>
      <c r="B28" s="30" t="s">
        <v>106</v>
      </c>
      <c r="C28" s="30" t="str">
        <f>VLOOKUP(TablaIndicador3[[#This Row],[ProjectName]],TablaIndicador[[ProjectName]:[CentrodeCostosProyecto]],6,0)</f>
        <v>0326</v>
      </c>
      <c r="D28" s="138">
        <v>1566562163</v>
      </c>
      <c r="E28" s="18">
        <v>45402</v>
      </c>
      <c r="F28" s="19">
        <v>45656</v>
      </c>
      <c r="G28" s="20">
        <f t="shared" si="0"/>
        <v>9</v>
      </c>
      <c r="H28" s="21">
        <f>VLOOKUP(TablaIndicador3[[#This Row],[ProjectName]],Hoja3!T40:Y89,6,0)/100</f>
        <v>1</v>
      </c>
      <c r="I28" s="21">
        <f>VLOOKUP(TablaIndicador3[[#This Row],[ProjectName]],Hoja3!T40:Y89,2,0)/100</f>
        <v>0.99</v>
      </c>
      <c r="J28" s="33">
        <v>113121672</v>
      </c>
      <c r="K28" s="24">
        <f t="shared" si="1"/>
        <v>1550896541.3699999</v>
      </c>
      <c r="L28" s="24">
        <f t="shared" si="2"/>
        <v>1566562163</v>
      </c>
      <c r="M28" s="24">
        <f t="shared" si="3"/>
        <v>1437774869.3699999</v>
      </c>
      <c r="N28" s="24">
        <f t="shared" si="4"/>
        <v>-15665621.630000114</v>
      </c>
      <c r="O28" s="25">
        <f t="shared" si="5"/>
        <v>13.709986017268202</v>
      </c>
      <c r="P28" s="26" t="str">
        <f t="shared" si="6"/>
        <v>Costo eficiente: se gasto menos de lo presupuestado</v>
      </c>
      <c r="Q28" s="26">
        <f t="shared" si="7"/>
        <v>0.98999999999999988</v>
      </c>
      <c r="R28" s="26" t="str">
        <f t="shared" si="8"/>
        <v>Proyecto atrasado con respecto al cronograma</v>
      </c>
      <c r="S28" s="27">
        <f t="shared" si="9"/>
        <v>114264315.15151516</v>
      </c>
      <c r="T28" s="27">
        <f t="shared" si="10"/>
        <v>-1452297847.8484848</v>
      </c>
    </row>
    <row r="29" spans="1:20" ht="18.75" customHeight="1" x14ac:dyDescent="0.25">
      <c r="A29" s="10">
        <v>2024</v>
      </c>
      <c r="B29" s="30" t="s">
        <v>100</v>
      </c>
      <c r="C29" s="30" t="str">
        <f>VLOOKUP(TablaIndicador3[[#This Row],[ProjectName]],TablaIndicador[[ProjectName]:[CentrodeCostosProyecto]],6,0)</f>
        <v>0327</v>
      </c>
      <c r="D29" s="138">
        <v>1087776079</v>
      </c>
      <c r="E29" s="18">
        <v>45369</v>
      </c>
      <c r="F29" s="19">
        <v>45552</v>
      </c>
      <c r="G29" s="20">
        <f t="shared" si="0"/>
        <v>6</v>
      </c>
      <c r="H29" s="21">
        <f>VLOOKUP(TablaIndicador3[[#This Row],[ProjectName]],Hoja3!T41:Y90,6,0)/100</f>
        <v>1</v>
      </c>
      <c r="I29" s="21">
        <f>VLOOKUP(TablaIndicador3[[#This Row],[ProjectName]],Hoja3!T41:Y90,2,0)/100</f>
        <v>1</v>
      </c>
      <c r="J29" s="33">
        <v>38002938</v>
      </c>
      <c r="K29" s="24">
        <f t="shared" si="1"/>
        <v>1087776079</v>
      </c>
      <c r="L29" s="24">
        <f t="shared" si="2"/>
        <v>1087776079</v>
      </c>
      <c r="M29" s="24">
        <f t="shared" si="3"/>
        <v>1049773141</v>
      </c>
      <c r="N29" s="24">
        <f t="shared" si="4"/>
        <v>0</v>
      </c>
      <c r="O29" s="25">
        <f t="shared" si="5"/>
        <v>28.623473243042419</v>
      </c>
      <c r="P29" s="26" t="str">
        <f t="shared" si="6"/>
        <v>Costo eficiente: se gasto menos de lo presupuestado</v>
      </c>
      <c r="Q29" s="26">
        <f t="shared" si="7"/>
        <v>1</v>
      </c>
      <c r="R29" s="26" t="str">
        <f t="shared" si="8"/>
        <v>Proyecto a tiempo según lo planificado</v>
      </c>
      <c r="S29" s="27">
        <f t="shared" si="9"/>
        <v>38002938</v>
      </c>
      <c r="T29" s="27">
        <f t="shared" si="10"/>
        <v>-1049773141</v>
      </c>
    </row>
    <row r="30" spans="1:20" ht="18.75" customHeight="1" x14ac:dyDescent="0.25">
      <c r="A30" s="10">
        <v>2024</v>
      </c>
      <c r="B30" s="30" t="s">
        <v>88</v>
      </c>
      <c r="C30" s="30" t="str">
        <f>VLOOKUP(TablaIndicador3[[#This Row],[ProjectName]],TablaIndicador[[ProjectName]:[CentrodeCostosProyecto]],6,0)</f>
        <v>0322</v>
      </c>
      <c r="D30" s="138">
        <v>4004446789</v>
      </c>
      <c r="E30" s="18">
        <v>45345</v>
      </c>
      <c r="F30" s="19">
        <v>45587</v>
      </c>
      <c r="G30" s="20">
        <f t="shared" si="0"/>
        <v>8</v>
      </c>
      <c r="H30" s="21">
        <f>VLOOKUP(TablaIndicador3[[#This Row],[ProjectName]],Hoja3!T42:Y91,6,0)/100</f>
        <v>1</v>
      </c>
      <c r="I30" s="21">
        <f>VLOOKUP(TablaIndicador3[[#This Row],[ProjectName]],Hoja3!T42:Y91,2,0)/100</f>
        <v>0.99</v>
      </c>
      <c r="J30" s="33">
        <v>832255348</v>
      </c>
      <c r="K30" s="24">
        <f t="shared" si="1"/>
        <v>3964402321.1100001</v>
      </c>
      <c r="L30" s="24">
        <f t="shared" si="2"/>
        <v>4004446789</v>
      </c>
      <c r="M30" s="24">
        <f t="shared" si="3"/>
        <v>3132146973.1100001</v>
      </c>
      <c r="N30" s="24">
        <f t="shared" si="4"/>
        <v>-40044467.889999866</v>
      </c>
      <c r="O30" s="25">
        <f t="shared" si="5"/>
        <v>4.7634446935509507</v>
      </c>
      <c r="P30" s="26" t="str">
        <f t="shared" si="6"/>
        <v>Costo eficiente: se gasto menos de lo presupuestado</v>
      </c>
      <c r="Q30" s="26">
        <f t="shared" si="7"/>
        <v>0.99</v>
      </c>
      <c r="R30" s="26" t="str">
        <f t="shared" si="8"/>
        <v>Proyecto atrasado con respecto al cronograma</v>
      </c>
      <c r="S30" s="27">
        <f t="shared" si="9"/>
        <v>840661967.67676771</v>
      </c>
      <c r="T30" s="27">
        <f t="shared" si="10"/>
        <v>-3163784821.3232322</v>
      </c>
    </row>
    <row r="31" spans="1:20" ht="18.75" customHeight="1" x14ac:dyDescent="0.25">
      <c r="A31" s="131">
        <v>2024</v>
      </c>
      <c r="B31" s="30" t="s">
        <v>82</v>
      </c>
      <c r="C31" s="30" t="str">
        <f>VLOOKUP(TablaIndicador3[[#This Row],[ProjectName]],TablaIndicador[[ProjectName]:[CentrodeCostosProyecto]],6,0)</f>
        <v>0319</v>
      </c>
      <c r="D31" s="138">
        <v>7806909725</v>
      </c>
      <c r="E31" s="18">
        <v>45292</v>
      </c>
      <c r="F31" s="19">
        <v>45381</v>
      </c>
      <c r="G31" s="20">
        <f t="shared" si="0"/>
        <v>3</v>
      </c>
      <c r="H31" s="21">
        <f>VLOOKUP(TablaIndicador3[[#This Row],[ProjectName]],Hoja3!T43:Y92,6,0)/100</f>
        <v>1</v>
      </c>
      <c r="I31" s="21">
        <f>VLOOKUP(TablaIndicador3[[#This Row],[ProjectName]],Hoja3!T43:Y92,2,0)/100</f>
        <v>1</v>
      </c>
      <c r="J31" s="33">
        <v>1143124.99</v>
      </c>
      <c r="K31" s="24">
        <f t="shared" si="1"/>
        <v>7806909725</v>
      </c>
      <c r="L31" s="24">
        <f t="shared" si="2"/>
        <v>7806909725</v>
      </c>
      <c r="M31" s="24">
        <f t="shared" si="3"/>
        <v>7805766600.0100002</v>
      </c>
      <c r="N31" s="24">
        <f t="shared" si="4"/>
        <v>0</v>
      </c>
      <c r="O31" s="25">
        <f t="shared" si="5"/>
        <v>6829.4454178628357</v>
      </c>
      <c r="P31" s="26" t="str">
        <f t="shared" si="6"/>
        <v>Costo eficiente: se gasto menos de lo presupuestado</v>
      </c>
      <c r="Q31" s="26">
        <f t="shared" si="7"/>
        <v>1</v>
      </c>
      <c r="R31" s="26" t="str">
        <f t="shared" si="8"/>
        <v>Proyecto a tiempo según lo planificado</v>
      </c>
      <c r="S31" s="27">
        <f t="shared" si="9"/>
        <v>1143124.99</v>
      </c>
      <c r="T31" s="27">
        <f t="shared" si="10"/>
        <v>-7805766600.0100002</v>
      </c>
    </row>
    <row r="32" spans="1:20" ht="18.75" customHeight="1" x14ac:dyDescent="0.25">
      <c r="A32" s="10">
        <v>2024</v>
      </c>
      <c r="B32" s="30" t="s">
        <v>75</v>
      </c>
      <c r="C32" s="30" t="str">
        <f>VLOOKUP(TablaIndicador3[[#This Row],[ProjectName]],TablaIndicador[[ProjectName]:[CentrodeCostosProyecto]],6,0)</f>
        <v>0315</v>
      </c>
      <c r="D32" s="138">
        <v>1422409157</v>
      </c>
      <c r="E32" s="18">
        <v>45292</v>
      </c>
      <c r="F32" s="19">
        <v>45534</v>
      </c>
      <c r="G32" s="20">
        <f t="shared" si="0"/>
        <v>8</v>
      </c>
      <c r="H32" s="21">
        <f>VLOOKUP(TablaIndicador3[[#This Row],[ProjectName]],Hoja3!T44:Y93,6,0)/100</f>
        <v>1</v>
      </c>
      <c r="I32" s="21">
        <f>VLOOKUP(TablaIndicador3[[#This Row],[ProjectName]],Hoja3!T44:Y93,2,0)/100</f>
        <v>1</v>
      </c>
      <c r="J32" s="33">
        <v>186714556.16999999</v>
      </c>
      <c r="K32" s="24">
        <f t="shared" si="1"/>
        <v>1422409157</v>
      </c>
      <c r="L32" s="24">
        <f t="shared" si="2"/>
        <v>1422409157</v>
      </c>
      <c r="M32" s="24">
        <f t="shared" si="3"/>
        <v>1235694600.8299999</v>
      </c>
      <c r="N32" s="24">
        <f t="shared" si="4"/>
        <v>0</v>
      </c>
      <c r="O32" s="25">
        <f t="shared" si="5"/>
        <v>7.6180946262428728</v>
      </c>
      <c r="P32" s="26" t="str">
        <f t="shared" si="6"/>
        <v>Costo eficiente: se gasto menos de lo presupuestado</v>
      </c>
      <c r="Q32" s="26">
        <f t="shared" si="7"/>
        <v>1</v>
      </c>
      <c r="R32" s="26" t="str">
        <f t="shared" si="8"/>
        <v>Proyecto a tiempo según lo planificado</v>
      </c>
      <c r="S32" s="27">
        <f t="shared" si="9"/>
        <v>186714556.16999999</v>
      </c>
      <c r="T32" s="27">
        <f t="shared" si="10"/>
        <v>-1235694600.8299999</v>
      </c>
    </row>
    <row r="33" spans="1:20" ht="18.75" customHeight="1" x14ac:dyDescent="0.25">
      <c r="A33" s="10">
        <v>2024</v>
      </c>
      <c r="B33" s="30" t="s">
        <v>519</v>
      </c>
      <c r="C33" s="30" t="e">
        <f>VLOOKUP(TablaIndicador3[[#This Row],[ProjectName]],TablaIndicador[[ProjectName]:[CentrodeCostosProyecto]],6,0)</f>
        <v>#N/A</v>
      </c>
      <c r="D33" s="138">
        <v>7778633799</v>
      </c>
      <c r="E33" s="18">
        <v>45300</v>
      </c>
      <c r="F33" s="19">
        <v>45473</v>
      </c>
      <c r="G33" s="20">
        <f t="shared" si="0"/>
        <v>6</v>
      </c>
      <c r="H33" s="21">
        <f>VLOOKUP(TablaIndicador3[[#This Row],[ProjectName]],Hoja3!T45:Y94,6,0)/100</f>
        <v>0.99930555999999993</v>
      </c>
      <c r="I33" s="21">
        <f>VLOOKUP(TablaIndicador3[[#This Row],[ProjectName]],Hoja3!T45:Y94,2,0)/100</f>
        <v>0.98</v>
      </c>
      <c r="J33" s="33">
        <v>316095789.15999997</v>
      </c>
      <c r="K33" s="24">
        <f t="shared" si="1"/>
        <v>7623061123.0199995</v>
      </c>
      <c r="L33" s="24">
        <f t="shared" si="2"/>
        <v>7773232004.5446215</v>
      </c>
      <c r="M33" s="24">
        <f t="shared" si="3"/>
        <v>7306965333.8599997</v>
      </c>
      <c r="N33" s="24">
        <f t="shared" si="4"/>
        <v>-150170881.52462196</v>
      </c>
      <c r="O33" s="25">
        <f t="shared" si="5"/>
        <v>24.116300768440141</v>
      </c>
      <c r="P33" s="26" t="str">
        <f t="shared" si="6"/>
        <v>Costo eficiente: se gasto menos de lo presupuestado</v>
      </c>
      <c r="Q33" s="26">
        <f t="shared" si="7"/>
        <v>0.98068102413039715</v>
      </c>
      <c r="R33" s="26" t="str">
        <f t="shared" si="8"/>
        <v>Proyecto atrasado con respecto al cronograma</v>
      </c>
      <c r="S33" s="27">
        <f t="shared" si="9"/>
        <v>322546723.63265306</v>
      </c>
      <c r="T33" s="27">
        <f t="shared" si="10"/>
        <v>-7456087075.3673468</v>
      </c>
    </row>
    <row r="34" spans="1:20" ht="18.75" customHeight="1" x14ac:dyDescent="0.25">
      <c r="A34" s="10">
        <v>2024</v>
      </c>
      <c r="B34" s="30" t="s">
        <v>68</v>
      </c>
      <c r="C34" s="30" t="str">
        <f>VLOOKUP(TablaIndicador3[[#This Row],[ProjectName]],TablaIndicador[[ProjectName]:[CentrodeCostosProyecto]],6,0)</f>
        <v>0320</v>
      </c>
      <c r="D34" s="138">
        <v>5280083724</v>
      </c>
      <c r="E34" s="18">
        <v>45300</v>
      </c>
      <c r="F34" s="19">
        <v>45473</v>
      </c>
      <c r="G34" s="20">
        <f t="shared" si="0"/>
        <v>6</v>
      </c>
      <c r="H34" s="21">
        <f>VLOOKUP(TablaIndicador3[[#This Row],[ProjectName]],Hoja3!T46:Y95,6,0)/100</f>
        <v>1</v>
      </c>
      <c r="I34" s="21">
        <f>VLOOKUP(TablaIndicador3[[#This Row],[ProjectName]],Hoja3!T46:Y95,2,0)/100</f>
        <v>1</v>
      </c>
      <c r="J34" s="23">
        <v>936367</v>
      </c>
      <c r="K34" s="24">
        <f t="shared" si="1"/>
        <v>5280083724</v>
      </c>
      <c r="L34" s="24">
        <f t="shared" si="2"/>
        <v>5280083724</v>
      </c>
      <c r="M34" s="24">
        <f t="shared" si="3"/>
        <v>5279147357</v>
      </c>
      <c r="N34" s="24">
        <f t="shared" si="4"/>
        <v>0</v>
      </c>
      <c r="O34" s="25">
        <f t="shared" si="5"/>
        <v>5638.9041091794134</v>
      </c>
      <c r="P34" s="26" t="str">
        <f t="shared" si="6"/>
        <v>Costo eficiente: se gasto menos de lo presupuestado</v>
      </c>
      <c r="Q34" s="26">
        <f t="shared" si="7"/>
        <v>1</v>
      </c>
      <c r="R34" s="26" t="str">
        <f t="shared" si="8"/>
        <v>Proyecto a tiempo según lo planificado</v>
      </c>
      <c r="S34" s="27">
        <f t="shared" si="9"/>
        <v>936367</v>
      </c>
      <c r="T34" s="27">
        <f t="shared" si="10"/>
        <v>-5279147357</v>
      </c>
    </row>
    <row r="35" spans="1:20" ht="18.75" customHeight="1" x14ac:dyDescent="0.25">
      <c r="A35" s="10">
        <v>2024</v>
      </c>
      <c r="B35" s="30" t="s">
        <v>59</v>
      </c>
      <c r="C35" s="30" t="str">
        <f>VLOOKUP(TablaIndicador3[[#This Row],[ProjectName]],TablaIndicador[[ProjectName]:[CentrodeCostosProyecto]],6,0)</f>
        <v>0314</v>
      </c>
      <c r="D35" s="138">
        <v>970233948</v>
      </c>
      <c r="E35" s="18">
        <v>45306</v>
      </c>
      <c r="F35" s="19">
        <v>45412</v>
      </c>
      <c r="G35" s="20">
        <f t="shared" si="0"/>
        <v>4</v>
      </c>
      <c r="H35" s="21">
        <f>VLOOKUP(TablaIndicador3[[#This Row],[ProjectName]],Hoja3!T47:Y96,6,0)/100</f>
        <v>1</v>
      </c>
      <c r="I35" s="21">
        <f>VLOOKUP(TablaIndicador3[[#This Row],[ProjectName]],Hoja3!T47:Y96,2,0)/100</f>
        <v>1</v>
      </c>
      <c r="J35" s="23">
        <v>2942425.28</v>
      </c>
      <c r="K35" s="24">
        <f t="shared" si="1"/>
        <v>970233948</v>
      </c>
      <c r="L35" s="24">
        <f t="shared" si="2"/>
        <v>970233948</v>
      </c>
      <c r="M35" s="24">
        <f t="shared" si="3"/>
        <v>967291522.72000003</v>
      </c>
      <c r="N35" s="24">
        <f t="shared" si="4"/>
        <v>0</v>
      </c>
      <c r="O35" s="25">
        <f t="shared" si="5"/>
        <v>329.73953649555381</v>
      </c>
      <c r="P35" s="26" t="str">
        <f t="shared" si="6"/>
        <v>Costo eficiente: se gasto menos de lo presupuestado</v>
      </c>
      <c r="Q35" s="26">
        <f t="shared" si="7"/>
        <v>1</v>
      </c>
      <c r="R35" s="26" t="str">
        <f t="shared" si="8"/>
        <v>Proyecto a tiempo según lo planificado</v>
      </c>
      <c r="S35" s="27">
        <f t="shared" si="9"/>
        <v>2942425.28</v>
      </c>
      <c r="T35" s="27">
        <f t="shared" si="10"/>
        <v>-967291522.72000003</v>
      </c>
    </row>
    <row r="36" spans="1:20" ht="18.75" customHeight="1" x14ac:dyDescent="0.25">
      <c r="A36" s="10">
        <v>2024</v>
      </c>
      <c r="B36" s="152" t="s">
        <v>239</v>
      </c>
      <c r="C36" s="152" t="str">
        <f>VLOOKUP(TablaIndicador3[[#This Row],[ProjectName]],TablaIndicador[[ProjectName]:[CentrodeCostosProyecto]],6,0)</f>
        <v>10029</v>
      </c>
      <c r="D36" s="153">
        <v>3399664692</v>
      </c>
      <c r="E36" s="147">
        <v>45652</v>
      </c>
      <c r="F36" s="148">
        <v>45925</v>
      </c>
      <c r="G36" s="149">
        <f t="shared" si="0"/>
        <v>9</v>
      </c>
      <c r="H36" s="150">
        <f>VLOOKUP(TablaIndicador3[[#This Row],[ProjectName]],Hoja3!T12:Y61,6,0)/100</f>
        <v>1</v>
      </c>
      <c r="I36" s="150">
        <f>VLOOKUP(TablaIndicador3[[#This Row],[ProjectName]],Hoja3!T12:Y61,2,0)/100</f>
        <v>1</v>
      </c>
      <c r="J36" s="155">
        <f>36457046296.19+124481696</f>
        <v>36581527992.190002</v>
      </c>
      <c r="K36" s="24">
        <f t="shared" si="1"/>
        <v>3399664692</v>
      </c>
      <c r="L36" s="24">
        <f t="shared" si="2"/>
        <v>3399664692</v>
      </c>
      <c r="M36" s="24">
        <f t="shared" si="3"/>
        <v>-33181863300.190002</v>
      </c>
      <c r="N36" s="24">
        <f t="shared" si="4"/>
        <v>0</v>
      </c>
      <c r="O36" s="25">
        <f t="shared" si="5"/>
        <v>9.2933917159660845E-2</v>
      </c>
      <c r="P36" s="26" t="str">
        <f t="shared" si="6"/>
        <v>Costo ineficiente: se gasto más de lo presupuestado</v>
      </c>
      <c r="Q36" s="26">
        <f t="shared" si="7"/>
        <v>1</v>
      </c>
      <c r="R36" s="26" t="str">
        <f t="shared" si="8"/>
        <v>Proyecto a tiempo según lo planificado</v>
      </c>
      <c r="S36" s="27">
        <f t="shared" si="9"/>
        <v>36581527992.190002</v>
      </c>
      <c r="T36" s="27">
        <f t="shared" si="10"/>
        <v>33181863300.190002</v>
      </c>
    </row>
    <row r="37" spans="1:20" ht="18.75" customHeight="1" x14ac:dyDescent="0.25">
      <c r="A37" s="10">
        <v>2024</v>
      </c>
      <c r="B37" s="145" t="s">
        <v>204</v>
      </c>
      <c r="C37" s="145" t="str">
        <f>VLOOKUP(TablaIndicador3[[#This Row],[ProjectName]],TablaIndicador[[ProjectName]:[CentrodeCostosProyecto]],6,0)</f>
        <v>0349</v>
      </c>
      <c r="D37" s="146">
        <v>314881564</v>
      </c>
      <c r="E37" s="147">
        <v>45292</v>
      </c>
      <c r="F37" s="148">
        <v>45321</v>
      </c>
      <c r="G37" s="149">
        <f t="shared" si="0"/>
        <v>1</v>
      </c>
      <c r="H37" s="150">
        <f>VLOOKUP(TablaIndicador3[[#This Row],[ProjectName]],Hoja3!T18:Y67,6,0)/100</f>
        <v>0.96551723999999994</v>
      </c>
      <c r="I37" s="150">
        <f>VLOOKUP(TablaIndicador3[[#This Row],[ProjectName]],Hoja3!T18:Y67,2,0)/100</f>
        <v>1</v>
      </c>
      <c r="J37" s="154">
        <v>0</v>
      </c>
      <c r="K37" s="24">
        <f t="shared" si="1"/>
        <v>314881564</v>
      </c>
      <c r="L37" s="24">
        <f t="shared" si="2"/>
        <v>304023578.60016334</v>
      </c>
      <c r="M37" s="24">
        <f t="shared" si="3"/>
        <v>314881564</v>
      </c>
      <c r="N37" s="24">
        <f t="shared" si="4"/>
        <v>10857985.399836659</v>
      </c>
      <c r="O37" s="25" t="str">
        <f t="shared" si="5"/>
        <v>No se realizó gasto en este corte</v>
      </c>
      <c r="P37" s="26" t="str">
        <f t="shared" si="6"/>
        <v>Costo eficiente: se gasto menos de lo presupuestado</v>
      </c>
      <c r="Q37" s="26">
        <f t="shared" si="7"/>
        <v>1.0357142871938776</v>
      </c>
      <c r="R37" s="26" t="str">
        <f t="shared" si="8"/>
        <v>Proyecto adelantado respecto al cronograma</v>
      </c>
      <c r="S37" s="27">
        <f t="shared" si="9"/>
        <v>0</v>
      </c>
      <c r="T37" s="27">
        <f t="shared" si="10"/>
        <v>-314881564</v>
      </c>
    </row>
    <row r="38" spans="1:20" ht="18.75" customHeight="1" x14ac:dyDescent="0.25">
      <c r="A38" s="10">
        <v>2024</v>
      </c>
      <c r="B38" s="145" t="s">
        <v>514</v>
      </c>
      <c r="C38" s="145" t="e">
        <f>VLOOKUP(TablaIndicador3[[#This Row],[ProjectName]],TablaIndicador[[ProjectName]:[CentrodeCostosProyecto]],6,0)</f>
        <v>#N/A</v>
      </c>
      <c r="D38" s="146">
        <v>3454190077</v>
      </c>
      <c r="E38" s="147">
        <v>45580</v>
      </c>
      <c r="F38" s="148">
        <v>45657</v>
      </c>
      <c r="G38" s="149">
        <f t="shared" si="0"/>
        <v>3</v>
      </c>
      <c r="H38" s="150">
        <f>VLOOKUP(TablaIndicador3[[#This Row],[ProjectName]],Hoja3!T20:Y69,6,0)/100</f>
        <v>1</v>
      </c>
      <c r="I38" s="150">
        <f>VLOOKUP(TablaIndicador3[[#This Row],[ProjectName]],Hoja3!T20:Y69,2,0)/100</f>
        <v>0.97</v>
      </c>
      <c r="J38" s="154">
        <v>0</v>
      </c>
      <c r="K38" s="24">
        <f t="shared" si="1"/>
        <v>3350564374.6900001</v>
      </c>
      <c r="L38" s="24">
        <f t="shared" si="2"/>
        <v>3454190077</v>
      </c>
      <c r="M38" s="24">
        <f t="shared" si="3"/>
        <v>3350564374.6900001</v>
      </c>
      <c r="N38" s="24">
        <f t="shared" si="4"/>
        <v>-103625702.30999994</v>
      </c>
      <c r="O38" s="25" t="str">
        <f t="shared" si="5"/>
        <v>No se realizó gasto en este corte</v>
      </c>
      <c r="P38" s="26" t="str">
        <f t="shared" si="6"/>
        <v>Costo eficiente: se gasto menos de lo presupuestado</v>
      </c>
      <c r="Q38" s="26">
        <f t="shared" si="7"/>
        <v>0.97</v>
      </c>
      <c r="R38" s="26" t="str">
        <f t="shared" si="8"/>
        <v>Proyecto atrasado con respecto al cronograma</v>
      </c>
      <c r="S38" s="27">
        <f t="shared" si="9"/>
        <v>0</v>
      </c>
      <c r="T38" s="27">
        <f t="shared" si="10"/>
        <v>-3454190077</v>
      </c>
    </row>
    <row r="39" spans="1:20" ht="18.75" customHeight="1" x14ac:dyDescent="0.25">
      <c r="A39" s="10">
        <v>2024</v>
      </c>
      <c r="B39" s="145" t="s">
        <v>516</v>
      </c>
      <c r="C39" s="145" t="e">
        <f>VLOOKUP(TablaIndicador3[[#This Row],[ProjectName]],TablaIndicador[[ProjectName]:[CentrodeCostosProyecto]],6,0)</f>
        <v>#N/A</v>
      </c>
      <c r="D39" s="146"/>
      <c r="E39" s="147">
        <v>45575</v>
      </c>
      <c r="F39" s="148">
        <v>45657</v>
      </c>
      <c r="G39" s="149">
        <f t="shared" si="0"/>
        <v>3</v>
      </c>
      <c r="H39" s="150">
        <f>VLOOKUP(TablaIndicador3[[#This Row],[ProjectName]],Hoja3!T22:Y71,6,0)/100</f>
        <v>1</v>
      </c>
      <c r="I39" s="150">
        <f>VLOOKUP(TablaIndicador3[[#This Row],[ProjectName]],Hoja3!T22:Y71,2,0)/100</f>
        <v>1</v>
      </c>
      <c r="J39" s="154">
        <v>0</v>
      </c>
      <c r="K39" s="24">
        <f t="shared" si="1"/>
        <v>0</v>
      </c>
      <c r="L39" s="24">
        <f t="shared" si="2"/>
        <v>0</v>
      </c>
      <c r="M39" s="24">
        <f t="shared" si="3"/>
        <v>0</v>
      </c>
      <c r="N39" s="24">
        <f t="shared" si="4"/>
        <v>0</v>
      </c>
      <c r="O39" s="25" t="str">
        <f t="shared" si="5"/>
        <v>No se realizó gasto en este corte</v>
      </c>
      <c r="P39" s="26" t="str">
        <f t="shared" si="6"/>
        <v>Costo eficiente: se gasto menos de lo presupuestado</v>
      </c>
      <c r="Q39" s="26">
        <f t="shared" si="7"/>
        <v>0</v>
      </c>
      <c r="R39" s="26" t="str">
        <f t="shared" si="8"/>
        <v>Sin Línea Base</v>
      </c>
      <c r="S39" s="27">
        <f t="shared" si="9"/>
        <v>0</v>
      </c>
      <c r="T39" s="27">
        <f t="shared" si="10"/>
        <v>0</v>
      </c>
    </row>
    <row r="40" spans="1:20" ht="18.75" customHeight="1" x14ac:dyDescent="0.25">
      <c r="A40" s="10">
        <v>2024</v>
      </c>
      <c r="B40" s="145" t="s">
        <v>189</v>
      </c>
      <c r="C40" s="145" t="str">
        <f>VLOOKUP(TablaIndicador3[[#This Row],[ProjectName]],TablaIndicador[[ProjectName]:[CentrodeCostosProyecto]],6,0)</f>
        <v>0339</v>
      </c>
      <c r="D40" s="146">
        <v>45928592</v>
      </c>
      <c r="E40" s="147">
        <v>45505</v>
      </c>
      <c r="F40" s="148">
        <v>45536</v>
      </c>
      <c r="G40" s="149">
        <f t="shared" si="0"/>
        <v>2</v>
      </c>
      <c r="H40" s="150">
        <f>VLOOKUP(TablaIndicador3[[#This Row],[ProjectName]],Hoja3!T24:Y73,6,0)/100</f>
        <v>1</v>
      </c>
      <c r="I40" s="150">
        <f>VLOOKUP(TablaIndicador3[[#This Row],[ProjectName]],Hoja3!T24:Y73,2,0)/100</f>
        <v>1</v>
      </c>
      <c r="J40" s="154">
        <v>0</v>
      </c>
      <c r="K40" s="24">
        <f t="shared" si="1"/>
        <v>45928592</v>
      </c>
      <c r="L40" s="24">
        <f t="shared" si="2"/>
        <v>45928592</v>
      </c>
      <c r="M40" s="24">
        <f t="shared" si="3"/>
        <v>45928592</v>
      </c>
      <c r="N40" s="24">
        <f t="shared" si="4"/>
        <v>0</v>
      </c>
      <c r="O40" s="25" t="str">
        <f t="shared" si="5"/>
        <v>No se realizó gasto en este corte</v>
      </c>
      <c r="P40" s="26" t="str">
        <f t="shared" si="6"/>
        <v>Costo eficiente: se gasto menos de lo presupuestado</v>
      </c>
      <c r="Q40" s="26">
        <f t="shared" si="7"/>
        <v>1</v>
      </c>
      <c r="R40" s="26" t="str">
        <f t="shared" si="8"/>
        <v>Proyecto a tiempo según lo planificado</v>
      </c>
      <c r="S40" s="27">
        <f t="shared" si="9"/>
        <v>0</v>
      </c>
      <c r="T40" s="27">
        <f t="shared" si="10"/>
        <v>-45928592</v>
      </c>
    </row>
    <row r="41" spans="1:20" ht="18.75" customHeight="1" x14ac:dyDescent="0.25">
      <c r="A41" s="10">
        <v>2024</v>
      </c>
      <c r="B41" s="145" t="s">
        <v>183</v>
      </c>
      <c r="C41" s="145" t="str">
        <f>VLOOKUP(TablaIndicador3[[#This Row],[ProjectName]],TablaIndicador[[ProjectName]:[CentrodeCostosProyecto]],6,0)</f>
        <v>10026</v>
      </c>
      <c r="D41" s="146">
        <v>5767590996</v>
      </c>
      <c r="E41" s="147">
        <v>45559</v>
      </c>
      <c r="F41" s="148">
        <v>45626</v>
      </c>
      <c r="G41" s="149">
        <f t="shared" si="0"/>
        <v>3</v>
      </c>
      <c r="H41" s="150">
        <f>VLOOKUP(TablaIndicador3[[#This Row],[ProjectName]],Hoja3!T25:Y74,6,0)/100</f>
        <v>1</v>
      </c>
      <c r="I41" s="150">
        <f>VLOOKUP(TablaIndicador3[[#This Row],[ProjectName]],Hoja3!T25:Y74,2,0)/100</f>
        <v>0.99</v>
      </c>
      <c r="J41" s="154">
        <v>0</v>
      </c>
      <c r="K41" s="24">
        <f t="shared" si="1"/>
        <v>5709915086.04</v>
      </c>
      <c r="L41" s="24">
        <f t="shared" si="2"/>
        <v>5767590996</v>
      </c>
      <c r="M41" s="24">
        <f t="shared" si="3"/>
        <v>5709915086.04</v>
      </c>
      <c r="N41" s="24">
        <f t="shared" si="4"/>
        <v>-57675909.960000038</v>
      </c>
      <c r="O41" s="25" t="str">
        <f t="shared" si="5"/>
        <v>No se realizó gasto en este corte</v>
      </c>
      <c r="P41" s="26" t="str">
        <f t="shared" si="6"/>
        <v>Costo eficiente: se gasto menos de lo presupuestado</v>
      </c>
      <c r="Q41" s="26">
        <f t="shared" si="7"/>
        <v>0.99</v>
      </c>
      <c r="R41" s="26" t="str">
        <f t="shared" si="8"/>
        <v>Proyecto atrasado con respecto al cronograma</v>
      </c>
      <c r="S41" s="27">
        <f t="shared" si="9"/>
        <v>0</v>
      </c>
      <c r="T41" s="27">
        <f t="shared" si="10"/>
        <v>-5767590996</v>
      </c>
    </row>
    <row r="42" spans="1:20" ht="18.75" customHeight="1" x14ac:dyDescent="0.25">
      <c r="A42" s="10">
        <v>2024</v>
      </c>
      <c r="B42" s="145" t="s">
        <v>150</v>
      </c>
      <c r="C42" s="145" t="str">
        <f>VLOOKUP(TablaIndicador3[[#This Row],[ProjectName]],TablaIndicador[[ProjectName]:[CentrodeCostosProyecto]],6,0)</f>
        <v>0334</v>
      </c>
      <c r="D42" s="146">
        <v>237007609</v>
      </c>
      <c r="E42" s="147">
        <v>45383</v>
      </c>
      <c r="F42" s="148">
        <v>45412</v>
      </c>
      <c r="G42" s="149">
        <f t="shared" si="0"/>
        <v>1</v>
      </c>
      <c r="H42" s="150">
        <f>VLOOKUP(TablaIndicador3[[#This Row],[ProjectName]],Hoja3!T31:Y80,6,0)/100</f>
        <v>1</v>
      </c>
      <c r="I42" s="150">
        <f>VLOOKUP(TablaIndicador3[[#This Row],[ProjectName]],Hoja3!T31:Y80,2,0)/100</f>
        <v>1</v>
      </c>
      <c r="J42" s="151">
        <v>46027</v>
      </c>
      <c r="K42" s="24">
        <f t="shared" si="1"/>
        <v>237007609</v>
      </c>
      <c r="L42" s="24">
        <f t="shared" si="2"/>
        <v>237007609</v>
      </c>
      <c r="M42" s="24">
        <f t="shared" si="3"/>
        <v>236961582</v>
      </c>
      <c r="N42" s="24">
        <f t="shared" si="4"/>
        <v>0</v>
      </c>
      <c r="O42" s="25">
        <f t="shared" si="5"/>
        <v>5149.3169009494432</v>
      </c>
      <c r="P42" s="26" t="str">
        <f t="shared" si="6"/>
        <v>Costo eficiente: se gasto menos de lo presupuestado</v>
      </c>
      <c r="Q42" s="26">
        <f t="shared" si="7"/>
        <v>1</v>
      </c>
      <c r="R42" s="26" t="str">
        <f t="shared" si="8"/>
        <v>Proyecto a tiempo según lo planificado</v>
      </c>
      <c r="S42" s="27">
        <f t="shared" si="9"/>
        <v>46026.999999999993</v>
      </c>
      <c r="T42" s="27">
        <f t="shared" si="10"/>
        <v>-236961582</v>
      </c>
    </row>
    <row r="43" spans="1:20" ht="18.75" customHeight="1" x14ac:dyDescent="0.25">
      <c r="A43" s="10">
        <v>2024</v>
      </c>
      <c r="B43" s="145" t="s">
        <v>128</v>
      </c>
      <c r="C43" s="145" t="str">
        <f>VLOOKUP(TablaIndicador3[[#This Row],[ProjectName]],TablaIndicador[[ProjectName]:[CentrodeCostosProyecto]],6,0)</f>
        <v>0329</v>
      </c>
      <c r="D43" s="146">
        <v>63538000</v>
      </c>
      <c r="E43" s="147">
        <v>45450</v>
      </c>
      <c r="F43" s="148">
        <v>45510</v>
      </c>
      <c r="G43" s="149">
        <f t="shared" si="0"/>
        <v>2</v>
      </c>
      <c r="H43" s="150">
        <f>VLOOKUP(TablaIndicador3[[#This Row],[ProjectName]],Hoja3!T35:Y84,6,0)/100</f>
        <v>1</v>
      </c>
      <c r="I43" s="150">
        <f>VLOOKUP(TablaIndicador3[[#This Row],[ProjectName]],Hoja3!T35:Y84,2,0)/100</f>
        <v>1</v>
      </c>
      <c r="J43" s="154">
        <v>0</v>
      </c>
      <c r="K43" s="24">
        <f t="shared" si="1"/>
        <v>63538000</v>
      </c>
      <c r="L43" s="24">
        <f t="shared" si="2"/>
        <v>63538000</v>
      </c>
      <c r="M43" s="24">
        <f t="shared" si="3"/>
        <v>63538000</v>
      </c>
      <c r="N43" s="24">
        <f t="shared" si="4"/>
        <v>0</v>
      </c>
      <c r="O43" s="25" t="str">
        <f t="shared" si="5"/>
        <v>No se realizó gasto en este corte</v>
      </c>
      <c r="P43" s="26" t="str">
        <f t="shared" si="6"/>
        <v>Costo eficiente: se gasto menos de lo presupuestado</v>
      </c>
      <c r="Q43" s="26">
        <f t="shared" si="7"/>
        <v>1</v>
      </c>
      <c r="R43" s="26" t="str">
        <f t="shared" si="8"/>
        <v>Proyecto a tiempo según lo planificado</v>
      </c>
      <c r="S43" s="27">
        <f t="shared" si="9"/>
        <v>0</v>
      </c>
      <c r="T43" s="27">
        <f t="shared" si="10"/>
        <v>-63538000</v>
      </c>
    </row>
    <row r="44" spans="1:20" ht="18.75" customHeight="1" x14ac:dyDescent="0.25">
      <c r="A44" s="10">
        <v>2024</v>
      </c>
      <c r="B44" s="145" t="s">
        <v>121</v>
      </c>
      <c r="C44" s="145" t="str">
        <f>VLOOKUP(TablaIndicador3[[#This Row],[ProjectName]],TablaIndicador[[ProjectName]:[CentrodeCostosProyecto]],6,0)</f>
        <v>0330</v>
      </c>
      <c r="D44" s="146">
        <v>50362370</v>
      </c>
      <c r="E44" s="147">
        <v>45444</v>
      </c>
      <c r="F44" s="148">
        <v>45503</v>
      </c>
      <c r="G44" s="149">
        <f t="shared" si="0"/>
        <v>2</v>
      </c>
      <c r="H44" s="150">
        <f>VLOOKUP(TablaIndicador3[[#This Row],[ProjectName]],Hoja3!T36:Y85,6,0)/100</f>
        <v>1</v>
      </c>
      <c r="I44" s="150">
        <f>VLOOKUP(TablaIndicador3[[#This Row],[ProjectName]],Hoja3!T36:Y85,2,0)/100</f>
        <v>1</v>
      </c>
      <c r="J44" s="154">
        <v>0</v>
      </c>
      <c r="K44" s="24">
        <f t="shared" si="1"/>
        <v>50362370</v>
      </c>
      <c r="L44" s="24">
        <f t="shared" si="2"/>
        <v>50362370</v>
      </c>
      <c r="M44" s="24">
        <f t="shared" si="3"/>
        <v>50362370</v>
      </c>
      <c r="N44" s="24">
        <f t="shared" si="4"/>
        <v>0</v>
      </c>
      <c r="O44" s="25" t="str">
        <f t="shared" si="5"/>
        <v>No se realizó gasto en este corte</v>
      </c>
      <c r="P44" s="26" t="str">
        <f t="shared" si="6"/>
        <v>Costo eficiente: se gasto menos de lo presupuestado</v>
      </c>
      <c r="Q44" s="26">
        <f t="shared" si="7"/>
        <v>1</v>
      </c>
      <c r="R44" s="26" t="str">
        <f t="shared" si="8"/>
        <v>Proyecto a tiempo según lo planificado</v>
      </c>
      <c r="S44" s="27">
        <f t="shared" si="9"/>
        <v>0</v>
      </c>
      <c r="T44" s="27">
        <f t="shared" si="10"/>
        <v>-50362370</v>
      </c>
    </row>
    <row r="45" spans="1:20" ht="18.75" customHeight="1" x14ac:dyDescent="0.25">
      <c r="A45" s="10">
        <v>2024</v>
      </c>
      <c r="B45" s="145" t="s">
        <v>517</v>
      </c>
      <c r="C45" s="145" t="e">
        <f>VLOOKUP(TablaIndicador3[[#This Row],[ProjectName]],TablaIndicador[[ProjectName]:[CentrodeCostosProyecto]],6,0)</f>
        <v>#N/A</v>
      </c>
      <c r="D45" s="146">
        <v>2991700671</v>
      </c>
      <c r="E45" s="147">
        <v>45252</v>
      </c>
      <c r="F45" s="148">
        <v>45322</v>
      </c>
      <c r="G45" s="149">
        <f t="shared" si="0"/>
        <v>3</v>
      </c>
      <c r="H45" s="150">
        <f>VLOOKUP(TablaIndicador3[[#This Row],[ProjectName]],Hoja3!T37:Y86,6,0)/100</f>
        <v>1</v>
      </c>
      <c r="I45" s="150">
        <f>VLOOKUP(TablaIndicador3[[#This Row],[ProjectName]],Hoja3!T37:Y86,2,0)/100</f>
        <v>1</v>
      </c>
      <c r="J45" s="154">
        <v>0</v>
      </c>
      <c r="K45" s="24">
        <f t="shared" si="1"/>
        <v>2991700671</v>
      </c>
      <c r="L45" s="24">
        <f t="shared" si="2"/>
        <v>2991700671</v>
      </c>
      <c r="M45" s="24">
        <f t="shared" si="3"/>
        <v>2991700671</v>
      </c>
      <c r="N45" s="24">
        <f t="shared" si="4"/>
        <v>0</v>
      </c>
      <c r="O45" s="25" t="str">
        <f t="shared" si="5"/>
        <v>No se realizó gasto en este corte</v>
      </c>
      <c r="P45" s="26" t="str">
        <f t="shared" si="6"/>
        <v>Costo eficiente: se gasto menos de lo presupuestado</v>
      </c>
      <c r="Q45" s="26">
        <f t="shared" si="7"/>
        <v>1</v>
      </c>
      <c r="R45" s="26" t="str">
        <f t="shared" si="8"/>
        <v>Proyecto a tiempo según lo planificado</v>
      </c>
      <c r="S45" s="27">
        <f t="shared" si="9"/>
        <v>0</v>
      </c>
      <c r="T45" s="27">
        <f t="shared" si="10"/>
        <v>-2991700671</v>
      </c>
    </row>
    <row r="46" spans="1:20" ht="18.75" customHeight="1" x14ac:dyDescent="0.25">
      <c r="A46" s="10">
        <v>2024</v>
      </c>
      <c r="B46" s="30" t="s">
        <v>518</v>
      </c>
      <c r="C46" s="30" t="e">
        <f>VLOOKUP(TablaIndicador3[[#This Row],[ProjectName]],TablaIndicador[[ProjectName]:[CentrodeCostosProyecto]],6,0)</f>
        <v>#N/A</v>
      </c>
      <c r="D46" s="146"/>
      <c r="E46" s="147">
        <v>45405</v>
      </c>
      <c r="F46" s="148">
        <v>45657</v>
      </c>
      <c r="G46" s="149">
        <f t="shared" si="0"/>
        <v>9</v>
      </c>
      <c r="H46" s="150">
        <f>VLOOKUP(TablaIndicador3[[#This Row],[ProjectName]],Hoja3!T39:Y88,6,0)/100</f>
        <v>1</v>
      </c>
      <c r="I46" s="150">
        <f>VLOOKUP(TablaIndicador3[[#This Row],[ProjectName]],Hoja3!T39:Y88,2,0)/100</f>
        <v>1</v>
      </c>
      <c r="J46" s="151">
        <v>77620194.809999987</v>
      </c>
      <c r="K46" s="24">
        <f t="shared" si="1"/>
        <v>0</v>
      </c>
      <c r="L46" s="24">
        <f t="shared" si="2"/>
        <v>0</v>
      </c>
      <c r="M46" s="24">
        <f t="shared" si="3"/>
        <v>-77620194.809999987</v>
      </c>
      <c r="N46" s="24">
        <f t="shared" si="4"/>
        <v>0</v>
      </c>
      <c r="O46" s="25">
        <f t="shared" si="5"/>
        <v>0</v>
      </c>
      <c r="P46" s="26" t="str">
        <f t="shared" si="6"/>
        <v>No calculado</v>
      </c>
      <c r="Q46" s="26">
        <f t="shared" si="7"/>
        <v>0</v>
      </c>
      <c r="R46" s="26" t="str">
        <f t="shared" si="8"/>
        <v>Sin Línea Base</v>
      </c>
      <c r="S46" s="27">
        <f t="shared" si="9"/>
        <v>0</v>
      </c>
      <c r="T46" s="27">
        <f t="shared" si="10"/>
        <v>0</v>
      </c>
    </row>
  </sheetData>
  <conditionalFormatting sqref="B2:C46">
    <cfRule type="duplicateValues" dxfId="7" priority="29"/>
  </conditionalFormatting>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2889A-2975-4797-801E-6B9E18CB93E4}">
  <dimension ref="A1:U35"/>
  <sheetViews>
    <sheetView tabSelected="1" topLeftCell="R1" zoomScale="85" zoomScaleNormal="85" workbookViewId="0">
      <pane ySplit="1" topLeftCell="A2" activePane="bottomLeft" state="frozen"/>
      <selection pane="bottomLeft" activeCell="U8" sqref="U8"/>
    </sheetView>
  </sheetViews>
  <sheetFormatPr baseColWidth="10" defaultColWidth="11.42578125" defaultRowHeight="18.75" customHeight="1" x14ac:dyDescent="0.25"/>
  <cols>
    <col min="1" max="1" width="11.42578125" style="10"/>
    <col min="2" max="3" width="53.42578125" style="10" customWidth="1"/>
    <col min="4" max="4" width="29.42578125" style="10" customWidth="1"/>
    <col min="5" max="5" width="16.7109375" style="10" customWidth="1"/>
    <col min="6" max="6" width="12.140625" style="10" customWidth="1"/>
    <col min="7" max="7" width="14.42578125" style="10" hidden="1" customWidth="1"/>
    <col min="8" max="8" width="15.7109375" style="128" customWidth="1"/>
    <col min="9" max="9" width="21.85546875" style="128" customWidth="1"/>
    <col min="10" max="10" width="21.85546875" style="10" customWidth="1"/>
    <col min="11" max="11" width="22.42578125" style="10" customWidth="1"/>
    <col min="12" max="12" width="23.5703125" style="10" customWidth="1"/>
    <col min="13" max="13" width="23.7109375" style="10" customWidth="1"/>
    <col min="14" max="14" width="28.5703125" style="10" customWidth="1"/>
    <col min="15" max="15" width="34" style="10" customWidth="1"/>
    <col min="16" max="16" width="66" style="10" bestFit="1" customWidth="1"/>
    <col min="17" max="17" width="38.85546875" style="10" customWidth="1"/>
    <col min="18" max="18" width="52.5703125" style="10" bestFit="1" customWidth="1"/>
    <col min="19" max="19" width="33.5703125" style="10" customWidth="1"/>
    <col min="20" max="20" width="48.7109375" style="10" customWidth="1"/>
    <col min="21" max="21" width="38.140625" style="10" bestFit="1" customWidth="1"/>
    <col min="22" max="16384" width="11.42578125" style="10"/>
  </cols>
  <sheetData>
    <row r="1" spans="1:21" ht="18.75" customHeight="1" x14ac:dyDescent="0.25">
      <c r="A1" s="1" t="s">
        <v>0</v>
      </c>
      <c r="B1" s="3" t="s">
        <v>4</v>
      </c>
      <c r="C1" s="3" t="s">
        <v>754</v>
      </c>
      <c r="D1" s="138" t="s">
        <v>11</v>
      </c>
      <c r="E1" s="3" t="s">
        <v>12</v>
      </c>
      <c r="F1" s="3" t="s">
        <v>13</v>
      </c>
      <c r="G1" s="3" t="s">
        <v>14</v>
      </c>
      <c r="H1" s="7" t="s">
        <v>18</v>
      </c>
      <c r="I1" s="7" t="s">
        <v>19</v>
      </c>
      <c r="J1" s="5" t="s">
        <v>20</v>
      </c>
      <c r="K1" s="4" t="s">
        <v>22</v>
      </c>
      <c r="L1" s="4" t="s">
        <v>23</v>
      </c>
      <c r="M1" s="4" t="s">
        <v>24</v>
      </c>
      <c r="N1" s="4" t="s">
        <v>25</v>
      </c>
      <c r="O1" s="4" t="s">
        <v>26</v>
      </c>
      <c r="P1" s="4" t="s">
        <v>27</v>
      </c>
      <c r="Q1" s="4" t="s">
        <v>28</v>
      </c>
      <c r="R1" s="4" t="s">
        <v>29</v>
      </c>
      <c r="S1" s="5" t="s">
        <v>30</v>
      </c>
      <c r="T1" s="5" t="s">
        <v>31</v>
      </c>
      <c r="U1" s="9" t="s">
        <v>5</v>
      </c>
    </row>
    <row r="2" spans="1:21" ht="18.75" customHeight="1" x14ac:dyDescent="0.25">
      <c r="A2" s="10">
        <v>2025</v>
      </c>
      <c r="B2" s="30" t="s">
        <v>418</v>
      </c>
      <c r="C2" s="30" t="str">
        <f>VLOOKUP(TablaIndicador34[[#This Row],[ProjectName]],TablaIndicador[[ProjectName]:[CentrodeCostosProyecto]],6,0)</f>
        <v>0385</v>
      </c>
      <c r="D2" s="138">
        <v>772840336</v>
      </c>
      <c r="E2" s="18">
        <v>45945</v>
      </c>
      <c r="F2" s="19">
        <v>46022</v>
      </c>
      <c r="G2" s="20">
        <f t="shared" ref="G2:G35" si="0">DATEDIF(E2,F2,"m")+1</f>
        <v>3</v>
      </c>
      <c r="H2" s="21">
        <v>1</v>
      </c>
      <c r="I2" s="21">
        <f>VLOOKUP(TablaIndicador34[[#This Row],[ProjectName]],Hoja3!T3:Y52,2,0)/100</f>
        <v>1</v>
      </c>
      <c r="J2" s="22">
        <v>1337000924</v>
      </c>
      <c r="K2" s="24">
        <f t="shared" ref="K2:K35" si="1">IFERROR(I2*D2,0)</f>
        <v>772840336</v>
      </c>
      <c r="L2" s="24">
        <f t="shared" ref="L2:L35" si="2">H2*D2</f>
        <v>772840336</v>
      </c>
      <c r="M2" s="24">
        <f t="shared" ref="M2:M35" si="3">IFERROR(K2-J2,0)</f>
        <v>-564160588</v>
      </c>
      <c r="N2" s="24">
        <f t="shared" ref="N2:N35" si="4">K2-L2</f>
        <v>0</v>
      </c>
      <c r="O2" s="25">
        <f t="shared" ref="O2:O35" si="5">IFERROR(K2/J2,"No se realizó gasto en este corte")</f>
        <v>0.57804024075603411</v>
      </c>
      <c r="P2" s="26" t="str">
        <f t="shared" ref="P2:P35" si="6">IFERROR(
  IF(OR(O2="",O2=0),
    "No calculado",
    IF(O2&gt;1,"Costo eficiente: se gasto menos de lo presupuestado",
      IF(O2=1,"Costo según lo presupuestado",
        "Costo ineficiente: se gasto más de lo presupuestado"))),
"No calculado")</f>
        <v>Costo ineficiente: se gasto más de lo presupuestado</v>
      </c>
      <c r="Q2" s="26">
        <f t="shared" ref="Q2:Q35" si="7">IFERROR(K2/L2,0)</f>
        <v>1</v>
      </c>
      <c r="R2" s="26" t="str">
        <f t="shared" ref="R2:R35" si="8">IF(OR(Q2="",Q2=0),"Sin Línea Base",
IF(Q2&gt;1,"Proyecto adelantado respecto al cronograma",
IF(Q2=1,"Proyecto a tiempo según lo planificado",
IF(Q2&lt;1,"Proyecto atrasado con respecto al cronograma",
"No calculado"))))</f>
        <v>Proyecto a tiempo según lo planificado</v>
      </c>
      <c r="S2" s="27">
        <f t="shared" ref="S2:S35" si="9">IFERROR(D2/O2,0)</f>
        <v>1337000924</v>
      </c>
      <c r="T2" s="27">
        <f t="shared" ref="T2:T35" si="10">IFERROR(S2-D2,0)</f>
        <v>564160588</v>
      </c>
      <c r="U2" s="157" t="str">
        <f>VLOOKUP(TablaIndicador34[[#This Row],[ProjectName]],[2]!Projects[[ProjectName]:[ProjectOwnerName]],3,0)</f>
        <v>Johan Sebastian Rodriguez Niño</v>
      </c>
    </row>
    <row r="3" spans="1:21" ht="18.75" customHeight="1" x14ac:dyDescent="0.25">
      <c r="A3" s="10">
        <v>2025</v>
      </c>
      <c r="B3" s="30" t="s">
        <v>384</v>
      </c>
      <c r="C3" s="30" t="str">
        <f>VLOOKUP(TablaIndicador34[[#This Row],[ProjectName]],TablaIndicador[[ProjectName]:[CentrodeCostosProyecto]],6,0)</f>
        <v>0382</v>
      </c>
      <c r="D3" s="138">
        <v>243037690</v>
      </c>
      <c r="E3" s="18">
        <v>45962</v>
      </c>
      <c r="F3" s="19">
        <v>45991</v>
      </c>
      <c r="G3" s="20">
        <f t="shared" si="0"/>
        <v>1</v>
      </c>
      <c r="H3" s="21">
        <v>1</v>
      </c>
      <c r="I3" s="21">
        <f>VLOOKUP(TablaIndicador34[[#This Row],[ProjectName]],Hoja3!T4:Y53,2,0)/100</f>
        <v>1</v>
      </c>
      <c r="J3" s="137">
        <v>491039241.54000002</v>
      </c>
      <c r="K3" s="24">
        <f t="shared" si="1"/>
        <v>243037690</v>
      </c>
      <c r="L3" s="24">
        <f t="shared" si="2"/>
        <v>243037690</v>
      </c>
      <c r="M3" s="24">
        <f t="shared" si="3"/>
        <v>-248001551.54000002</v>
      </c>
      <c r="N3" s="24">
        <f t="shared" si="4"/>
        <v>0</v>
      </c>
      <c r="O3" s="25">
        <f t="shared" si="5"/>
        <v>0.49494555514093708</v>
      </c>
      <c r="P3" s="26" t="str">
        <f t="shared" si="6"/>
        <v>Costo ineficiente: se gasto más de lo presupuestado</v>
      </c>
      <c r="Q3" s="26">
        <f t="shared" si="7"/>
        <v>1</v>
      </c>
      <c r="R3" s="26" t="str">
        <f t="shared" si="8"/>
        <v>Proyecto a tiempo según lo planificado</v>
      </c>
      <c r="S3" s="27">
        <f t="shared" si="9"/>
        <v>491039241.54000002</v>
      </c>
      <c r="T3" s="27">
        <f t="shared" si="10"/>
        <v>248001551.54000002</v>
      </c>
      <c r="U3" s="156" t="str">
        <f>VLOOKUP(TablaIndicador34[[#This Row],[ProjectName]],[2]!Projects[[ProjectName]:[ProjectOwnerName]],3,0)</f>
        <v>Lida Milena Rodriguez</v>
      </c>
    </row>
    <row r="4" spans="1:21" ht="18.75" customHeight="1" x14ac:dyDescent="0.25">
      <c r="A4" s="10">
        <v>2025</v>
      </c>
      <c r="B4" s="30" t="s">
        <v>326</v>
      </c>
      <c r="C4" s="30" t="str">
        <f>VLOOKUP(TablaIndicador34[[#This Row],[ProjectName]],TablaIndicador[[ProjectName]:[CentrodeCostosProyecto]],6,0)</f>
        <v>0376</v>
      </c>
      <c r="D4" s="138">
        <v>162301726</v>
      </c>
      <c r="E4" s="18">
        <v>45901</v>
      </c>
      <c r="F4" s="19">
        <v>46022</v>
      </c>
      <c r="G4" s="20">
        <f t="shared" si="0"/>
        <v>4</v>
      </c>
      <c r="H4" s="21">
        <v>1</v>
      </c>
      <c r="I4" s="21">
        <f>VLOOKUP(TablaIndicador34[[#This Row],[ProjectName]],Hoja3!T5:Y54,2,0)/100</f>
        <v>1</v>
      </c>
      <c r="J4" s="33">
        <v>278145426</v>
      </c>
      <c r="K4" s="24">
        <f t="shared" si="1"/>
        <v>162301726</v>
      </c>
      <c r="L4" s="24">
        <f t="shared" si="2"/>
        <v>162301726</v>
      </c>
      <c r="M4" s="24">
        <f t="shared" si="3"/>
        <v>-115843700</v>
      </c>
      <c r="N4" s="24">
        <f t="shared" si="4"/>
        <v>0</v>
      </c>
      <c r="O4" s="25">
        <f t="shared" si="5"/>
        <v>0.58351391332964075</v>
      </c>
      <c r="P4" s="26" t="str">
        <f t="shared" si="6"/>
        <v>Costo ineficiente: se gasto más de lo presupuestado</v>
      </c>
      <c r="Q4" s="26">
        <f t="shared" si="7"/>
        <v>1</v>
      </c>
      <c r="R4" s="26" t="str">
        <f t="shared" si="8"/>
        <v>Proyecto a tiempo según lo planificado</v>
      </c>
      <c r="S4" s="27">
        <f t="shared" si="9"/>
        <v>278145426</v>
      </c>
      <c r="T4" s="27">
        <f t="shared" si="10"/>
        <v>115843700</v>
      </c>
      <c r="U4" s="156" t="str">
        <f>VLOOKUP(TablaIndicador34[[#This Row],[ProjectName]],[2]!Projects[[ProjectName]:[ProjectOwnerName]],3,0)</f>
        <v>Johan Sebastian Rodriguez Niño</v>
      </c>
    </row>
    <row r="5" spans="1:21" ht="18.75" customHeight="1" x14ac:dyDescent="0.25">
      <c r="A5" s="10">
        <v>2025</v>
      </c>
      <c r="B5" s="30" t="s">
        <v>321</v>
      </c>
      <c r="C5" s="30" t="str">
        <f>VLOOKUP(TablaIndicador34[[#This Row],[ProjectName]],TablaIndicador[[ProjectName]:[CentrodeCostosProyecto]],6,0)</f>
        <v>0375</v>
      </c>
      <c r="D5" s="138">
        <v>5018888965</v>
      </c>
      <c r="E5" s="18">
        <v>45870</v>
      </c>
      <c r="F5" s="19">
        <v>46022</v>
      </c>
      <c r="G5" s="20">
        <f t="shared" si="0"/>
        <v>5</v>
      </c>
      <c r="H5" s="21">
        <v>1</v>
      </c>
      <c r="I5" s="21">
        <f>VLOOKUP(TablaIndicador34[[#This Row],[ProjectName]],Hoja3!T6:Y55,2,0)/100</f>
        <v>0.99</v>
      </c>
      <c r="J5" s="33">
        <v>15277118459.960001</v>
      </c>
      <c r="K5" s="24">
        <f t="shared" si="1"/>
        <v>4968700075.3500004</v>
      </c>
      <c r="L5" s="24">
        <f t="shared" si="2"/>
        <v>5018888965</v>
      </c>
      <c r="M5" s="24">
        <f t="shared" si="3"/>
        <v>-10308418384.610001</v>
      </c>
      <c r="N5" s="24">
        <f t="shared" si="4"/>
        <v>-50188889.649999619</v>
      </c>
      <c r="O5" s="25">
        <f t="shared" si="5"/>
        <v>0.32523804069285261</v>
      </c>
      <c r="P5" s="26" t="str">
        <f t="shared" si="6"/>
        <v>Costo ineficiente: se gasto más de lo presupuestado</v>
      </c>
      <c r="Q5" s="26">
        <f t="shared" si="7"/>
        <v>0.9900000000000001</v>
      </c>
      <c r="R5" s="26" t="str">
        <f t="shared" si="8"/>
        <v>Proyecto atrasado con respecto al cronograma</v>
      </c>
      <c r="S5" s="27">
        <f t="shared" si="9"/>
        <v>15431432787.838383</v>
      </c>
      <c r="T5" s="27">
        <f t="shared" si="10"/>
        <v>10412543822.838383</v>
      </c>
      <c r="U5" s="156" t="str">
        <f>VLOOKUP(TablaIndicador34[[#This Row],[ProjectName]],[2]!Projects[[ProjectName]:[ProjectOwnerName]],3,0)</f>
        <v>Mario Andres Pirachican Gil</v>
      </c>
    </row>
    <row r="6" spans="1:21" ht="18.75" customHeight="1" x14ac:dyDescent="0.25">
      <c r="A6" s="10">
        <v>2025</v>
      </c>
      <c r="B6" s="30" t="s">
        <v>299</v>
      </c>
      <c r="C6" s="30" t="str">
        <f>VLOOKUP(TablaIndicador34[[#This Row],[ProjectName]],TablaIndicador[[ProjectName]:[CentrodeCostosProyecto]],6,0)</f>
        <v>0370</v>
      </c>
      <c r="D6" s="138">
        <v>589176956</v>
      </c>
      <c r="E6" s="18">
        <v>45834</v>
      </c>
      <c r="F6" s="19">
        <v>46006</v>
      </c>
      <c r="G6" s="20">
        <f t="shared" si="0"/>
        <v>6</v>
      </c>
      <c r="H6" s="21">
        <v>1</v>
      </c>
      <c r="I6" s="21">
        <f>VLOOKUP(TablaIndicador34[[#This Row],[ProjectName]],Hoja3!T7:Y56,2,0)/100</f>
        <v>1</v>
      </c>
      <c r="J6" s="33">
        <v>943953076.31999993</v>
      </c>
      <c r="K6" s="24">
        <f t="shared" si="1"/>
        <v>589176956</v>
      </c>
      <c r="L6" s="24">
        <f t="shared" si="2"/>
        <v>589176956</v>
      </c>
      <c r="M6" s="24">
        <f t="shared" si="3"/>
        <v>-354776120.31999993</v>
      </c>
      <c r="N6" s="24">
        <f t="shared" si="4"/>
        <v>0</v>
      </c>
      <c r="O6" s="25">
        <f t="shared" si="5"/>
        <v>0.62415915661497257</v>
      </c>
      <c r="P6" s="26" t="str">
        <f t="shared" si="6"/>
        <v>Costo ineficiente: se gasto más de lo presupuestado</v>
      </c>
      <c r="Q6" s="26">
        <f t="shared" si="7"/>
        <v>1</v>
      </c>
      <c r="R6" s="26" t="str">
        <f t="shared" si="8"/>
        <v>Proyecto a tiempo según lo planificado</v>
      </c>
      <c r="S6" s="27">
        <f t="shared" si="9"/>
        <v>943953076.31999993</v>
      </c>
      <c r="T6" s="27">
        <f t="shared" si="10"/>
        <v>354776120.31999993</v>
      </c>
      <c r="U6" s="156" t="str">
        <f>VLOOKUP(TablaIndicador34[[#This Row],[ProjectName]],[2]!Projects[[ProjectName]:[ProjectOwnerName]],3,0)</f>
        <v>Leidy Susana Ramirez Herrera</v>
      </c>
    </row>
    <row r="7" spans="1:21" ht="18.75" customHeight="1" x14ac:dyDescent="0.25">
      <c r="A7" s="10">
        <v>2025</v>
      </c>
      <c r="B7" s="30" t="s">
        <v>265</v>
      </c>
      <c r="C7" s="30" t="str">
        <f>VLOOKUP(TablaIndicador34[[#This Row],[ProjectName]],TablaIndicador[[ProjectName]:[CentrodeCostosProyecto]],6,0)</f>
        <v>0360</v>
      </c>
      <c r="D7" s="138">
        <v>2873641115</v>
      </c>
      <c r="E7" s="18">
        <v>45705</v>
      </c>
      <c r="F7" s="19">
        <v>46129</v>
      </c>
      <c r="G7" s="20">
        <f t="shared" si="0"/>
        <v>15</v>
      </c>
      <c r="H7" s="21">
        <v>1</v>
      </c>
      <c r="I7" s="21">
        <f>VLOOKUP(TablaIndicador34[[#This Row],[ProjectName]],Hoja3!T8:Y57,2,0)/100</f>
        <v>0.99</v>
      </c>
      <c r="J7" s="33">
        <v>-1470984928.3000004</v>
      </c>
      <c r="K7" s="24">
        <f t="shared" si="1"/>
        <v>2844904703.8499999</v>
      </c>
      <c r="L7" s="24">
        <f t="shared" si="2"/>
        <v>2873641115</v>
      </c>
      <c r="M7" s="24">
        <f t="shared" si="3"/>
        <v>4315889632.1500006</v>
      </c>
      <c r="N7" s="24">
        <f t="shared" si="4"/>
        <v>-28736411.150000095</v>
      </c>
      <c r="O7" s="25">
        <f t="shared" si="5"/>
        <v>-1.9340134960715214</v>
      </c>
      <c r="P7" s="26" t="str">
        <f t="shared" si="6"/>
        <v>Costo ineficiente: se gasto más de lo presupuestado</v>
      </c>
      <c r="Q7" s="26">
        <f t="shared" si="7"/>
        <v>0.99</v>
      </c>
      <c r="R7" s="26" t="str">
        <f t="shared" si="8"/>
        <v>Proyecto atrasado con respecto al cronograma</v>
      </c>
      <c r="S7" s="27">
        <f t="shared" si="9"/>
        <v>-1485843361.9191923</v>
      </c>
      <c r="T7" s="27">
        <f t="shared" si="10"/>
        <v>-4359484476.9191923</v>
      </c>
      <c r="U7" s="156" t="str">
        <f>VLOOKUP(TablaIndicador34[[#This Row],[ProjectName]],[2]!Projects[[ProjectName]:[ProjectOwnerName]],3,0)</f>
        <v>Diego Armando Giraldo Pachecho</v>
      </c>
    </row>
    <row r="8" spans="1:21" ht="18.75" customHeight="1" x14ac:dyDescent="0.25">
      <c r="A8" s="10">
        <v>2025</v>
      </c>
      <c r="B8" s="30" t="s">
        <v>260</v>
      </c>
      <c r="C8" s="30" t="str">
        <f>VLOOKUP(TablaIndicador34[[#This Row],[ProjectName]],TablaIndicador[[ProjectName]:[CentrodeCostosProyecto]],6,0)</f>
        <v>0361</v>
      </c>
      <c r="D8" s="138">
        <v>40504918</v>
      </c>
      <c r="E8" s="18">
        <v>45689</v>
      </c>
      <c r="F8" s="19">
        <v>45716</v>
      </c>
      <c r="G8" s="20">
        <f t="shared" si="0"/>
        <v>1</v>
      </c>
      <c r="H8" s="21">
        <v>1</v>
      </c>
      <c r="I8" s="21">
        <f>VLOOKUP(TablaIndicador34[[#This Row],[ProjectName]],Hoja3!T9:Y58,2,0)/100</f>
        <v>1</v>
      </c>
      <c r="J8" s="33">
        <v>32185063.149999999</v>
      </c>
      <c r="K8" s="24">
        <f t="shared" si="1"/>
        <v>40504918</v>
      </c>
      <c r="L8" s="24">
        <f t="shared" si="2"/>
        <v>40504918</v>
      </c>
      <c r="M8" s="24">
        <f t="shared" si="3"/>
        <v>8319854.8500000015</v>
      </c>
      <c r="N8" s="24">
        <f t="shared" si="4"/>
        <v>0</v>
      </c>
      <c r="O8" s="25">
        <f t="shared" si="5"/>
        <v>1.2585004979242989</v>
      </c>
      <c r="P8" s="26" t="str">
        <f t="shared" si="6"/>
        <v>Costo eficiente: se gasto menos de lo presupuestado</v>
      </c>
      <c r="Q8" s="26">
        <f t="shared" si="7"/>
        <v>1</v>
      </c>
      <c r="R8" s="26" t="str">
        <f t="shared" si="8"/>
        <v>Proyecto a tiempo según lo planificado</v>
      </c>
      <c r="S8" s="27">
        <f t="shared" si="9"/>
        <v>32185063.149999999</v>
      </c>
      <c r="T8" s="27">
        <f t="shared" si="10"/>
        <v>-8319854.8500000015</v>
      </c>
      <c r="U8" s="156" t="str">
        <f>VLOOKUP(TablaIndicador34[[#This Row],[ProjectName]],[2]!Projects[[ProjectName]:[ProjectOwnerName]],3,0)</f>
        <v>Carlos Alberto Osorio Ortiz</v>
      </c>
    </row>
    <row r="9" spans="1:21" ht="18.75" customHeight="1" x14ac:dyDescent="0.25">
      <c r="A9" s="10">
        <v>2025</v>
      </c>
      <c r="B9" s="30" t="s">
        <v>250</v>
      </c>
      <c r="C9" s="30" t="str">
        <f>VLOOKUP(TablaIndicador34[[#This Row],[ProjectName]],TablaIndicador[[ProjectName]:[CentrodeCostosProyecto]],6,0)</f>
        <v>0359</v>
      </c>
      <c r="D9" s="138">
        <v>503460622</v>
      </c>
      <c r="E9" s="18">
        <v>45689</v>
      </c>
      <c r="F9" s="19">
        <v>45716</v>
      </c>
      <c r="G9" s="20">
        <f t="shared" si="0"/>
        <v>1</v>
      </c>
      <c r="H9" s="21">
        <v>1</v>
      </c>
      <c r="I9" s="21">
        <f>VLOOKUP(TablaIndicador34[[#This Row],[ProjectName]],Hoja3!T10:Y59,2,0)/100</f>
        <v>1</v>
      </c>
      <c r="J9" s="33">
        <v>438736071.81999999</v>
      </c>
      <c r="K9" s="24">
        <f t="shared" si="1"/>
        <v>503460622</v>
      </c>
      <c r="L9" s="24">
        <f t="shared" si="2"/>
        <v>503460622</v>
      </c>
      <c r="M9" s="24">
        <f t="shared" si="3"/>
        <v>64724550.180000007</v>
      </c>
      <c r="N9" s="24">
        <f t="shared" si="4"/>
        <v>0</v>
      </c>
      <c r="O9" s="25">
        <f t="shared" si="5"/>
        <v>1.1475250254931273</v>
      </c>
      <c r="P9" s="26" t="str">
        <f t="shared" si="6"/>
        <v>Costo eficiente: se gasto menos de lo presupuestado</v>
      </c>
      <c r="Q9" s="26">
        <f t="shared" si="7"/>
        <v>1</v>
      </c>
      <c r="R9" s="26" t="str">
        <f t="shared" si="8"/>
        <v>Proyecto a tiempo según lo planificado</v>
      </c>
      <c r="S9" s="27">
        <f t="shared" si="9"/>
        <v>438736071.81999999</v>
      </c>
      <c r="T9" s="27">
        <f t="shared" si="10"/>
        <v>-64724550.180000007</v>
      </c>
      <c r="U9" s="156" t="str">
        <f>VLOOKUP(TablaIndicador34[[#This Row],[ProjectName]],[2]!Projects[[ProjectName]:[ProjectOwnerName]],3,0)</f>
        <v>Carlos Alberto Osorio Ortiz</v>
      </c>
    </row>
    <row r="10" spans="1:21" ht="18.75" customHeight="1" x14ac:dyDescent="0.25">
      <c r="A10" s="10">
        <v>2024</v>
      </c>
      <c r="B10" s="30" t="s">
        <v>245</v>
      </c>
      <c r="C10" s="30" t="str">
        <f>VLOOKUP(TablaIndicador34[[#This Row],[ProjectName]],TablaIndicador[[ProjectName]:[CentrodeCostosProyecto]],6,0)</f>
        <v>0356</v>
      </c>
      <c r="D10" s="138">
        <v>40327077</v>
      </c>
      <c r="E10" s="18">
        <v>45627</v>
      </c>
      <c r="F10" s="19">
        <v>45657</v>
      </c>
      <c r="G10" s="20">
        <f t="shared" si="0"/>
        <v>1</v>
      </c>
      <c r="H10" s="21">
        <v>1</v>
      </c>
      <c r="I10" s="21">
        <f>VLOOKUP(TablaIndicador34[[#This Row],[ProjectName]],Hoja3!T11:Y60,2,0)/100</f>
        <v>1</v>
      </c>
      <c r="J10" s="33">
        <v>9339970.6500000004</v>
      </c>
      <c r="K10" s="24">
        <f t="shared" si="1"/>
        <v>40327077</v>
      </c>
      <c r="L10" s="24">
        <f t="shared" si="2"/>
        <v>40327077</v>
      </c>
      <c r="M10" s="24">
        <f t="shared" si="3"/>
        <v>30987106.350000001</v>
      </c>
      <c r="N10" s="24">
        <f t="shared" si="4"/>
        <v>0</v>
      </c>
      <c r="O10" s="25">
        <f t="shared" si="5"/>
        <v>4.3176877648967773</v>
      </c>
      <c r="P10" s="26" t="str">
        <f t="shared" si="6"/>
        <v>Costo eficiente: se gasto menos de lo presupuestado</v>
      </c>
      <c r="Q10" s="26">
        <f t="shared" si="7"/>
        <v>1</v>
      </c>
      <c r="R10" s="26" t="str">
        <f t="shared" si="8"/>
        <v>Proyecto a tiempo según lo planificado</v>
      </c>
      <c r="S10" s="27">
        <f t="shared" si="9"/>
        <v>9339970.6500000004</v>
      </c>
      <c r="T10" s="27">
        <f t="shared" si="10"/>
        <v>-30987106.350000001</v>
      </c>
      <c r="U10" s="156" t="str">
        <f>VLOOKUP(TablaIndicador34[[#This Row],[ProjectName]],[2]!Projects[[ProjectName]:[ProjectOwnerName]],3,0)</f>
        <v>Carlos Alberto Osorio Ortiz</v>
      </c>
    </row>
    <row r="11" spans="1:21" ht="18.75" customHeight="1" x14ac:dyDescent="0.25">
      <c r="A11" s="10">
        <v>2024</v>
      </c>
      <c r="B11" s="30" t="s">
        <v>234</v>
      </c>
      <c r="C11" s="30" t="str">
        <f>VLOOKUP(TablaIndicador34[[#This Row],[ProjectName]],TablaIndicador[[ProjectName]:[CentrodeCostosProyecto]],6,0)</f>
        <v>0354</v>
      </c>
      <c r="D11" s="138">
        <v>55501215</v>
      </c>
      <c r="E11" s="18">
        <v>45642</v>
      </c>
      <c r="F11" s="19">
        <v>45657</v>
      </c>
      <c r="G11" s="20">
        <f t="shared" si="0"/>
        <v>1</v>
      </c>
      <c r="H11" s="21">
        <v>1</v>
      </c>
      <c r="I11" s="21">
        <f>VLOOKUP(TablaIndicador34[[#This Row],[ProjectName]],Hoja3!T13:Y62,2,0)/100</f>
        <v>1</v>
      </c>
      <c r="J11" s="33">
        <v>373794.95</v>
      </c>
      <c r="K11" s="24">
        <f t="shared" si="1"/>
        <v>55501215</v>
      </c>
      <c r="L11" s="24">
        <f t="shared" si="2"/>
        <v>55501215</v>
      </c>
      <c r="M11" s="24">
        <f t="shared" si="3"/>
        <v>55127420.049999997</v>
      </c>
      <c r="N11" s="24">
        <f t="shared" si="4"/>
        <v>0</v>
      </c>
      <c r="O11" s="25">
        <f t="shared" si="5"/>
        <v>148.48037674131231</v>
      </c>
      <c r="P11" s="26" t="str">
        <f t="shared" si="6"/>
        <v>Costo eficiente: se gasto menos de lo presupuestado</v>
      </c>
      <c r="Q11" s="26">
        <f t="shared" si="7"/>
        <v>1</v>
      </c>
      <c r="R11" s="26" t="str">
        <f t="shared" si="8"/>
        <v>Proyecto a tiempo según lo planificado</v>
      </c>
      <c r="S11" s="27">
        <f t="shared" si="9"/>
        <v>373794.95</v>
      </c>
      <c r="T11" s="27">
        <f t="shared" si="10"/>
        <v>-55127420.049999997</v>
      </c>
      <c r="U11" s="156" t="str">
        <f>VLOOKUP(TablaIndicador34[[#This Row],[ProjectName]],[2]!Projects[[ProjectName]:[ProjectOwnerName]],3,0)</f>
        <v>Leidy Susana Ramirez Herrera</v>
      </c>
    </row>
    <row r="12" spans="1:21" ht="18.75" customHeight="1" x14ac:dyDescent="0.25">
      <c r="A12" s="10">
        <v>2024</v>
      </c>
      <c r="B12" s="30" t="s">
        <v>224</v>
      </c>
      <c r="C12" s="30" t="str">
        <f>VLOOKUP(TablaIndicador34[[#This Row],[ProjectName]],TablaIndicador[[ProjectName]:[CentrodeCostosProyecto]],6,0)</f>
        <v>0353</v>
      </c>
      <c r="D12" s="138">
        <v>410789543</v>
      </c>
      <c r="E12" s="18">
        <v>45536</v>
      </c>
      <c r="F12" s="19">
        <v>45597</v>
      </c>
      <c r="G12" s="20">
        <f t="shared" si="0"/>
        <v>3</v>
      </c>
      <c r="H12" s="21">
        <v>1</v>
      </c>
      <c r="I12" s="21">
        <f>VLOOKUP(TablaIndicador34[[#This Row],[ProjectName]],Hoja3!T14:Y63,2,0)/100</f>
        <v>1</v>
      </c>
      <c r="J12" s="33">
        <v>40379724.340000004</v>
      </c>
      <c r="K12" s="24">
        <f t="shared" si="1"/>
        <v>410789543</v>
      </c>
      <c r="L12" s="24">
        <f t="shared" si="2"/>
        <v>410789543</v>
      </c>
      <c r="M12" s="24">
        <f t="shared" si="3"/>
        <v>370409818.65999997</v>
      </c>
      <c r="N12" s="24">
        <f t="shared" si="4"/>
        <v>0</v>
      </c>
      <c r="O12" s="25">
        <f t="shared" si="5"/>
        <v>10.173163628882762</v>
      </c>
      <c r="P12" s="26" t="str">
        <f t="shared" si="6"/>
        <v>Costo eficiente: se gasto menos de lo presupuestado</v>
      </c>
      <c r="Q12" s="26">
        <f t="shared" si="7"/>
        <v>1</v>
      </c>
      <c r="R12" s="26" t="str">
        <f t="shared" si="8"/>
        <v>Proyecto a tiempo según lo planificado</v>
      </c>
      <c r="S12" s="27">
        <f t="shared" si="9"/>
        <v>40379724.340000004</v>
      </c>
      <c r="T12" s="27">
        <f t="shared" si="10"/>
        <v>-370409818.65999997</v>
      </c>
      <c r="U12" s="156" t="str">
        <f>VLOOKUP(TablaIndicador34[[#This Row],[ProjectName]],[2]!Projects[[ProjectName]:[ProjectOwnerName]],3,0)</f>
        <v>Rodrigo Alexander Ramirez Ospina</v>
      </c>
    </row>
    <row r="13" spans="1:21" ht="18.75" customHeight="1" x14ac:dyDescent="0.25">
      <c r="A13" s="10">
        <v>2024</v>
      </c>
      <c r="B13" s="60" t="s">
        <v>219</v>
      </c>
      <c r="C13" s="60" t="str">
        <f>VLOOKUP(TablaIndicador34[[#This Row],[ProjectName]],TablaIndicador[[ProjectName]:[CentrodeCostosProyecto]],6,0)</f>
        <v>0348</v>
      </c>
      <c r="D13" s="139">
        <v>7049000</v>
      </c>
      <c r="E13" s="140">
        <v>45536</v>
      </c>
      <c r="F13" s="141">
        <v>45565</v>
      </c>
      <c r="G13" s="142">
        <f t="shared" si="0"/>
        <v>1</v>
      </c>
      <c r="H13" s="21">
        <v>1</v>
      </c>
      <c r="I13" s="143">
        <f>VLOOKUP(TablaIndicador34[[#This Row],[ProjectName]],Hoja3!T15:Y64,2,0)/100</f>
        <v>1</v>
      </c>
      <c r="J13" s="144">
        <v>7297</v>
      </c>
      <c r="K13" s="24">
        <f t="shared" si="1"/>
        <v>7049000</v>
      </c>
      <c r="L13" s="24">
        <f t="shared" si="2"/>
        <v>7049000</v>
      </c>
      <c r="M13" s="24">
        <f t="shared" si="3"/>
        <v>7041703</v>
      </c>
      <c r="N13" s="24">
        <f t="shared" si="4"/>
        <v>0</v>
      </c>
      <c r="O13" s="25">
        <f t="shared" si="5"/>
        <v>966.01343017678494</v>
      </c>
      <c r="P13" s="26" t="str">
        <f t="shared" si="6"/>
        <v>Costo eficiente: se gasto menos de lo presupuestado</v>
      </c>
      <c r="Q13" s="26">
        <f t="shared" si="7"/>
        <v>1</v>
      </c>
      <c r="R13" s="26" t="str">
        <f t="shared" si="8"/>
        <v>Proyecto a tiempo según lo planificado</v>
      </c>
      <c r="S13" s="27">
        <f t="shared" si="9"/>
        <v>7297</v>
      </c>
      <c r="T13" s="27">
        <f t="shared" si="10"/>
        <v>-7041703</v>
      </c>
      <c r="U13" s="156" t="str">
        <f>VLOOKUP(TablaIndicador34[[#This Row],[ProjectName]],[2]!Projects[[ProjectName]:[ProjectOwnerName]],3,0)</f>
        <v>Rodrigo Alexander Ramirez Ospina</v>
      </c>
    </row>
    <row r="14" spans="1:21" ht="18.75" customHeight="1" x14ac:dyDescent="0.25">
      <c r="A14" s="10">
        <v>2024</v>
      </c>
      <c r="B14" s="30" t="s">
        <v>214</v>
      </c>
      <c r="C14" s="30" t="str">
        <f>VLOOKUP(TablaIndicador34[[#This Row],[ProjectName]],TablaIndicador[[ProjectName]:[CentrodeCostosProyecto]],6,0)</f>
        <v>0351</v>
      </c>
      <c r="D14" s="138">
        <f>788895875+604034946</f>
        <v>1392930821</v>
      </c>
      <c r="E14" s="18">
        <v>45597</v>
      </c>
      <c r="F14" s="19">
        <v>46295</v>
      </c>
      <c r="G14" s="20">
        <f t="shared" si="0"/>
        <v>23</v>
      </c>
      <c r="H14" s="21">
        <v>1</v>
      </c>
      <c r="I14" s="21">
        <f>VLOOKUP(TablaIndicador34[[#This Row],[ProjectName]],Hoja3!T16:Y65,2,0)/100</f>
        <v>0.81</v>
      </c>
      <c r="J14" s="38">
        <v>1561321186.1900001</v>
      </c>
      <c r="K14" s="24">
        <f t="shared" si="1"/>
        <v>1128273965.01</v>
      </c>
      <c r="L14" s="24">
        <f t="shared" si="2"/>
        <v>1392930821</v>
      </c>
      <c r="M14" s="24">
        <f t="shared" si="3"/>
        <v>-433047221.18000007</v>
      </c>
      <c r="N14" s="24">
        <f t="shared" si="4"/>
        <v>-264656855.99000001</v>
      </c>
      <c r="O14" s="25">
        <f t="shared" si="5"/>
        <v>0.72264052713155091</v>
      </c>
      <c r="P14" s="26" t="str">
        <f t="shared" si="6"/>
        <v>Costo ineficiente: se gasto más de lo presupuestado</v>
      </c>
      <c r="Q14" s="26">
        <f t="shared" si="7"/>
        <v>0.80999999999999994</v>
      </c>
      <c r="R14" s="26" t="str">
        <f t="shared" si="8"/>
        <v>Proyecto atrasado con respecto al cronograma</v>
      </c>
      <c r="S14" s="27">
        <f t="shared" si="9"/>
        <v>1927557019.9876544</v>
      </c>
      <c r="T14" s="27">
        <f t="shared" si="10"/>
        <v>534626198.98765445</v>
      </c>
      <c r="U14" s="156" t="str">
        <f>VLOOKUP(TablaIndicador34[[#This Row],[ProjectName]],[2]!Projects[[ProjectName]:[ProjectOwnerName]],3,0)</f>
        <v>Johan Sebastian Rodriguez Niño</v>
      </c>
    </row>
    <row r="15" spans="1:21" ht="18.75" customHeight="1" x14ac:dyDescent="0.25">
      <c r="A15" s="10">
        <v>2024</v>
      </c>
      <c r="B15" s="30" t="s">
        <v>209</v>
      </c>
      <c r="C15" s="30" t="str">
        <f>VLOOKUP(TablaIndicador34[[#This Row],[ProjectName]],TablaIndicador[[ProjectName]:[CentrodeCostosProyecto]],6,0)</f>
        <v>0350</v>
      </c>
      <c r="D15" s="138">
        <v>219060050</v>
      </c>
      <c r="E15" s="18">
        <v>45597</v>
      </c>
      <c r="F15" s="19">
        <v>45657</v>
      </c>
      <c r="G15" s="20">
        <f t="shared" si="0"/>
        <v>2</v>
      </c>
      <c r="H15" s="21">
        <v>1</v>
      </c>
      <c r="I15" s="21">
        <f>VLOOKUP(TablaIndicador34[[#This Row],[ProjectName]],Hoja3!T17:Y66,2,0)/100</f>
        <v>1</v>
      </c>
      <c r="J15" s="23">
        <v>5626927</v>
      </c>
      <c r="K15" s="24">
        <f t="shared" si="1"/>
        <v>219060050</v>
      </c>
      <c r="L15" s="24">
        <f t="shared" si="2"/>
        <v>219060050</v>
      </c>
      <c r="M15" s="24">
        <f t="shared" si="3"/>
        <v>213433123</v>
      </c>
      <c r="N15" s="24">
        <f t="shared" si="4"/>
        <v>0</v>
      </c>
      <c r="O15" s="25">
        <f t="shared" si="5"/>
        <v>38.930672105751505</v>
      </c>
      <c r="P15" s="26" t="str">
        <f t="shared" si="6"/>
        <v>Costo eficiente: se gasto menos de lo presupuestado</v>
      </c>
      <c r="Q15" s="26">
        <f t="shared" si="7"/>
        <v>1</v>
      </c>
      <c r="R15" s="26" t="str">
        <f t="shared" si="8"/>
        <v>Proyecto a tiempo según lo planificado</v>
      </c>
      <c r="S15" s="27">
        <f t="shared" si="9"/>
        <v>5626927</v>
      </c>
      <c r="T15" s="27">
        <f t="shared" si="10"/>
        <v>-213433123</v>
      </c>
      <c r="U15" s="156" t="str">
        <f>VLOOKUP(TablaIndicador34[[#This Row],[ProjectName]],[2]!Projects[[ProjectName]:[ProjectOwnerName]],3,0)</f>
        <v>Mario Andres Pirachican Gil</v>
      </c>
    </row>
    <row r="16" spans="1:21" ht="18.75" customHeight="1" x14ac:dyDescent="0.25">
      <c r="A16" s="10">
        <v>2024</v>
      </c>
      <c r="B16" s="30" t="s">
        <v>513</v>
      </c>
      <c r="C16" s="30" t="e">
        <f>VLOOKUP(TablaIndicador34[[#This Row],[ProjectName]],TablaIndicador[[ProjectName]:[CentrodeCostosProyecto]],6,0)</f>
        <v>#N/A</v>
      </c>
      <c r="D16" s="138">
        <f>3587394229+157327090</f>
        <v>3744721319</v>
      </c>
      <c r="E16" s="18">
        <v>45581</v>
      </c>
      <c r="F16" s="19">
        <v>45672</v>
      </c>
      <c r="G16" s="20">
        <f t="shared" si="0"/>
        <v>3</v>
      </c>
      <c r="H16" s="21">
        <v>1</v>
      </c>
      <c r="I16" s="21">
        <f>VLOOKUP(TablaIndicador34[[#This Row],[ProjectName]],Hoja3!T19:Y68,2,0)/100</f>
        <v>0.98</v>
      </c>
      <c r="J16" s="33">
        <v>2243125938.1600003</v>
      </c>
      <c r="K16" s="24">
        <f t="shared" si="1"/>
        <v>3669826892.6199999</v>
      </c>
      <c r="L16" s="24">
        <f t="shared" si="2"/>
        <v>3744721319</v>
      </c>
      <c r="M16" s="24">
        <f t="shared" si="3"/>
        <v>1426700954.4599996</v>
      </c>
      <c r="N16" s="24">
        <f t="shared" si="4"/>
        <v>-74894426.380000114</v>
      </c>
      <c r="O16" s="25">
        <f t="shared" si="5"/>
        <v>1.6360324804724513</v>
      </c>
      <c r="P16" s="26" t="str">
        <f t="shared" si="6"/>
        <v>Costo eficiente: se gasto menos de lo presupuestado</v>
      </c>
      <c r="Q16" s="26">
        <f t="shared" si="7"/>
        <v>0.98</v>
      </c>
      <c r="R16" s="26" t="str">
        <f t="shared" si="8"/>
        <v>Proyecto atrasado con respecto al cronograma</v>
      </c>
      <c r="S16" s="27">
        <f t="shared" si="9"/>
        <v>2288904018.5306129</v>
      </c>
      <c r="T16" s="27">
        <f t="shared" si="10"/>
        <v>-1455817300.4693871</v>
      </c>
      <c r="U16" s="156" t="str">
        <f>VLOOKUP(TablaIndicador34[[#This Row],[ProjectName]],[2]!Projects[[ProjectName]:[ProjectOwnerName]],3,0)</f>
        <v>Marlon Fabian Moreno Buitrago</v>
      </c>
    </row>
    <row r="17" spans="1:21" ht="18.75" customHeight="1" x14ac:dyDescent="0.25">
      <c r="A17" s="10">
        <v>2024</v>
      </c>
      <c r="B17" s="30" t="s">
        <v>515</v>
      </c>
      <c r="C17" s="30" t="e">
        <f>VLOOKUP(TablaIndicador34[[#This Row],[ProjectName]],TablaIndicador[[ProjectName]:[CentrodeCostosProyecto]],6,0)</f>
        <v>#N/A</v>
      </c>
      <c r="D17" s="138">
        <v>183312819</v>
      </c>
      <c r="E17" s="18">
        <v>45581</v>
      </c>
      <c r="F17" s="19">
        <v>45626</v>
      </c>
      <c r="G17" s="20">
        <f t="shared" si="0"/>
        <v>2</v>
      </c>
      <c r="H17" s="21">
        <v>1</v>
      </c>
      <c r="I17" s="21">
        <f>VLOOKUP(TablaIndicador34[[#This Row],[ProjectName]],Hoja3!T21:Y70,2,0)/100</f>
        <v>1</v>
      </c>
      <c r="J17" s="23">
        <v>11817586.1</v>
      </c>
      <c r="K17" s="24">
        <f t="shared" si="1"/>
        <v>183312819</v>
      </c>
      <c r="L17" s="24">
        <f t="shared" si="2"/>
        <v>183312819</v>
      </c>
      <c r="M17" s="24">
        <f t="shared" si="3"/>
        <v>171495232.90000001</v>
      </c>
      <c r="N17" s="24">
        <f t="shared" si="4"/>
        <v>0</v>
      </c>
      <c r="O17" s="25">
        <f t="shared" si="5"/>
        <v>15.511866590081372</v>
      </c>
      <c r="P17" s="26" t="str">
        <f t="shared" si="6"/>
        <v>Costo eficiente: se gasto menos de lo presupuestado</v>
      </c>
      <c r="Q17" s="26">
        <f t="shared" si="7"/>
        <v>1</v>
      </c>
      <c r="R17" s="26" t="str">
        <f t="shared" si="8"/>
        <v>Proyecto a tiempo según lo planificado</v>
      </c>
      <c r="S17" s="27">
        <f t="shared" si="9"/>
        <v>11817586.1</v>
      </c>
      <c r="T17" s="27">
        <f t="shared" si="10"/>
        <v>-171495232.90000001</v>
      </c>
      <c r="U17" s="156" t="str">
        <f>VLOOKUP(TablaIndicador34[[#This Row],[ProjectName]],[2]!Projects[[ProjectName]:[ProjectOwnerName]],3,0)</f>
        <v>Janeth Annelise Araujo Ramos</v>
      </c>
    </row>
    <row r="18" spans="1:21" ht="18.75" customHeight="1" x14ac:dyDescent="0.25">
      <c r="A18" s="10">
        <v>2024</v>
      </c>
      <c r="B18" s="30" t="s">
        <v>194</v>
      </c>
      <c r="C18" s="30" t="str">
        <f>VLOOKUP(TablaIndicador34[[#This Row],[ProjectName]],TablaIndicador[[ProjectName]:[CentrodeCostosProyecto]],6,0)</f>
        <v>0343</v>
      </c>
      <c r="D18" s="138">
        <v>319021846</v>
      </c>
      <c r="E18" s="18">
        <v>45566</v>
      </c>
      <c r="F18" s="19">
        <v>45641</v>
      </c>
      <c r="G18" s="20">
        <f t="shared" si="0"/>
        <v>3</v>
      </c>
      <c r="H18" s="21">
        <v>1</v>
      </c>
      <c r="I18" s="21">
        <f>VLOOKUP(TablaIndicador34[[#This Row],[ProjectName]],Hoja3!T23:Y72,2,0)/100</f>
        <v>1</v>
      </c>
      <c r="J18" s="33">
        <v>136787862.08999997</v>
      </c>
      <c r="K18" s="24">
        <f t="shared" si="1"/>
        <v>319021846</v>
      </c>
      <c r="L18" s="24">
        <f t="shared" si="2"/>
        <v>319021846</v>
      </c>
      <c r="M18" s="24">
        <f t="shared" si="3"/>
        <v>182233983.91000003</v>
      </c>
      <c r="N18" s="24">
        <f t="shared" si="4"/>
        <v>0</v>
      </c>
      <c r="O18" s="25">
        <f t="shared" si="5"/>
        <v>2.3322379714517258</v>
      </c>
      <c r="P18" s="26" t="str">
        <f t="shared" si="6"/>
        <v>Costo eficiente: se gasto menos de lo presupuestado</v>
      </c>
      <c r="Q18" s="26">
        <f t="shared" si="7"/>
        <v>1</v>
      </c>
      <c r="R18" s="26" t="str">
        <f t="shared" si="8"/>
        <v>Proyecto a tiempo según lo planificado</v>
      </c>
      <c r="S18" s="27">
        <f t="shared" si="9"/>
        <v>136787862.08999997</v>
      </c>
      <c r="T18" s="27">
        <f t="shared" si="10"/>
        <v>-182233983.91000003</v>
      </c>
      <c r="U18" s="156" t="str">
        <f>VLOOKUP(TablaIndicador34[[#This Row],[ProjectName]],[2]!Projects[[ProjectName]:[ProjectOwnerName]],3,0)</f>
        <v>Leidy Susana Ramirez Herrera</v>
      </c>
    </row>
    <row r="19" spans="1:21" ht="18.75" customHeight="1" x14ac:dyDescent="0.25">
      <c r="A19" s="10">
        <v>2024</v>
      </c>
      <c r="B19" s="30" t="s">
        <v>177</v>
      </c>
      <c r="C19" s="30" t="str">
        <f>VLOOKUP(TablaIndicador34[[#This Row],[ProjectName]],TablaIndicador[[ProjectName]:[CentrodeCostosProyecto]],6,0)</f>
        <v>0342</v>
      </c>
      <c r="D19" s="138">
        <v>792295683</v>
      </c>
      <c r="E19" s="18">
        <v>45537</v>
      </c>
      <c r="F19" s="19">
        <v>45838</v>
      </c>
      <c r="G19" s="20">
        <f t="shared" si="0"/>
        <v>10</v>
      </c>
      <c r="H19" s="21">
        <v>1</v>
      </c>
      <c r="I19" s="21">
        <f>VLOOKUP(TablaIndicador34[[#This Row],[ProjectName]],Hoja3!T26:Y75,2,0)/100</f>
        <v>1</v>
      </c>
      <c r="J19" s="23">
        <v>194494408.36000001</v>
      </c>
      <c r="K19" s="24">
        <f t="shared" si="1"/>
        <v>792295683</v>
      </c>
      <c r="L19" s="24">
        <f t="shared" si="2"/>
        <v>792295683</v>
      </c>
      <c r="M19" s="24">
        <f t="shared" si="3"/>
        <v>597801274.63999999</v>
      </c>
      <c r="N19" s="24">
        <f t="shared" si="4"/>
        <v>0</v>
      </c>
      <c r="O19" s="25">
        <f t="shared" si="5"/>
        <v>4.073616767087195</v>
      </c>
      <c r="P19" s="26" t="str">
        <f t="shared" si="6"/>
        <v>Costo eficiente: se gasto menos de lo presupuestado</v>
      </c>
      <c r="Q19" s="26">
        <f t="shared" si="7"/>
        <v>1</v>
      </c>
      <c r="R19" s="26" t="str">
        <f t="shared" si="8"/>
        <v>Proyecto a tiempo según lo planificado</v>
      </c>
      <c r="S19" s="27">
        <f t="shared" si="9"/>
        <v>194494408.36000001</v>
      </c>
      <c r="T19" s="27">
        <f t="shared" si="10"/>
        <v>-597801274.63999999</v>
      </c>
      <c r="U19" s="156" t="str">
        <f>VLOOKUP(TablaIndicador34[[#This Row],[ProjectName]],[2]!Projects[[ProjectName]:[ProjectOwnerName]],3,0)</f>
        <v>Diego Armando Giraldo Pachecho</v>
      </c>
    </row>
    <row r="20" spans="1:21" ht="18.75" customHeight="1" x14ac:dyDescent="0.25">
      <c r="A20" s="10">
        <v>2024</v>
      </c>
      <c r="B20" s="30" t="s">
        <v>172</v>
      </c>
      <c r="C20" s="30" t="str">
        <f>VLOOKUP(TablaIndicador34[[#This Row],[ProjectName]],TablaIndicador[[ProjectName]:[CentrodeCostosProyecto]],6,0)</f>
        <v>0340</v>
      </c>
      <c r="D20" s="138">
        <v>370376769</v>
      </c>
      <c r="E20" s="18">
        <v>45536</v>
      </c>
      <c r="F20" s="19">
        <v>45596</v>
      </c>
      <c r="G20" s="20">
        <f t="shared" si="0"/>
        <v>2</v>
      </c>
      <c r="H20" s="21">
        <v>1</v>
      </c>
      <c r="I20" s="21">
        <f>VLOOKUP(TablaIndicador34[[#This Row],[ProjectName]],Hoja3!T27:Y76,2,0)/100</f>
        <v>1</v>
      </c>
      <c r="J20" s="33">
        <v>221024204.88999999</v>
      </c>
      <c r="K20" s="24">
        <f t="shared" si="1"/>
        <v>370376769</v>
      </c>
      <c r="L20" s="24">
        <f t="shared" si="2"/>
        <v>370376769</v>
      </c>
      <c r="M20" s="24">
        <f t="shared" si="3"/>
        <v>149352564.11000001</v>
      </c>
      <c r="N20" s="24">
        <f t="shared" si="4"/>
        <v>0</v>
      </c>
      <c r="O20" s="25">
        <f t="shared" si="5"/>
        <v>1.6757294486562242</v>
      </c>
      <c r="P20" s="26" t="str">
        <f t="shared" si="6"/>
        <v>Costo eficiente: se gasto menos de lo presupuestado</v>
      </c>
      <c r="Q20" s="26">
        <f t="shared" si="7"/>
        <v>1</v>
      </c>
      <c r="R20" s="26" t="str">
        <f t="shared" si="8"/>
        <v>Proyecto a tiempo según lo planificado</v>
      </c>
      <c r="S20" s="27">
        <f t="shared" si="9"/>
        <v>221024204.88999999</v>
      </c>
      <c r="T20" s="27">
        <f t="shared" si="10"/>
        <v>-149352564.11000001</v>
      </c>
      <c r="U20" s="156" t="str">
        <f>VLOOKUP(TablaIndicador34[[#This Row],[ProjectName]],[2]!Projects[[ProjectName]:[ProjectOwnerName]],3,0)</f>
        <v>Carlos Alberto Osorio Ortiz</v>
      </c>
    </row>
    <row r="21" spans="1:21" ht="18.75" customHeight="1" x14ac:dyDescent="0.25">
      <c r="A21" s="10">
        <v>2024</v>
      </c>
      <c r="B21" s="30" t="s">
        <v>167</v>
      </c>
      <c r="C21" s="30" t="str">
        <f>VLOOKUP(TablaIndicador34[[#This Row],[ProjectName]],TablaIndicador[[ProjectName]:[CentrodeCostosProyecto]],6,0)</f>
        <v>0337</v>
      </c>
      <c r="D21" s="138">
        <v>7397230574</v>
      </c>
      <c r="E21" s="18">
        <v>45505</v>
      </c>
      <c r="F21" s="19">
        <v>45807</v>
      </c>
      <c r="G21" s="20">
        <f t="shared" si="0"/>
        <v>10</v>
      </c>
      <c r="H21" s="21">
        <v>1</v>
      </c>
      <c r="I21" s="21">
        <f>VLOOKUP(TablaIndicador34[[#This Row],[ProjectName]],Hoja3!T28:Y77,2,0)/100</f>
        <v>0.99</v>
      </c>
      <c r="J21" s="23">
        <v>7637035271.6000013</v>
      </c>
      <c r="K21" s="24">
        <f t="shared" si="1"/>
        <v>7323258268.2600002</v>
      </c>
      <c r="L21" s="24">
        <f t="shared" si="2"/>
        <v>7397230574</v>
      </c>
      <c r="M21" s="24">
        <f t="shared" si="3"/>
        <v>-313777003.34000111</v>
      </c>
      <c r="N21" s="24">
        <f t="shared" si="4"/>
        <v>-73972305.739999771</v>
      </c>
      <c r="O21" s="25">
        <f t="shared" si="5"/>
        <v>0.95891376795039174</v>
      </c>
      <c r="P21" s="26" t="str">
        <f t="shared" si="6"/>
        <v>Costo ineficiente: se gasto más de lo presupuestado</v>
      </c>
      <c r="Q21" s="26">
        <f t="shared" si="7"/>
        <v>0.99</v>
      </c>
      <c r="R21" s="26" t="str">
        <f t="shared" si="8"/>
        <v>Proyecto atrasado con respecto al cronograma</v>
      </c>
      <c r="S21" s="27">
        <f t="shared" si="9"/>
        <v>7714177042.0202026</v>
      </c>
      <c r="T21" s="27">
        <f t="shared" si="10"/>
        <v>316946468.02020264</v>
      </c>
      <c r="U21" s="156" t="str">
        <f>VLOOKUP(TablaIndicador34[[#This Row],[ProjectName]],[2]!Projects[[ProjectName]:[ProjectOwnerName]],3,0)</f>
        <v>Mario Andres Pirachican Gil</v>
      </c>
    </row>
    <row r="22" spans="1:21" ht="18.75" customHeight="1" x14ac:dyDescent="0.25">
      <c r="A22" s="10">
        <v>2024</v>
      </c>
      <c r="B22" s="30" t="s">
        <v>161</v>
      </c>
      <c r="C22" s="30" t="str">
        <f>VLOOKUP(TablaIndicador34[[#This Row],[ProjectName]],TablaIndicador[[ProjectName]:[CentrodeCostosProyecto]],6,0)</f>
        <v>0338</v>
      </c>
      <c r="D22" s="138">
        <v>523479413</v>
      </c>
      <c r="E22" s="18">
        <v>45516</v>
      </c>
      <c r="F22" s="19">
        <v>45595</v>
      </c>
      <c r="G22" s="20">
        <f t="shared" si="0"/>
        <v>3</v>
      </c>
      <c r="H22" s="21">
        <v>1</v>
      </c>
      <c r="I22" s="21">
        <f>VLOOKUP(TablaIndicador34[[#This Row],[ProjectName]],Hoja3!T29:Y78,2,0)/100</f>
        <v>1</v>
      </c>
      <c r="J22" s="33">
        <v>21649158.120000001</v>
      </c>
      <c r="K22" s="24">
        <f t="shared" si="1"/>
        <v>523479413</v>
      </c>
      <c r="L22" s="24">
        <f t="shared" si="2"/>
        <v>523479413</v>
      </c>
      <c r="M22" s="24">
        <f t="shared" si="3"/>
        <v>501830254.88</v>
      </c>
      <c r="N22" s="24">
        <f t="shared" si="4"/>
        <v>0</v>
      </c>
      <c r="O22" s="25">
        <f t="shared" si="5"/>
        <v>24.180127933769278</v>
      </c>
      <c r="P22" s="26" t="str">
        <f t="shared" si="6"/>
        <v>Costo eficiente: se gasto menos de lo presupuestado</v>
      </c>
      <c r="Q22" s="26">
        <f t="shared" si="7"/>
        <v>1</v>
      </c>
      <c r="R22" s="26" t="str">
        <f t="shared" si="8"/>
        <v>Proyecto a tiempo según lo planificado</v>
      </c>
      <c r="S22" s="27">
        <f t="shared" si="9"/>
        <v>21649158.120000001</v>
      </c>
      <c r="T22" s="27">
        <f t="shared" si="10"/>
        <v>-501830254.88</v>
      </c>
      <c r="U22" s="156" t="str">
        <f>VLOOKUP(TablaIndicador34[[#This Row],[ProjectName]],[2]!Projects[[ProjectName]:[ProjectOwnerName]],3,0)</f>
        <v>Luis Gabriel Rojas Angarita</v>
      </c>
    </row>
    <row r="23" spans="1:21" ht="18.75" customHeight="1" x14ac:dyDescent="0.25">
      <c r="A23" s="10">
        <v>2024</v>
      </c>
      <c r="B23" s="30" t="s">
        <v>156</v>
      </c>
      <c r="C23" s="30" t="str">
        <f>VLOOKUP(TablaIndicador34[[#This Row],[ProjectName]],TablaIndicador[[ProjectName]:[CentrodeCostosProyecto]],6,0)</f>
        <v>0335</v>
      </c>
      <c r="D23" s="138">
        <v>1821030084</v>
      </c>
      <c r="E23" s="18">
        <v>45473</v>
      </c>
      <c r="F23" s="19">
        <v>45655</v>
      </c>
      <c r="G23" s="20">
        <f t="shared" si="0"/>
        <v>6</v>
      </c>
      <c r="H23" s="21">
        <v>1</v>
      </c>
      <c r="I23" s="21">
        <f>VLOOKUP(TablaIndicador34[[#This Row],[ProjectName]],Hoja3!T30:Y79,2,0)/100</f>
        <v>1</v>
      </c>
      <c r="J23" s="23">
        <v>18300059.73</v>
      </c>
      <c r="K23" s="24">
        <f t="shared" si="1"/>
        <v>1821030084</v>
      </c>
      <c r="L23" s="24">
        <f t="shared" si="2"/>
        <v>1821030084</v>
      </c>
      <c r="M23" s="24">
        <f t="shared" si="3"/>
        <v>1802730024.27</v>
      </c>
      <c r="N23" s="24">
        <f t="shared" si="4"/>
        <v>0</v>
      </c>
      <c r="O23" s="25">
        <f t="shared" si="5"/>
        <v>99.509515863203134</v>
      </c>
      <c r="P23" s="26" t="str">
        <f t="shared" si="6"/>
        <v>Costo eficiente: se gasto menos de lo presupuestado</v>
      </c>
      <c r="Q23" s="26">
        <f t="shared" si="7"/>
        <v>1</v>
      </c>
      <c r="R23" s="26" t="str">
        <f t="shared" si="8"/>
        <v>Proyecto a tiempo según lo planificado</v>
      </c>
      <c r="S23" s="27">
        <f t="shared" si="9"/>
        <v>18300059.73</v>
      </c>
      <c r="T23" s="27">
        <f t="shared" si="10"/>
        <v>-1802730024.27</v>
      </c>
      <c r="U23" s="156" t="str">
        <f>VLOOKUP(TablaIndicador34[[#This Row],[ProjectName]],[2]!Projects[[ProjectName]:[ProjectOwnerName]],3,0)</f>
        <v>Mario Andres Pirachican Gil</v>
      </c>
    </row>
    <row r="24" spans="1:21" ht="18.75" customHeight="1" x14ac:dyDescent="0.25">
      <c r="A24" s="10">
        <v>2024</v>
      </c>
      <c r="B24" s="30" t="s">
        <v>145</v>
      </c>
      <c r="C24" s="30" t="str">
        <f>VLOOKUP(TablaIndicador34[[#This Row],[ProjectName]],TablaIndicador[[ProjectName]:[CentrodeCostosProyecto]],6,0)</f>
        <v>0331</v>
      </c>
      <c r="D24" s="138">
        <v>218649688</v>
      </c>
      <c r="E24" s="18">
        <v>45413</v>
      </c>
      <c r="F24" s="19">
        <v>45534</v>
      </c>
      <c r="G24" s="20">
        <f t="shared" si="0"/>
        <v>4</v>
      </c>
      <c r="H24" s="21">
        <v>1</v>
      </c>
      <c r="I24" s="21">
        <f>VLOOKUP(TablaIndicador34[[#This Row],[ProjectName]],Hoja3!T32:Y81,2,0)/100</f>
        <v>0.99</v>
      </c>
      <c r="J24" s="23">
        <v>583894</v>
      </c>
      <c r="K24" s="24">
        <f t="shared" si="1"/>
        <v>216463191.12</v>
      </c>
      <c r="L24" s="24">
        <f t="shared" si="2"/>
        <v>218649688</v>
      </c>
      <c r="M24" s="24">
        <f t="shared" si="3"/>
        <v>215879297.12</v>
      </c>
      <c r="N24" s="24">
        <f t="shared" si="4"/>
        <v>-2186496.8799999952</v>
      </c>
      <c r="O24" s="25">
        <f t="shared" si="5"/>
        <v>370.72343802128472</v>
      </c>
      <c r="P24" s="26" t="str">
        <f t="shared" si="6"/>
        <v>Costo eficiente: se gasto menos de lo presupuestado</v>
      </c>
      <c r="Q24" s="26">
        <f t="shared" si="7"/>
        <v>0.99</v>
      </c>
      <c r="R24" s="26" t="str">
        <f t="shared" si="8"/>
        <v>Proyecto atrasado con respecto al cronograma</v>
      </c>
      <c r="S24" s="27">
        <f t="shared" si="9"/>
        <v>589791.91919191915</v>
      </c>
      <c r="T24" s="27">
        <f t="shared" si="10"/>
        <v>-218059896.08080807</v>
      </c>
      <c r="U24" s="156" t="str">
        <f>VLOOKUP(TablaIndicador34[[#This Row],[ProjectName]],[2]!Projects[[ProjectName]:[ProjectOwnerName]],3,0)</f>
        <v>Leidy Susana Ramirez Herrera</v>
      </c>
    </row>
    <row r="25" spans="1:21" ht="18.75" customHeight="1" x14ac:dyDescent="0.25">
      <c r="A25" s="10">
        <v>2024</v>
      </c>
      <c r="B25" s="30" t="s">
        <v>139</v>
      </c>
      <c r="C25" s="30" t="str">
        <f>VLOOKUP(TablaIndicador34[[#This Row],[ProjectName]],TablaIndicador[[ProjectName]:[CentrodeCostosProyecto]],6,0)</f>
        <v>0333</v>
      </c>
      <c r="D25" s="138">
        <v>81162217</v>
      </c>
      <c r="E25" s="18">
        <v>45444</v>
      </c>
      <c r="F25" s="19">
        <v>45595</v>
      </c>
      <c r="G25" s="20">
        <f t="shared" si="0"/>
        <v>5</v>
      </c>
      <c r="H25" s="21">
        <v>1</v>
      </c>
      <c r="I25" s="21">
        <f>VLOOKUP(TablaIndicador34[[#This Row],[ProjectName]],Hoja3!T33:Y82,2,0)/100</f>
        <v>1</v>
      </c>
      <c r="J25" s="33">
        <v>77273</v>
      </c>
      <c r="K25" s="24">
        <f t="shared" si="1"/>
        <v>81162217</v>
      </c>
      <c r="L25" s="24">
        <f t="shared" si="2"/>
        <v>81162217</v>
      </c>
      <c r="M25" s="24">
        <f t="shared" si="3"/>
        <v>81084944</v>
      </c>
      <c r="N25" s="24">
        <f t="shared" si="4"/>
        <v>0</v>
      </c>
      <c r="O25" s="25">
        <f t="shared" si="5"/>
        <v>1050.3308658910616</v>
      </c>
      <c r="P25" s="26" t="str">
        <f t="shared" si="6"/>
        <v>Costo eficiente: se gasto menos de lo presupuestado</v>
      </c>
      <c r="Q25" s="26">
        <f t="shared" si="7"/>
        <v>1</v>
      </c>
      <c r="R25" s="26" t="str">
        <f t="shared" si="8"/>
        <v>Proyecto a tiempo según lo planificado</v>
      </c>
      <c r="S25" s="27">
        <f t="shared" si="9"/>
        <v>77273</v>
      </c>
      <c r="T25" s="27">
        <f t="shared" si="10"/>
        <v>-81084944</v>
      </c>
      <c r="U25" s="156" t="str">
        <f>VLOOKUP(TablaIndicador34[[#This Row],[ProjectName]],[2]!Projects[[ProjectName]:[ProjectOwnerName]],3,0)</f>
        <v>Rodrigo Alexander Ramirez Ospina</v>
      </c>
    </row>
    <row r="26" spans="1:21" ht="18.75" customHeight="1" x14ac:dyDescent="0.25">
      <c r="A26" s="10">
        <v>2024</v>
      </c>
      <c r="B26" s="30" t="s">
        <v>133</v>
      </c>
      <c r="C26" s="30" t="str">
        <f>VLOOKUP(TablaIndicador34[[#This Row],[ProjectName]],TablaIndicador[[ProjectName]:[CentrodeCostosProyecto]],6,0)</f>
        <v>0332</v>
      </c>
      <c r="D26" s="138">
        <v>234252949</v>
      </c>
      <c r="E26" s="18">
        <v>45456</v>
      </c>
      <c r="F26" s="19">
        <v>45503</v>
      </c>
      <c r="G26" s="20">
        <f t="shared" si="0"/>
        <v>2</v>
      </c>
      <c r="H26" s="21">
        <v>1</v>
      </c>
      <c r="I26" s="21">
        <f>VLOOKUP(TablaIndicador34[[#This Row],[ProjectName]],Hoja3!T34:Y83,2,0)/100</f>
        <v>1</v>
      </c>
      <c r="J26" s="33">
        <v>293850</v>
      </c>
      <c r="K26" s="24">
        <f t="shared" si="1"/>
        <v>234252949</v>
      </c>
      <c r="L26" s="24">
        <f t="shared" si="2"/>
        <v>234252949</v>
      </c>
      <c r="M26" s="24">
        <f t="shared" si="3"/>
        <v>233959099</v>
      </c>
      <c r="N26" s="24">
        <f t="shared" si="4"/>
        <v>0</v>
      </c>
      <c r="O26" s="25">
        <f t="shared" si="5"/>
        <v>797.18546537348982</v>
      </c>
      <c r="P26" s="26" t="str">
        <f t="shared" si="6"/>
        <v>Costo eficiente: se gasto menos de lo presupuestado</v>
      </c>
      <c r="Q26" s="26">
        <f t="shared" si="7"/>
        <v>1</v>
      </c>
      <c r="R26" s="26" t="str">
        <f t="shared" si="8"/>
        <v>Proyecto a tiempo según lo planificado</v>
      </c>
      <c r="S26" s="27">
        <f t="shared" si="9"/>
        <v>293850</v>
      </c>
      <c r="T26" s="27">
        <f t="shared" si="10"/>
        <v>-233959099</v>
      </c>
      <c r="U26" s="156" t="str">
        <f>VLOOKUP(TablaIndicador34[[#This Row],[ProjectName]],[2]!Projects[[ProjectName]:[ProjectOwnerName]],3,0)</f>
        <v>Liliana Isabel Paba Alvear</v>
      </c>
    </row>
    <row r="27" spans="1:21" ht="18.75" customHeight="1" x14ac:dyDescent="0.25">
      <c r="A27" s="10">
        <v>2024</v>
      </c>
      <c r="B27" s="30" t="s">
        <v>111</v>
      </c>
      <c r="C27" s="30" t="str">
        <f>VLOOKUP(TablaIndicador34[[#This Row],[ProjectName]],TablaIndicador[[ProjectName]:[CentrodeCostosProyecto]],6,0)</f>
        <v>0328</v>
      </c>
      <c r="D27" s="138">
        <v>830180856</v>
      </c>
      <c r="E27" s="18">
        <v>45414</v>
      </c>
      <c r="F27" s="19">
        <v>45596</v>
      </c>
      <c r="G27" s="20">
        <f t="shared" si="0"/>
        <v>6</v>
      </c>
      <c r="H27" s="21">
        <v>1</v>
      </c>
      <c r="I27" s="21">
        <f>VLOOKUP(TablaIndicador34[[#This Row],[ProjectName]],Hoja3!T38:Y87,2,0)/100</f>
        <v>1</v>
      </c>
      <c r="J27" s="33">
        <v>38007100</v>
      </c>
      <c r="K27" s="24">
        <f t="shared" si="1"/>
        <v>830180856</v>
      </c>
      <c r="L27" s="24">
        <f t="shared" si="2"/>
        <v>830180856</v>
      </c>
      <c r="M27" s="24">
        <f t="shared" si="3"/>
        <v>792173756</v>
      </c>
      <c r="N27" s="24">
        <f t="shared" si="4"/>
        <v>0</v>
      </c>
      <c r="O27" s="25">
        <f t="shared" si="5"/>
        <v>21.842783479928752</v>
      </c>
      <c r="P27" s="26" t="str">
        <f t="shared" si="6"/>
        <v>Costo eficiente: se gasto menos de lo presupuestado</v>
      </c>
      <c r="Q27" s="26">
        <f t="shared" si="7"/>
        <v>1</v>
      </c>
      <c r="R27" s="26" t="str">
        <f t="shared" si="8"/>
        <v>Proyecto a tiempo según lo planificado</v>
      </c>
      <c r="S27" s="27">
        <f t="shared" si="9"/>
        <v>38007100</v>
      </c>
      <c r="T27" s="27">
        <f t="shared" si="10"/>
        <v>-792173756</v>
      </c>
      <c r="U27" s="156" t="str">
        <f>VLOOKUP(TablaIndicador34[[#This Row],[ProjectName]],[2]!Projects[[ProjectName]:[ProjectOwnerName]],3,0)</f>
        <v>Janeth Annelise Araujo Ramos</v>
      </c>
    </row>
    <row r="28" spans="1:21" ht="18.75" customHeight="1" x14ac:dyDescent="0.25">
      <c r="A28" s="10">
        <v>2024</v>
      </c>
      <c r="B28" s="30" t="s">
        <v>106</v>
      </c>
      <c r="C28" s="30" t="str">
        <f>VLOOKUP(TablaIndicador34[[#This Row],[ProjectName]],TablaIndicador[[ProjectName]:[CentrodeCostosProyecto]],6,0)</f>
        <v>0326</v>
      </c>
      <c r="D28" s="138">
        <v>1566562163</v>
      </c>
      <c r="E28" s="18">
        <v>45402</v>
      </c>
      <c r="F28" s="19">
        <v>45656</v>
      </c>
      <c r="G28" s="20">
        <f t="shared" si="0"/>
        <v>9</v>
      </c>
      <c r="H28" s="21">
        <v>1</v>
      </c>
      <c r="I28" s="21">
        <f>VLOOKUP(TablaIndicador34[[#This Row],[ProjectName]],Hoja3!T40:Y89,2,0)/100</f>
        <v>0.99</v>
      </c>
      <c r="J28" s="33">
        <v>113121672</v>
      </c>
      <c r="K28" s="24">
        <f t="shared" si="1"/>
        <v>1550896541.3699999</v>
      </c>
      <c r="L28" s="24">
        <f t="shared" si="2"/>
        <v>1566562163</v>
      </c>
      <c r="M28" s="24">
        <f t="shared" si="3"/>
        <v>1437774869.3699999</v>
      </c>
      <c r="N28" s="24">
        <f t="shared" si="4"/>
        <v>-15665621.630000114</v>
      </c>
      <c r="O28" s="25">
        <f t="shared" si="5"/>
        <v>13.709986017268202</v>
      </c>
      <c r="P28" s="26" t="str">
        <f t="shared" si="6"/>
        <v>Costo eficiente: se gasto menos de lo presupuestado</v>
      </c>
      <c r="Q28" s="26">
        <f t="shared" si="7"/>
        <v>0.98999999999999988</v>
      </c>
      <c r="R28" s="26" t="str">
        <f t="shared" si="8"/>
        <v>Proyecto atrasado con respecto al cronograma</v>
      </c>
      <c r="S28" s="27">
        <f t="shared" si="9"/>
        <v>114264315.15151516</v>
      </c>
      <c r="T28" s="27">
        <f t="shared" si="10"/>
        <v>-1452297847.8484848</v>
      </c>
      <c r="U28" s="156" t="str">
        <f>VLOOKUP(TablaIndicador34[[#This Row],[ProjectName]],[2]!Projects[[ProjectName]:[ProjectOwnerName]],3,0)</f>
        <v>Leidy Susana Ramirez Herrera</v>
      </c>
    </row>
    <row r="29" spans="1:21" ht="18.75" customHeight="1" x14ac:dyDescent="0.25">
      <c r="A29" s="10">
        <v>2024</v>
      </c>
      <c r="B29" s="30" t="s">
        <v>100</v>
      </c>
      <c r="C29" s="30" t="str">
        <f>VLOOKUP(TablaIndicador34[[#This Row],[ProjectName]],TablaIndicador[[ProjectName]:[CentrodeCostosProyecto]],6,0)</f>
        <v>0327</v>
      </c>
      <c r="D29" s="138">
        <v>1087776079</v>
      </c>
      <c r="E29" s="18">
        <v>45369</v>
      </c>
      <c r="F29" s="19">
        <v>45552</v>
      </c>
      <c r="G29" s="20">
        <f t="shared" si="0"/>
        <v>6</v>
      </c>
      <c r="H29" s="21">
        <v>1</v>
      </c>
      <c r="I29" s="21">
        <f>VLOOKUP(TablaIndicador34[[#This Row],[ProjectName]],Hoja3!T41:Y90,2,0)/100</f>
        <v>1</v>
      </c>
      <c r="J29" s="33">
        <v>38002938</v>
      </c>
      <c r="K29" s="24">
        <f t="shared" si="1"/>
        <v>1087776079</v>
      </c>
      <c r="L29" s="24">
        <f t="shared" si="2"/>
        <v>1087776079</v>
      </c>
      <c r="M29" s="24">
        <f t="shared" si="3"/>
        <v>1049773141</v>
      </c>
      <c r="N29" s="24">
        <f t="shared" si="4"/>
        <v>0</v>
      </c>
      <c r="O29" s="25">
        <f t="shared" si="5"/>
        <v>28.623473243042419</v>
      </c>
      <c r="P29" s="26" t="str">
        <f t="shared" si="6"/>
        <v>Costo eficiente: se gasto menos de lo presupuestado</v>
      </c>
      <c r="Q29" s="26">
        <f t="shared" si="7"/>
        <v>1</v>
      </c>
      <c r="R29" s="26" t="str">
        <f t="shared" si="8"/>
        <v>Proyecto a tiempo según lo planificado</v>
      </c>
      <c r="S29" s="27">
        <f t="shared" si="9"/>
        <v>38002938</v>
      </c>
      <c r="T29" s="27">
        <f t="shared" si="10"/>
        <v>-1049773141</v>
      </c>
      <c r="U29" s="156" t="str">
        <f>VLOOKUP(TablaIndicador34[[#This Row],[ProjectName]],[2]!Projects[[ProjectName]:[ProjectOwnerName]],3,0)</f>
        <v>Laura Johanna Jaramillo Soto</v>
      </c>
    </row>
    <row r="30" spans="1:21" ht="18.75" customHeight="1" x14ac:dyDescent="0.25">
      <c r="A30" s="10">
        <v>2024</v>
      </c>
      <c r="B30" s="30" t="s">
        <v>88</v>
      </c>
      <c r="C30" s="30" t="str">
        <f>VLOOKUP(TablaIndicador34[[#This Row],[ProjectName]],TablaIndicador[[ProjectName]:[CentrodeCostosProyecto]],6,0)</f>
        <v>0322</v>
      </c>
      <c r="D30" s="138">
        <v>4004446789</v>
      </c>
      <c r="E30" s="18">
        <v>45345</v>
      </c>
      <c r="F30" s="19">
        <v>45587</v>
      </c>
      <c r="G30" s="20">
        <f t="shared" si="0"/>
        <v>8</v>
      </c>
      <c r="H30" s="21">
        <v>1</v>
      </c>
      <c r="I30" s="21">
        <f>VLOOKUP(TablaIndicador34[[#This Row],[ProjectName]],Hoja3!T42:Y91,2,0)/100</f>
        <v>0.99</v>
      </c>
      <c r="J30" s="33">
        <v>832255348</v>
      </c>
      <c r="K30" s="24">
        <f t="shared" si="1"/>
        <v>3964402321.1100001</v>
      </c>
      <c r="L30" s="24">
        <f t="shared" si="2"/>
        <v>4004446789</v>
      </c>
      <c r="M30" s="24">
        <f t="shared" si="3"/>
        <v>3132146973.1100001</v>
      </c>
      <c r="N30" s="24">
        <f t="shared" si="4"/>
        <v>-40044467.889999866</v>
      </c>
      <c r="O30" s="25">
        <f t="shared" si="5"/>
        <v>4.7634446935509507</v>
      </c>
      <c r="P30" s="26" t="str">
        <f t="shared" si="6"/>
        <v>Costo eficiente: se gasto menos de lo presupuestado</v>
      </c>
      <c r="Q30" s="26">
        <f t="shared" si="7"/>
        <v>0.99</v>
      </c>
      <c r="R30" s="26" t="str">
        <f t="shared" si="8"/>
        <v>Proyecto atrasado con respecto al cronograma</v>
      </c>
      <c r="S30" s="27">
        <f t="shared" si="9"/>
        <v>840661967.67676771</v>
      </c>
      <c r="T30" s="27">
        <f t="shared" si="10"/>
        <v>-3163784821.3232322</v>
      </c>
      <c r="U30" s="156" t="str">
        <f>VLOOKUP(TablaIndicador34[[#This Row],[ProjectName]],[2]!Projects[[ProjectName]:[ProjectOwnerName]],3,0)</f>
        <v>Mario Andres Pirachican Gil</v>
      </c>
    </row>
    <row r="31" spans="1:21" ht="18.75" customHeight="1" x14ac:dyDescent="0.25">
      <c r="A31" s="131">
        <v>2024</v>
      </c>
      <c r="B31" s="30" t="s">
        <v>82</v>
      </c>
      <c r="C31" s="30" t="str">
        <f>VLOOKUP(TablaIndicador34[[#This Row],[ProjectName]],TablaIndicador[[ProjectName]:[CentrodeCostosProyecto]],6,0)</f>
        <v>0319</v>
      </c>
      <c r="D31" s="138">
        <v>7806909725</v>
      </c>
      <c r="E31" s="18">
        <v>45292</v>
      </c>
      <c r="F31" s="19">
        <v>45381</v>
      </c>
      <c r="G31" s="20">
        <f t="shared" si="0"/>
        <v>3</v>
      </c>
      <c r="H31" s="21">
        <v>1</v>
      </c>
      <c r="I31" s="21">
        <f>VLOOKUP(TablaIndicador34[[#This Row],[ProjectName]],Hoja3!T43:Y92,2,0)/100</f>
        <v>1</v>
      </c>
      <c r="J31" s="33">
        <v>1143124.99</v>
      </c>
      <c r="K31" s="24">
        <f t="shared" si="1"/>
        <v>7806909725</v>
      </c>
      <c r="L31" s="24">
        <f t="shared" si="2"/>
        <v>7806909725</v>
      </c>
      <c r="M31" s="24">
        <f t="shared" si="3"/>
        <v>7805766600.0100002</v>
      </c>
      <c r="N31" s="24">
        <f t="shared" si="4"/>
        <v>0</v>
      </c>
      <c r="O31" s="25">
        <f t="shared" si="5"/>
        <v>6829.4454178628357</v>
      </c>
      <c r="P31" s="26" t="str">
        <f t="shared" si="6"/>
        <v>Costo eficiente: se gasto menos de lo presupuestado</v>
      </c>
      <c r="Q31" s="26">
        <f t="shared" si="7"/>
        <v>1</v>
      </c>
      <c r="R31" s="26" t="str">
        <f t="shared" si="8"/>
        <v>Proyecto a tiempo según lo planificado</v>
      </c>
      <c r="S31" s="27">
        <f t="shared" si="9"/>
        <v>1143124.99</v>
      </c>
      <c r="T31" s="27">
        <f t="shared" si="10"/>
        <v>-7805766600.0100002</v>
      </c>
      <c r="U31" s="156" t="str">
        <f>VLOOKUP(TablaIndicador34[[#This Row],[ProjectName]],[2]!Projects[[ProjectName]:[ProjectOwnerName]],3,0)</f>
        <v>Carlos Fernando Gomez Rodriguez</v>
      </c>
    </row>
    <row r="32" spans="1:21" ht="18.75" customHeight="1" x14ac:dyDescent="0.25">
      <c r="A32" s="10">
        <v>2024</v>
      </c>
      <c r="B32" s="30" t="s">
        <v>75</v>
      </c>
      <c r="C32" s="30" t="str">
        <f>VLOOKUP(TablaIndicador34[[#This Row],[ProjectName]],TablaIndicador[[ProjectName]:[CentrodeCostosProyecto]],6,0)</f>
        <v>0315</v>
      </c>
      <c r="D32" s="138">
        <v>1422409157</v>
      </c>
      <c r="E32" s="18">
        <v>45292</v>
      </c>
      <c r="F32" s="19">
        <v>45534</v>
      </c>
      <c r="G32" s="20">
        <f t="shared" si="0"/>
        <v>8</v>
      </c>
      <c r="H32" s="21">
        <v>1</v>
      </c>
      <c r="I32" s="21">
        <f>VLOOKUP(TablaIndicador34[[#This Row],[ProjectName]],Hoja3!T44:Y93,2,0)/100</f>
        <v>1</v>
      </c>
      <c r="J32" s="33">
        <v>186714556.16999999</v>
      </c>
      <c r="K32" s="24">
        <f t="shared" si="1"/>
        <v>1422409157</v>
      </c>
      <c r="L32" s="24">
        <f t="shared" si="2"/>
        <v>1422409157</v>
      </c>
      <c r="M32" s="24">
        <f t="shared" si="3"/>
        <v>1235694600.8299999</v>
      </c>
      <c r="N32" s="24">
        <f t="shared" si="4"/>
        <v>0</v>
      </c>
      <c r="O32" s="25">
        <f t="shared" si="5"/>
        <v>7.6180946262428728</v>
      </c>
      <c r="P32" s="26" t="str">
        <f t="shared" si="6"/>
        <v>Costo eficiente: se gasto menos de lo presupuestado</v>
      </c>
      <c r="Q32" s="26">
        <f t="shared" si="7"/>
        <v>1</v>
      </c>
      <c r="R32" s="26" t="str">
        <f t="shared" si="8"/>
        <v>Proyecto a tiempo según lo planificado</v>
      </c>
      <c r="S32" s="27">
        <f t="shared" si="9"/>
        <v>186714556.16999999</v>
      </c>
      <c r="T32" s="27">
        <f t="shared" si="10"/>
        <v>-1235694600.8299999</v>
      </c>
      <c r="U32" s="156" t="str">
        <f>VLOOKUP(TablaIndicador34[[#This Row],[ProjectName]],[2]!Projects[[ProjectName]:[ProjectOwnerName]],3,0)</f>
        <v>Johan Sebastian Rodriguez Niño</v>
      </c>
    </row>
    <row r="33" spans="1:21" ht="18.75" customHeight="1" x14ac:dyDescent="0.25">
      <c r="A33" s="10">
        <v>2024</v>
      </c>
      <c r="B33" s="30" t="s">
        <v>519</v>
      </c>
      <c r="C33" s="30" t="e">
        <f>VLOOKUP(TablaIndicador34[[#This Row],[ProjectName]],TablaIndicador[[ProjectName]:[CentrodeCostosProyecto]],6,0)</f>
        <v>#N/A</v>
      </c>
      <c r="D33" s="138">
        <v>7778633799</v>
      </c>
      <c r="E33" s="18">
        <v>45300</v>
      </c>
      <c r="F33" s="19">
        <v>45473</v>
      </c>
      <c r="G33" s="20">
        <f t="shared" si="0"/>
        <v>6</v>
      </c>
      <c r="H33" s="21">
        <v>1</v>
      </c>
      <c r="I33" s="21">
        <f>VLOOKUP(TablaIndicador34[[#This Row],[ProjectName]],Hoja3!T45:Y94,2,0)/100</f>
        <v>0.98</v>
      </c>
      <c r="J33" s="33">
        <v>316095789.15999997</v>
      </c>
      <c r="K33" s="24">
        <f t="shared" si="1"/>
        <v>7623061123.0199995</v>
      </c>
      <c r="L33" s="24">
        <f t="shared" si="2"/>
        <v>7778633799</v>
      </c>
      <c r="M33" s="24">
        <f t="shared" si="3"/>
        <v>7306965333.8599997</v>
      </c>
      <c r="N33" s="24">
        <f t="shared" si="4"/>
        <v>-155572675.9800005</v>
      </c>
      <c r="O33" s="25">
        <f t="shared" si="5"/>
        <v>24.116300768440141</v>
      </c>
      <c r="P33" s="26" t="str">
        <f t="shared" si="6"/>
        <v>Costo eficiente: se gasto menos de lo presupuestado</v>
      </c>
      <c r="Q33" s="26">
        <f t="shared" si="7"/>
        <v>0.98</v>
      </c>
      <c r="R33" s="26" t="str">
        <f t="shared" si="8"/>
        <v>Proyecto atrasado con respecto al cronograma</v>
      </c>
      <c r="S33" s="27">
        <f t="shared" si="9"/>
        <v>322546723.63265306</v>
      </c>
      <c r="T33" s="27">
        <f t="shared" si="10"/>
        <v>-7456087075.3673468</v>
      </c>
      <c r="U33" s="156" t="str">
        <f>VLOOKUP(TablaIndicador34[[#This Row],[ProjectName]],[2]!Projects[[ProjectName]:[ProjectOwnerName]],3,0)</f>
        <v>Luis Gabriel Rojas Angarita</v>
      </c>
    </row>
    <row r="34" spans="1:21" ht="18.75" customHeight="1" x14ac:dyDescent="0.25">
      <c r="A34" s="10">
        <v>2024</v>
      </c>
      <c r="B34" s="30" t="s">
        <v>68</v>
      </c>
      <c r="C34" s="30" t="str">
        <f>VLOOKUP(TablaIndicador34[[#This Row],[ProjectName]],TablaIndicador[[ProjectName]:[CentrodeCostosProyecto]],6,0)</f>
        <v>0320</v>
      </c>
      <c r="D34" s="138">
        <v>5280083724</v>
      </c>
      <c r="E34" s="18">
        <v>45300</v>
      </c>
      <c r="F34" s="19">
        <v>45473</v>
      </c>
      <c r="G34" s="20">
        <f t="shared" si="0"/>
        <v>6</v>
      </c>
      <c r="H34" s="21">
        <v>1</v>
      </c>
      <c r="I34" s="21">
        <f>VLOOKUP(TablaIndicador34[[#This Row],[ProjectName]],Hoja3!T46:Y95,2,0)/100</f>
        <v>1</v>
      </c>
      <c r="J34" s="23">
        <v>936367</v>
      </c>
      <c r="K34" s="24">
        <f t="shared" si="1"/>
        <v>5280083724</v>
      </c>
      <c r="L34" s="24">
        <f t="shared" si="2"/>
        <v>5280083724</v>
      </c>
      <c r="M34" s="24">
        <f t="shared" si="3"/>
        <v>5279147357</v>
      </c>
      <c r="N34" s="24">
        <f t="shared" si="4"/>
        <v>0</v>
      </c>
      <c r="O34" s="25">
        <f t="shared" si="5"/>
        <v>5638.9041091794134</v>
      </c>
      <c r="P34" s="26" t="str">
        <f t="shared" si="6"/>
        <v>Costo eficiente: se gasto menos de lo presupuestado</v>
      </c>
      <c r="Q34" s="26">
        <f t="shared" si="7"/>
        <v>1</v>
      </c>
      <c r="R34" s="26" t="str">
        <f t="shared" si="8"/>
        <v>Proyecto a tiempo según lo planificado</v>
      </c>
      <c r="S34" s="27">
        <f t="shared" si="9"/>
        <v>936367</v>
      </c>
      <c r="T34" s="27">
        <f t="shared" si="10"/>
        <v>-5279147357</v>
      </c>
      <c r="U34" s="156" t="str">
        <f>VLOOKUP(TablaIndicador34[[#This Row],[ProjectName]],[2]!Projects[[ProjectName]:[ProjectOwnerName]],3,0)</f>
        <v>Janeth Annelise Araujo Ramos</v>
      </c>
    </row>
    <row r="35" spans="1:21" ht="18.75" customHeight="1" x14ac:dyDescent="0.25">
      <c r="A35" s="10">
        <v>2024</v>
      </c>
      <c r="B35" s="30" t="s">
        <v>59</v>
      </c>
      <c r="C35" s="30" t="str">
        <f>VLOOKUP(TablaIndicador34[[#This Row],[ProjectName]],TablaIndicador[[ProjectName]:[CentrodeCostosProyecto]],6,0)</f>
        <v>0314</v>
      </c>
      <c r="D35" s="138">
        <v>970233948</v>
      </c>
      <c r="E35" s="18">
        <v>45306</v>
      </c>
      <c r="F35" s="19">
        <v>45412</v>
      </c>
      <c r="G35" s="20">
        <f t="shared" si="0"/>
        <v>4</v>
      </c>
      <c r="H35" s="21">
        <v>1</v>
      </c>
      <c r="I35" s="21">
        <f>VLOOKUP(TablaIndicador34[[#This Row],[ProjectName]],Hoja3!T47:Y96,2,0)/100</f>
        <v>1</v>
      </c>
      <c r="J35" s="23">
        <v>2942425.28</v>
      </c>
      <c r="K35" s="24">
        <f t="shared" si="1"/>
        <v>970233948</v>
      </c>
      <c r="L35" s="24">
        <f t="shared" si="2"/>
        <v>970233948</v>
      </c>
      <c r="M35" s="24">
        <f t="shared" si="3"/>
        <v>967291522.72000003</v>
      </c>
      <c r="N35" s="24">
        <f t="shared" si="4"/>
        <v>0</v>
      </c>
      <c r="O35" s="25">
        <f t="shared" si="5"/>
        <v>329.73953649555381</v>
      </c>
      <c r="P35" s="26" t="str">
        <f t="shared" si="6"/>
        <v>Costo eficiente: se gasto menos de lo presupuestado</v>
      </c>
      <c r="Q35" s="26">
        <f t="shared" si="7"/>
        <v>1</v>
      </c>
      <c r="R35" s="26" t="str">
        <f t="shared" si="8"/>
        <v>Proyecto a tiempo según lo planificado</v>
      </c>
      <c r="S35" s="27">
        <f t="shared" si="9"/>
        <v>2942425.28</v>
      </c>
      <c r="T35" s="27">
        <f t="shared" si="10"/>
        <v>-967291522.72000003</v>
      </c>
      <c r="U35" s="158" t="str">
        <f>VLOOKUP(TablaIndicador34[[#This Row],[ProjectName]],[2]!Projects[[ProjectName]:[ProjectOwnerName]],3,0)</f>
        <v>Guiovanni Andres Serrano Serna</v>
      </c>
    </row>
  </sheetData>
  <conditionalFormatting sqref="B2:C35">
    <cfRule type="duplicateValues" dxfId="6" priority="30"/>
  </conditionalFormatting>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29EAD-E838-47C7-B946-B8C13CEB60A1}">
  <dimension ref="A1:AK76"/>
  <sheetViews>
    <sheetView topLeftCell="T1" workbookViewId="0">
      <selection activeCell="Y32" sqref="Y32"/>
    </sheetView>
  </sheetViews>
  <sheetFormatPr baseColWidth="10" defaultRowHeight="15" x14ac:dyDescent="0.25"/>
  <cols>
    <col min="1" max="1" width="16.85546875" bestFit="1" customWidth="1"/>
    <col min="2" max="2" width="20.7109375" bestFit="1" customWidth="1"/>
    <col min="3" max="3" width="22.5703125" bestFit="1" customWidth="1"/>
    <col min="4" max="4" width="21.42578125" bestFit="1" customWidth="1"/>
    <col min="5" max="5" width="17.7109375" bestFit="1" customWidth="1"/>
    <col min="6" max="6" width="12.7109375" bestFit="1" customWidth="1"/>
    <col min="7" max="7" width="18.5703125" bestFit="1" customWidth="1"/>
    <col min="8" max="8" width="17" bestFit="1" customWidth="1"/>
    <col min="9" max="9" width="15.7109375" bestFit="1" customWidth="1"/>
    <col min="10" max="10" width="24.7109375" bestFit="1" customWidth="1"/>
    <col min="11" max="11" width="24.42578125" bestFit="1" customWidth="1"/>
    <col min="12" max="12" width="16.85546875" bestFit="1" customWidth="1"/>
    <col min="13" max="13" width="20.42578125" bestFit="1" customWidth="1"/>
    <col min="14" max="14" width="16.140625" bestFit="1" customWidth="1"/>
    <col min="15" max="15" width="15.7109375" bestFit="1" customWidth="1"/>
    <col min="16" max="16" width="16.42578125" bestFit="1" customWidth="1"/>
    <col min="17" max="17" width="15.7109375" bestFit="1" customWidth="1"/>
    <col min="18" max="18" width="24" bestFit="1" customWidth="1"/>
    <col min="19" max="19" width="19.7109375" bestFit="1" customWidth="1"/>
    <col min="20" max="20" width="46" bestFit="1" customWidth="1"/>
    <col min="21" max="21" width="24.28515625" style="136" bestFit="1" customWidth="1"/>
    <col min="22" max="22" width="107.42578125" hidden="1" customWidth="1"/>
    <col min="23" max="23" width="98.5703125" hidden="1" customWidth="1"/>
    <col min="24" max="24" width="20" hidden="1" customWidth="1"/>
    <col min="25" max="25" width="20.28515625" bestFit="1" customWidth="1"/>
    <col min="26" max="26" width="18.85546875" bestFit="1" customWidth="1"/>
    <col min="27" max="27" width="23.28515625" bestFit="1" customWidth="1"/>
    <col min="28" max="28" width="91.85546875" bestFit="1" customWidth="1"/>
    <col min="29" max="29" width="14.140625" bestFit="1" customWidth="1"/>
    <col min="30" max="30" width="35.140625" bestFit="1" customWidth="1"/>
    <col min="31" max="31" width="35.5703125" bestFit="1" customWidth="1"/>
    <col min="32" max="32" width="15.85546875" bestFit="1" customWidth="1"/>
    <col min="33" max="33" width="255.7109375" bestFit="1" customWidth="1"/>
    <col min="34" max="34" width="42.42578125" bestFit="1" customWidth="1"/>
    <col min="35" max="35" width="22.28515625" bestFit="1" customWidth="1"/>
    <col min="36" max="36" width="54.7109375" bestFit="1" customWidth="1"/>
    <col min="37" max="37" width="152.85546875" bestFit="1" customWidth="1"/>
  </cols>
  <sheetData>
    <row r="1" spans="1:37" x14ac:dyDescent="0.25">
      <c r="A1" t="s">
        <v>520</v>
      </c>
      <c r="B1" t="s">
        <v>521</v>
      </c>
      <c r="C1" t="s">
        <v>522</v>
      </c>
      <c r="D1" t="s">
        <v>523</v>
      </c>
      <c r="E1" t="s">
        <v>524</v>
      </c>
      <c r="F1" t="s">
        <v>525</v>
      </c>
      <c r="G1" t="s">
        <v>3</v>
      </c>
      <c r="H1" t="s">
        <v>526</v>
      </c>
      <c r="I1" t="s">
        <v>527</v>
      </c>
      <c r="J1" t="s">
        <v>528</v>
      </c>
      <c r="K1" t="s">
        <v>529</v>
      </c>
      <c r="L1" t="s">
        <v>530</v>
      </c>
      <c r="M1" t="s">
        <v>531</v>
      </c>
      <c r="N1" t="s">
        <v>532</v>
      </c>
      <c r="O1" t="s">
        <v>533</v>
      </c>
      <c r="P1" s="129" t="s">
        <v>534</v>
      </c>
      <c r="Q1" s="129" t="s">
        <v>535</v>
      </c>
      <c r="R1" t="s">
        <v>536</v>
      </c>
      <c r="S1" t="s">
        <v>537</v>
      </c>
      <c r="T1" t="s">
        <v>4</v>
      </c>
      <c r="U1" s="136" t="s">
        <v>538</v>
      </c>
      <c r="V1" t="s">
        <v>539</v>
      </c>
      <c r="W1" t="s">
        <v>6</v>
      </c>
      <c r="X1" t="s">
        <v>540</v>
      </c>
      <c r="Y1" s="130" t="s">
        <v>541</v>
      </c>
      <c r="Z1" s="130" t="s">
        <v>542</v>
      </c>
      <c r="AA1" s="130" t="s">
        <v>9</v>
      </c>
      <c r="AB1" t="s">
        <v>543</v>
      </c>
      <c r="AC1" t="s">
        <v>544</v>
      </c>
      <c r="AD1" t="s">
        <v>545</v>
      </c>
      <c r="AE1" t="s">
        <v>546</v>
      </c>
      <c r="AF1" t="s">
        <v>547</v>
      </c>
      <c r="AG1" t="s">
        <v>548</v>
      </c>
      <c r="AH1" t="s">
        <v>549</v>
      </c>
      <c r="AI1" t="s">
        <v>550</v>
      </c>
      <c r="AJ1" t="s">
        <v>551</v>
      </c>
      <c r="AK1" t="s">
        <v>552</v>
      </c>
    </row>
    <row r="2" spans="1:37" x14ac:dyDescent="0.25">
      <c r="A2">
        <v>0</v>
      </c>
      <c r="B2">
        <v>0</v>
      </c>
      <c r="C2" s="132"/>
      <c r="D2" s="132"/>
      <c r="E2">
        <v>0</v>
      </c>
      <c r="F2">
        <v>0</v>
      </c>
      <c r="G2" s="132">
        <v>46014.698107638891</v>
      </c>
      <c r="H2" s="132">
        <v>44637.75</v>
      </c>
      <c r="I2" s="132">
        <v>44440.333333333336</v>
      </c>
      <c r="J2" t="b">
        <v>0</v>
      </c>
      <c r="K2" t="b">
        <v>1</v>
      </c>
      <c r="L2" s="132">
        <v>44637.75</v>
      </c>
      <c r="M2">
        <v>0</v>
      </c>
      <c r="N2">
        <v>0</v>
      </c>
      <c r="O2" t="s">
        <v>553</v>
      </c>
      <c r="P2" s="132">
        <v>44637.75</v>
      </c>
      <c r="Q2" s="132">
        <v>44481.333333333336</v>
      </c>
      <c r="R2" s="132">
        <v>46111.952404976852</v>
      </c>
      <c r="S2" s="132">
        <v>46111.95233310185</v>
      </c>
      <c r="T2" s="130" t="s">
        <v>449</v>
      </c>
      <c r="U2" s="136">
        <v>0</v>
      </c>
      <c r="V2" t="s">
        <v>449</v>
      </c>
      <c r="W2" t="s">
        <v>450</v>
      </c>
      <c r="X2" t="s">
        <v>126</v>
      </c>
      <c r="Y2" s="130">
        <v>100</v>
      </c>
      <c r="Z2" s="130" t="s">
        <v>554</v>
      </c>
      <c r="AA2" s="130" t="s">
        <v>555</v>
      </c>
      <c r="AB2" t="s">
        <v>556</v>
      </c>
      <c r="AD2" t="s">
        <v>557</v>
      </c>
      <c r="AF2" t="s">
        <v>558</v>
      </c>
      <c r="AI2" s="132">
        <v>46387.375</v>
      </c>
    </row>
    <row r="3" spans="1:37" x14ac:dyDescent="0.25">
      <c r="A3">
        <v>0</v>
      </c>
      <c r="B3">
        <v>216</v>
      </c>
      <c r="C3" s="132">
        <v>46007</v>
      </c>
      <c r="D3" s="132">
        <v>45966</v>
      </c>
      <c r="E3">
        <v>0</v>
      </c>
      <c r="F3">
        <v>0</v>
      </c>
      <c r="G3" s="132">
        <v>45986.738573726849</v>
      </c>
      <c r="H3" s="132">
        <v>46007</v>
      </c>
      <c r="I3" s="132">
        <v>45966</v>
      </c>
      <c r="J3" t="b">
        <v>0</v>
      </c>
      <c r="K3" t="b">
        <v>1</v>
      </c>
      <c r="L3" s="132">
        <v>46007</v>
      </c>
      <c r="M3">
        <v>0</v>
      </c>
      <c r="N3">
        <v>0</v>
      </c>
      <c r="O3" t="s">
        <v>559</v>
      </c>
      <c r="P3" s="132">
        <v>46007</v>
      </c>
      <c r="Q3" s="132">
        <v>45966</v>
      </c>
      <c r="R3" s="132">
        <v>46111.94694976852</v>
      </c>
      <c r="S3" s="132">
        <v>46118.532276655096</v>
      </c>
      <c r="T3" s="130" t="s">
        <v>418</v>
      </c>
      <c r="U3" s="136">
        <v>100</v>
      </c>
      <c r="V3" t="s">
        <v>418</v>
      </c>
      <c r="W3" t="s">
        <v>419</v>
      </c>
      <c r="X3" t="s">
        <v>126</v>
      </c>
      <c r="Y3" s="130">
        <v>100</v>
      </c>
      <c r="Z3" s="130" t="s">
        <v>560</v>
      </c>
      <c r="AA3" s="130" t="s">
        <v>421</v>
      </c>
      <c r="AB3" t="s">
        <v>561</v>
      </c>
      <c r="AD3" t="s">
        <v>562</v>
      </c>
      <c r="AF3" t="s">
        <v>558</v>
      </c>
      <c r="AG3" t="s">
        <v>563</v>
      </c>
      <c r="AI3" s="132">
        <v>46022.375</v>
      </c>
      <c r="AK3" t="s">
        <v>563</v>
      </c>
    </row>
    <row r="4" spans="1:37" x14ac:dyDescent="0.25">
      <c r="A4">
        <v>0</v>
      </c>
      <c r="B4">
        <v>8232.0400000000009</v>
      </c>
      <c r="C4" s="132">
        <v>45971.375</v>
      </c>
      <c r="D4" s="132">
        <v>44440.373333333337</v>
      </c>
      <c r="E4">
        <v>0</v>
      </c>
      <c r="F4">
        <v>0</v>
      </c>
      <c r="G4" s="132">
        <v>45971.923861539355</v>
      </c>
      <c r="H4" s="132">
        <v>45971.375</v>
      </c>
      <c r="I4" s="132">
        <v>44440.373333333337</v>
      </c>
      <c r="J4" t="b">
        <v>0</v>
      </c>
      <c r="K4" t="b">
        <v>1</v>
      </c>
      <c r="L4" s="132">
        <v>45971.375</v>
      </c>
      <c r="M4">
        <v>0</v>
      </c>
      <c r="N4">
        <v>0</v>
      </c>
      <c r="O4" t="s">
        <v>564</v>
      </c>
      <c r="P4" s="132">
        <v>45971.375</v>
      </c>
      <c r="Q4" s="132">
        <v>44440.373333333337</v>
      </c>
      <c r="R4" s="132">
        <v>46112.594845370368</v>
      </c>
      <c r="S4" s="132">
        <v>46112.594775694444</v>
      </c>
      <c r="T4" s="130" t="s">
        <v>384</v>
      </c>
      <c r="U4" s="136">
        <v>100</v>
      </c>
      <c r="V4" t="s">
        <v>384</v>
      </c>
      <c r="W4" t="s">
        <v>386</v>
      </c>
      <c r="X4" t="s">
        <v>126</v>
      </c>
      <c r="Y4" s="130">
        <v>100</v>
      </c>
      <c r="Z4" s="130" t="s">
        <v>554</v>
      </c>
      <c r="AA4" s="130" t="s">
        <v>388</v>
      </c>
      <c r="AB4" t="s">
        <v>565</v>
      </c>
      <c r="AD4" t="s">
        <v>557</v>
      </c>
      <c r="AF4" t="s">
        <v>558</v>
      </c>
      <c r="AI4" s="132">
        <v>45991.375</v>
      </c>
    </row>
    <row r="5" spans="1:37" x14ac:dyDescent="0.25">
      <c r="A5">
        <v>16570000</v>
      </c>
      <c r="B5">
        <v>348.188333</v>
      </c>
      <c r="C5" s="132"/>
      <c r="D5" s="132">
        <v>45904.375</v>
      </c>
      <c r="E5">
        <v>6724.8</v>
      </c>
      <c r="F5">
        <v>10735979.166666999</v>
      </c>
      <c r="G5" s="132">
        <v>45932.728403240741</v>
      </c>
      <c r="H5" s="132">
        <v>45980.375</v>
      </c>
      <c r="I5" s="132">
        <v>45904.375</v>
      </c>
      <c r="J5" t="b">
        <v>0</v>
      </c>
      <c r="K5" t="b">
        <v>1</v>
      </c>
      <c r="L5" s="132">
        <v>45980.375</v>
      </c>
      <c r="M5">
        <v>0</v>
      </c>
      <c r="N5">
        <v>0</v>
      </c>
      <c r="O5" t="s">
        <v>566</v>
      </c>
      <c r="P5" s="132">
        <v>45980.375</v>
      </c>
      <c r="Q5" s="132">
        <v>45904.375</v>
      </c>
      <c r="R5" s="132">
        <v>46031.872810497684</v>
      </c>
      <c r="S5" s="132">
        <v>46118.531260914351</v>
      </c>
      <c r="T5" s="130" t="s">
        <v>509</v>
      </c>
      <c r="U5" s="136">
        <v>85</v>
      </c>
      <c r="V5" t="s">
        <v>509</v>
      </c>
      <c r="W5" t="s">
        <v>567</v>
      </c>
      <c r="X5" t="s">
        <v>73</v>
      </c>
      <c r="Y5" s="130">
        <v>56.617646999999998</v>
      </c>
      <c r="Z5" s="130" t="s">
        <v>568</v>
      </c>
      <c r="AA5" s="130" t="s">
        <v>569</v>
      </c>
      <c r="AB5" t="s">
        <v>570</v>
      </c>
      <c r="AD5" t="s">
        <v>557</v>
      </c>
      <c r="AF5" t="s">
        <v>558</v>
      </c>
      <c r="AI5" s="132">
        <v>46022.375</v>
      </c>
    </row>
    <row r="6" spans="1:37" x14ac:dyDescent="0.25">
      <c r="A6">
        <v>0</v>
      </c>
      <c r="B6">
        <v>751</v>
      </c>
      <c r="C6" s="132">
        <v>46022.791666666664</v>
      </c>
      <c r="D6" s="132">
        <v>45883.375</v>
      </c>
      <c r="E6">
        <v>0</v>
      </c>
      <c r="F6">
        <v>0</v>
      </c>
      <c r="G6" s="132">
        <v>45902.634798344909</v>
      </c>
      <c r="H6" s="132">
        <v>46022.791666666664</v>
      </c>
      <c r="I6" s="132">
        <v>45883.375</v>
      </c>
      <c r="J6" t="b">
        <v>0</v>
      </c>
      <c r="K6" t="b">
        <v>1</v>
      </c>
      <c r="L6" s="132">
        <v>46022.791666666664</v>
      </c>
      <c r="M6">
        <v>0</v>
      </c>
      <c r="N6">
        <v>0</v>
      </c>
      <c r="O6" t="s">
        <v>571</v>
      </c>
      <c r="P6" s="132">
        <v>46022.791666666664</v>
      </c>
      <c r="Q6" s="132">
        <v>45883.375</v>
      </c>
      <c r="R6" s="132">
        <v>46100.033885381941</v>
      </c>
      <c r="S6" s="132">
        <v>46118.549588425929</v>
      </c>
      <c r="T6" s="130" t="s">
        <v>326</v>
      </c>
      <c r="U6" s="136">
        <v>100</v>
      </c>
      <c r="V6" t="s">
        <v>326</v>
      </c>
      <c r="W6" t="s">
        <v>327</v>
      </c>
      <c r="X6" t="s">
        <v>126</v>
      </c>
      <c r="Y6" s="130">
        <v>100</v>
      </c>
      <c r="Z6" s="130" t="s">
        <v>560</v>
      </c>
      <c r="AA6" s="130" t="s">
        <v>329</v>
      </c>
      <c r="AB6" t="s">
        <v>556</v>
      </c>
      <c r="AD6" t="s">
        <v>572</v>
      </c>
      <c r="AE6" t="s">
        <v>573</v>
      </c>
      <c r="AF6" t="s">
        <v>574</v>
      </c>
      <c r="AI6" s="132">
        <v>46022.375</v>
      </c>
    </row>
    <row r="7" spans="1:37" x14ac:dyDescent="0.25">
      <c r="A7">
        <v>0</v>
      </c>
      <c r="B7">
        <v>685.43833299999994</v>
      </c>
      <c r="C7" s="132"/>
      <c r="D7" s="132">
        <v>45895.333333333336</v>
      </c>
      <c r="E7">
        <v>19436.68</v>
      </c>
      <c r="F7">
        <v>0</v>
      </c>
      <c r="G7" s="132">
        <v>45901.854656446762</v>
      </c>
      <c r="H7" s="132">
        <v>46021.708333333336</v>
      </c>
      <c r="I7" s="132">
        <v>45895.333333333336</v>
      </c>
      <c r="J7" t="b">
        <v>0</v>
      </c>
      <c r="K7" t="b">
        <v>1</v>
      </c>
      <c r="L7" s="132">
        <v>46021.708333333336</v>
      </c>
      <c r="M7">
        <v>0</v>
      </c>
      <c r="N7">
        <v>0</v>
      </c>
      <c r="O7" t="s">
        <v>571</v>
      </c>
      <c r="P7" s="132">
        <v>46021.708333333336</v>
      </c>
      <c r="Q7" s="132">
        <v>45895.333333333336</v>
      </c>
      <c r="R7" s="132">
        <v>46010.53242708333</v>
      </c>
      <c r="S7" s="132">
        <v>46111.703178206022</v>
      </c>
      <c r="T7" s="130" t="s">
        <v>321</v>
      </c>
      <c r="U7" s="136">
        <v>99</v>
      </c>
      <c r="V7" t="s">
        <v>575</v>
      </c>
      <c r="W7" t="s">
        <v>322</v>
      </c>
      <c r="X7" t="s">
        <v>126</v>
      </c>
      <c r="Y7" s="130">
        <v>93.013099999999994</v>
      </c>
      <c r="Z7" s="130" t="s">
        <v>576</v>
      </c>
      <c r="AA7" s="130" t="s">
        <v>324</v>
      </c>
      <c r="AB7" t="s">
        <v>577</v>
      </c>
      <c r="AD7" t="s">
        <v>578</v>
      </c>
      <c r="AE7" t="s">
        <v>579</v>
      </c>
      <c r="AF7" t="s">
        <v>558</v>
      </c>
      <c r="AH7" t="s">
        <v>580</v>
      </c>
      <c r="AI7" s="132">
        <v>46022.333333333336</v>
      </c>
    </row>
    <row r="8" spans="1:37" x14ac:dyDescent="0.25">
      <c r="A8">
        <v>0</v>
      </c>
      <c r="B8">
        <v>847.04</v>
      </c>
      <c r="C8" s="132">
        <v>46006.791666666664</v>
      </c>
      <c r="D8" s="132">
        <v>45849.373333333337</v>
      </c>
      <c r="E8">
        <v>0</v>
      </c>
      <c r="F8">
        <v>0</v>
      </c>
      <c r="G8" s="132">
        <v>45845.610437002317</v>
      </c>
      <c r="H8" s="132">
        <v>46006.791666666664</v>
      </c>
      <c r="I8" s="132">
        <v>45849.373333333337</v>
      </c>
      <c r="J8" t="b">
        <v>0</v>
      </c>
      <c r="K8" t="b">
        <v>1</v>
      </c>
      <c r="L8" s="132">
        <v>46006.791666666664</v>
      </c>
      <c r="M8">
        <v>0</v>
      </c>
      <c r="N8">
        <v>0</v>
      </c>
      <c r="O8" t="s">
        <v>581</v>
      </c>
      <c r="P8" s="132">
        <v>46006.791666666664</v>
      </c>
      <c r="Q8" s="132">
        <v>45849.373333333337</v>
      </c>
      <c r="R8" s="132">
        <v>46008.849466168984</v>
      </c>
      <c r="S8" s="132">
        <v>46111.699188043982</v>
      </c>
      <c r="T8" s="130" t="s">
        <v>299</v>
      </c>
      <c r="U8" s="136">
        <v>100</v>
      </c>
      <c r="V8" t="s">
        <v>299</v>
      </c>
      <c r="W8" t="s">
        <v>300</v>
      </c>
      <c r="X8" t="s">
        <v>126</v>
      </c>
      <c r="Y8" s="130">
        <v>100</v>
      </c>
      <c r="Z8" s="130" t="s">
        <v>560</v>
      </c>
      <c r="AA8" s="130" t="s">
        <v>302</v>
      </c>
      <c r="AB8" t="s">
        <v>582</v>
      </c>
      <c r="AD8" t="s">
        <v>578</v>
      </c>
      <c r="AE8" t="s">
        <v>573</v>
      </c>
      <c r="AF8" t="s">
        <v>558</v>
      </c>
      <c r="AI8" s="132">
        <v>46022.375</v>
      </c>
      <c r="AJ8" t="s">
        <v>583</v>
      </c>
    </row>
    <row r="9" spans="1:37" x14ac:dyDescent="0.25">
      <c r="A9">
        <v>13900000</v>
      </c>
      <c r="B9">
        <v>162.88666699999999</v>
      </c>
      <c r="C9" s="132"/>
      <c r="D9" s="132">
        <v>45841.375</v>
      </c>
      <c r="E9">
        <v>7760.3616670000001</v>
      </c>
      <c r="F9">
        <v>13900000</v>
      </c>
      <c r="G9" s="132">
        <v>45827.960147141202</v>
      </c>
      <c r="H9" s="132">
        <v>45873.375</v>
      </c>
      <c r="I9" s="132">
        <v>45841.375</v>
      </c>
      <c r="J9" t="b">
        <v>0</v>
      </c>
      <c r="K9" t="b">
        <v>1</v>
      </c>
      <c r="L9" s="132">
        <v>46055.71</v>
      </c>
      <c r="M9">
        <v>-903.04</v>
      </c>
      <c r="N9">
        <v>0</v>
      </c>
      <c r="O9" t="s">
        <v>584</v>
      </c>
      <c r="P9" s="132">
        <v>45873.375</v>
      </c>
      <c r="Q9" s="132">
        <v>45841.375</v>
      </c>
      <c r="R9" s="132">
        <v>45925.564100462965</v>
      </c>
      <c r="S9" s="132">
        <v>46118.529881099537</v>
      </c>
      <c r="T9" s="130" t="s">
        <v>510</v>
      </c>
      <c r="U9" s="136">
        <v>93</v>
      </c>
      <c r="V9" t="s">
        <v>510</v>
      </c>
      <c r="W9" t="s">
        <v>585</v>
      </c>
      <c r="X9" t="s">
        <v>73</v>
      </c>
      <c r="Y9" s="130">
        <v>44.473531999999999</v>
      </c>
      <c r="Z9" s="130" t="s">
        <v>586</v>
      </c>
      <c r="AA9" s="130" t="s">
        <v>569</v>
      </c>
      <c r="AB9" t="s">
        <v>570</v>
      </c>
      <c r="AD9" t="s">
        <v>557</v>
      </c>
      <c r="AF9" t="s">
        <v>558</v>
      </c>
      <c r="AI9" s="132">
        <v>45961.375</v>
      </c>
    </row>
    <row r="10" spans="1:37" x14ac:dyDescent="0.25">
      <c r="A10">
        <v>0</v>
      </c>
      <c r="B10">
        <v>661.89</v>
      </c>
      <c r="C10" s="132"/>
      <c r="D10" s="132">
        <v>45737.375</v>
      </c>
      <c r="E10">
        <v>4497.3999999999996</v>
      </c>
      <c r="F10">
        <v>0</v>
      </c>
      <c r="G10" s="132">
        <v>45747.902970868054</v>
      </c>
      <c r="H10" s="132">
        <v>45863.375</v>
      </c>
      <c r="I10" s="132">
        <v>45737.375</v>
      </c>
      <c r="J10" t="b">
        <v>0</v>
      </c>
      <c r="K10" t="b">
        <v>1</v>
      </c>
      <c r="L10" s="132">
        <v>45863.375</v>
      </c>
      <c r="M10">
        <v>-176</v>
      </c>
      <c r="N10">
        <v>0</v>
      </c>
      <c r="O10" t="s">
        <v>587</v>
      </c>
      <c r="P10" s="132">
        <v>45863.375</v>
      </c>
      <c r="Q10" s="132">
        <v>45737.375</v>
      </c>
      <c r="R10" s="132">
        <v>45925.581885613428</v>
      </c>
      <c r="S10" s="132">
        <v>46111.695796261571</v>
      </c>
      <c r="T10" s="130" t="s">
        <v>511</v>
      </c>
      <c r="U10" s="136">
        <v>99</v>
      </c>
      <c r="V10" t="s">
        <v>511</v>
      </c>
      <c r="W10" t="s">
        <v>588</v>
      </c>
      <c r="X10" t="s">
        <v>126</v>
      </c>
      <c r="Y10" s="130">
        <v>100</v>
      </c>
      <c r="Z10" s="130" t="s">
        <v>560</v>
      </c>
      <c r="AA10" s="130" t="s">
        <v>569</v>
      </c>
      <c r="AB10" t="s">
        <v>570</v>
      </c>
      <c r="AD10" t="s">
        <v>557</v>
      </c>
      <c r="AE10" t="s">
        <v>589</v>
      </c>
      <c r="AF10" t="s">
        <v>558</v>
      </c>
      <c r="AI10" s="132">
        <v>45869.375</v>
      </c>
      <c r="AJ10" t="s">
        <v>590</v>
      </c>
    </row>
    <row r="11" spans="1:37" x14ac:dyDescent="0.25">
      <c r="A11">
        <v>0</v>
      </c>
      <c r="B11">
        <v>2704.4</v>
      </c>
      <c r="C11" s="132">
        <v>45946.35</v>
      </c>
      <c r="D11" s="132">
        <v>45442.791666666664</v>
      </c>
      <c r="E11">
        <v>6092.2</v>
      </c>
      <c r="F11">
        <v>0</v>
      </c>
      <c r="G11" s="132">
        <v>45720.964197256944</v>
      </c>
      <c r="H11" s="132">
        <v>45946.35</v>
      </c>
      <c r="I11" s="132">
        <v>45442.791666666664</v>
      </c>
      <c r="J11" t="b">
        <v>0</v>
      </c>
      <c r="K11" t="b">
        <v>1</v>
      </c>
      <c r="L11" s="132">
        <v>45946.35</v>
      </c>
      <c r="M11">
        <v>479.4</v>
      </c>
      <c r="N11">
        <v>0</v>
      </c>
      <c r="O11" t="s">
        <v>591</v>
      </c>
      <c r="P11" s="132">
        <v>45946.35</v>
      </c>
      <c r="Q11" s="132">
        <v>45442.791666666664</v>
      </c>
      <c r="R11" s="132">
        <v>46055.911214849541</v>
      </c>
      <c r="S11" s="132">
        <v>46111.695348842593</v>
      </c>
      <c r="T11" s="130" t="s">
        <v>512</v>
      </c>
      <c r="U11" s="136">
        <v>100</v>
      </c>
      <c r="V11" t="s">
        <v>512</v>
      </c>
      <c r="W11" t="s">
        <v>592</v>
      </c>
      <c r="X11" t="s">
        <v>73</v>
      </c>
      <c r="Y11" s="130">
        <v>100</v>
      </c>
      <c r="Z11" s="130" t="s">
        <v>560</v>
      </c>
      <c r="AA11" s="130" t="s">
        <v>569</v>
      </c>
      <c r="AB11" t="s">
        <v>570</v>
      </c>
      <c r="AD11" t="s">
        <v>593</v>
      </c>
      <c r="AE11" t="s">
        <v>579</v>
      </c>
      <c r="AF11" t="s">
        <v>558</v>
      </c>
      <c r="AI11" s="132">
        <v>45869.375</v>
      </c>
      <c r="AJ11" t="s">
        <v>594</v>
      </c>
    </row>
    <row r="12" spans="1:37" x14ac:dyDescent="0.25">
      <c r="A12">
        <v>0</v>
      </c>
      <c r="B12">
        <v>1910.218333</v>
      </c>
      <c r="C12" s="132"/>
      <c r="D12" s="132">
        <v>45705.375</v>
      </c>
      <c r="E12">
        <v>0</v>
      </c>
      <c r="F12">
        <v>0</v>
      </c>
      <c r="G12" s="132">
        <v>45705.736462615743</v>
      </c>
      <c r="H12" s="132">
        <v>46059.75</v>
      </c>
      <c r="I12" s="132">
        <v>45705.375</v>
      </c>
      <c r="J12" t="b">
        <v>0</v>
      </c>
      <c r="K12" t="b">
        <v>1</v>
      </c>
      <c r="L12" s="132">
        <v>46059.75</v>
      </c>
      <c r="M12">
        <v>0</v>
      </c>
      <c r="N12">
        <v>0</v>
      </c>
      <c r="O12" t="s">
        <v>595</v>
      </c>
      <c r="P12" s="132">
        <v>46059.75</v>
      </c>
      <c r="Q12" s="132">
        <v>45705.375</v>
      </c>
      <c r="R12" s="132">
        <v>46112.568502546295</v>
      </c>
      <c r="S12" s="132">
        <v>46112.568420370371</v>
      </c>
      <c r="T12" s="130" t="s">
        <v>265</v>
      </c>
      <c r="U12" s="136">
        <v>99</v>
      </c>
      <c r="V12" t="s">
        <v>265</v>
      </c>
      <c r="W12" t="s">
        <v>266</v>
      </c>
      <c r="X12" t="s">
        <v>126</v>
      </c>
      <c r="Y12" s="130">
        <v>100</v>
      </c>
      <c r="Z12" s="130" t="s">
        <v>554</v>
      </c>
      <c r="AA12" s="130" t="s">
        <v>268</v>
      </c>
      <c r="AB12" t="s">
        <v>596</v>
      </c>
      <c r="AD12" t="s">
        <v>597</v>
      </c>
      <c r="AE12" t="s">
        <v>598</v>
      </c>
      <c r="AF12" t="s">
        <v>558</v>
      </c>
      <c r="AG12" t="s">
        <v>599</v>
      </c>
      <c r="AI12" s="132">
        <v>46115.375</v>
      </c>
      <c r="AJ12" t="s">
        <v>600</v>
      </c>
      <c r="AK12" t="s">
        <v>601</v>
      </c>
    </row>
    <row r="13" spans="1:37" x14ac:dyDescent="0.25">
      <c r="A13">
        <v>0</v>
      </c>
      <c r="B13">
        <v>808</v>
      </c>
      <c r="C13" s="132">
        <v>45835.791666666664</v>
      </c>
      <c r="D13" s="132">
        <v>45692.333333333336</v>
      </c>
      <c r="E13">
        <v>0</v>
      </c>
      <c r="F13">
        <v>0</v>
      </c>
      <c r="G13" s="132">
        <v>45700.878398923611</v>
      </c>
      <c r="H13" s="132">
        <v>45835.791666666664</v>
      </c>
      <c r="I13" s="132">
        <v>45687.333333333336</v>
      </c>
      <c r="J13" t="b">
        <v>0</v>
      </c>
      <c r="K13" t="b">
        <v>1</v>
      </c>
      <c r="L13" s="132">
        <v>45835.791666666664</v>
      </c>
      <c r="M13">
        <v>-6625</v>
      </c>
      <c r="N13">
        <v>0</v>
      </c>
      <c r="O13" t="s">
        <v>602</v>
      </c>
      <c r="P13" s="132">
        <v>45835.791666666664</v>
      </c>
      <c r="Q13" s="132">
        <v>45687.333333333336</v>
      </c>
      <c r="R13" s="132">
        <v>45825.555184143515</v>
      </c>
      <c r="S13" s="132">
        <v>46111.69393645833</v>
      </c>
      <c r="T13" s="130" t="s">
        <v>260</v>
      </c>
      <c r="U13" s="136">
        <v>100</v>
      </c>
      <c r="V13" t="s">
        <v>260</v>
      </c>
      <c r="W13" t="s">
        <v>261</v>
      </c>
      <c r="X13" t="s">
        <v>126</v>
      </c>
      <c r="Y13" s="130">
        <v>47.970255999999999</v>
      </c>
      <c r="Z13" s="130" t="s">
        <v>603</v>
      </c>
      <c r="AA13" s="130" t="s">
        <v>263</v>
      </c>
      <c r="AB13" t="s">
        <v>604</v>
      </c>
      <c r="AD13" t="s">
        <v>605</v>
      </c>
      <c r="AE13" t="s">
        <v>598</v>
      </c>
      <c r="AF13" t="s">
        <v>558</v>
      </c>
      <c r="AG13" t="s">
        <v>606</v>
      </c>
      <c r="AI13" s="132">
        <v>45723.375</v>
      </c>
      <c r="AK13" t="s">
        <v>607</v>
      </c>
    </row>
    <row r="14" spans="1:37" x14ac:dyDescent="0.25">
      <c r="A14">
        <v>0</v>
      </c>
      <c r="B14">
        <v>384</v>
      </c>
      <c r="C14" s="132">
        <v>45743.375</v>
      </c>
      <c r="D14" s="132">
        <v>45677.375</v>
      </c>
      <c r="E14">
        <v>0</v>
      </c>
      <c r="F14">
        <v>0</v>
      </c>
      <c r="G14" s="132">
        <v>45691.638554201389</v>
      </c>
      <c r="H14" s="132">
        <v>45743.375</v>
      </c>
      <c r="I14" s="132">
        <v>45677.375</v>
      </c>
      <c r="J14" t="b">
        <v>0</v>
      </c>
      <c r="K14" t="b">
        <v>1</v>
      </c>
      <c r="L14" s="132">
        <v>45743.375</v>
      </c>
      <c r="M14">
        <v>-39</v>
      </c>
      <c r="N14">
        <v>0</v>
      </c>
      <c r="O14" t="s">
        <v>608</v>
      </c>
      <c r="P14" s="132">
        <v>45743.375</v>
      </c>
      <c r="Q14" s="132">
        <v>45677.375</v>
      </c>
      <c r="R14" s="132">
        <v>45771.559853125</v>
      </c>
      <c r="S14" s="132">
        <v>46118.528209756943</v>
      </c>
      <c r="T14" s="130" t="s">
        <v>250</v>
      </c>
      <c r="U14" s="136">
        <v>100</v>
      </c>
      <c r="V14" t="s">
        <v>250</v>
      </c>
      <c r="W14" t="s">
        <v>251</v>
      </c>
      <c r="X14" t="s">
        <v>126</v>
      </c>
      <c r="Y14" s="130">
        <v>18.632075</v>
      </c>
      <c r="Z14" s="130" t="s">
        <v>609</v>
      </c>
      <c r="AA14" s="130" t="s">
        <v>253</v>
      </c>
      <c r="AB14" t="s">
        <v>610</v>
      </c>
      <c r="AD14" t="s">
        <v>611</v>
      </c>
      <c r="AE14" t="s">
        <v>612</v>
      </c>
      <c r="AF14" t="s">
        <v>574</v>
      </c>
      <c r="AG14" t="s">
        <v>613</v>
      </c>
      <c r="AI14" s="132">
        <v>45716.375</v>
      </c>
      <c r="AK14" t="s">
        <v>614</v>
      </c>
    </row>
    <row r="15" spans="1:37" x14ac:dyDescent="0.25">
      <c r="A15">
        <v>0</v>
      </c>
      <c r="B15">
        <v>328</v>
      </c>
      <c r="C15" s="132">
        <v>45709.666666666664</v>
      </c>
      <c r="D15" s="132">
        <v>45653.375</v>
      </c>
      <c r="E15">
        <v>0</v>
      </c>
      <c r="F15">
        <v>0</v>
      </c>
      <c r="G15" s="132">
        <v>45659.864735416668</v>
      </c>
      <c r="H15" s="132">
        <v>45709.75</v>
      </c>
      <c r="I15" s="132">
        <v>45653.333333333336</v>
      </c>
      <c r="J15" t="b">
        <v>0</v>
      </c>
      <c r="K15" t="b">
        <v>1</v>
      </c>
      <c r="L15" s="132">
        <v>45709.75</v>
      </c>
      <c r="M15">
        <v>560</v>
      </c>
      <c r="N15">
        <v>0</v>
      </c>
      <c r="O15" t="s">
        <v>615</v>
      </c>
      <c r="P15" s="132">
        <v>45709.75</v>
      </c>
      <c r="Q15" s="132">
        <v>45653.333333333336</v>
      </c>
      <c r="R15" s="132">
        <v>45790.657724189812</v>
      </c>
      <c r="S15" s="132">
        <v>46111.693205324074</v>
      </c>
      <c r="T15" s="130" t="s">
        <v>245</v>
      </c>
      <c r="U15" s="136">
        <v>100</v>
      </c>
      <c r="V15" t="s">
        <v>245</v>
      </c>
      <c r="W15" t="s">
        <v>246</v>
      </c>
      <c r="X15" t="s">
        <v>126</v>
      </c>
      <c r="Y15" s="130">
        <v>100</v>
      </c>
      <c r="Z15" s="130" t="s">
        <v>560</v>
      </c>
      <c r="AA15" s="130" t="s">
        <v>248</v>
      </c>
      <c r="AB15" t="s">
        <v>245</v>
      </c>
      <c r="AD15" t="s">
        <v>616</v>
      </c>
      <c r="AE15" t="s">
        <v>617</v>
      </c>
      <c r="AF15" t="s">
        <v>558</v>
      </c>
      <c r="AG15" t="s">
        <v>618</v>
      </c>
      <c r="AI15" s="132">
        <v>45717.333333333336</v>
      </c>
      <c r="AK15" t="s">
        <v>619</v>
      </c>
    </row>
    <row r="16" spans="1:37" x14ac:dyDescent="0.25">
      <c r="A16">
        <v>0</v>
      </c>
      <c r="B16">
        <v>3668</v>
      </c>
      <c r="C16" s="132">
        <v>46338.5</v>
      </c>
      <c r="D16" s="132">
        <v>45653.291666666664</v>
      </c>
      <c r="E16">
        <v>43516</v>
      </c>
      <c r="F16">
        <v>0</v>
      </c>
      <c r="G16" s="132">
        <v>45656.606922488427</v>
      </c>
      <c r="H16" s="132">
        <v>46338.5</v>
      </c>
      <c r="I16" s="132">
        <v>45653.291666666664</v>
      </c>
      <c r="J16" t="b">
        <v>0</v>
      </c>
      <c r="K16" t="b">
        <v>1</v>
      </c>
      <c r="L16" s="132">
        <v>46338.5</v>
      </c>
      <c r="M16">
        <v>1304</v>
      </c>
      <c r="N16">
        <v>0</v>
      </c>
      <c r="O16" t="s">
        <v>620</v>
      </c>
      <c r="P16" s="132">
        <v>46338.5</v>
      </c>
      <c r="Q16" s="132">
        <v>45653.291666666664</v>
      </c>
      <c r="R16" s="132">
        <v>46111.801629942129</v>
      </c>
      <c r="S16" s="132">
        <v>46118.549172488427</v>
      </c>
      <c r="T16" s="130" t="s">
        <v>239</v>
      </c>
      <c r="U16" s="136">
        <v>100</v>
      </c>
      <c r="V16" t="s">
        <v>239</v>
      </c>
      <c r="W16" t="s">
        <v>241</v>
      </c>
      <c r="X16" t="s">
        <v>126</v>
      </c>
      <c r="Y16" s="130">
        <v>100</v>
      </c>
      <c r="Z16" s="130" t="s">
        <v>560</v>
      </c>
      <c r="AA16" s="130" t="s">
        <v>243</v>
      </c>
      <c r="AB16" t="s">
        <v>621</v>
      </c>
      <c r="AD16" t="s">
        <v>562</v>
      </c>
      <c r="AF16" t="s">
        <v>622</v>
      </c>
      <c r="AG16" t="s">
        <v>623</v>
      </c>
      <c r="AI16" s="132">
        <v>45925.375</v>
      </c>
      <c r="AJ16" t="s">
        <v>624</v>
      </c>
      <c r="AK16" t="s">
        <v>625</v>
      </c>
    </row>
    <row r="17" spans="1:37" x14ac:dyDescent="0.25">
      <c r="A17">
        <v>0</v>
      </c>
      <c r="B17">
        <v>949</v>
      </c>
      <c r="C17" s="132">
        <v>45824.666666666664</v>
      </c>
      <c r="D17" s="132">
        <v>45646.375</v>
      </c>
      <c r="E17">
        <v>1303</v>
      </c>
      <c r="F17">
        <v>0</v>
      </c>
      <c r="G17" s="132">
        <v>45644.888087002313</v>
      </c>
      <c r="H17" s="132">
        <v>45824.666666666664</v>
      </c>
      <c r="I17" s="132">
        <v>45646.375</v>
      </c>
      <c r="J17" t="b">
        <v>0</v>
      </c>
      <c r="K17" t="b">
        <v>1</v>
      </c>
      <c r="L17" s="132">
        <v>45824.666666666664</v>
      </c>
      <c r="M17">
        <v>558</v>
      </c>
      <c r="N17">
        <v>0</v>
      </c>
      <c r="O17" t="s">
        <v>620</v>
      </c>
      <c r="P17" s="132">
        <v>45824.666666666664</v>
      </c>
      <c r="Q17" s="132">
        <v>45646.375</v>
      </c>
      <c r="R17" s="132">
        <v>46029.857198923608</v>
      </c>
      <c r="S17" s="132">
        <v>46118.548370335651</v>
      </c>
      <c r="T17" s="130" t="s">
        <v>234</v>
      </c>
      <c r="U17" s="136">
        <v>100</v>
      </c>
      <c r="V17" t="s">
        <v>626</v>
      </c>
      <c r="W17" t="s">
        <v>235</v>
      </c>
      <c r="X17" t="s">
        <v>126</v>
      </c>
      <c r="Y17" s="130">
        <v>100</v>
      </c>
      <c r="Z17" s="130" t="s">
        <v>560</v>
      </c>
      <c r="AA17" s="130" t="s">
        <v>237</v>
      </c>
      <c r="AB17" t="s">
        <v>627</v>
      </c>
      <c r="AD17" t="s">
        <v>572</v>
      </c>
      <c r="AE17" t="s">
        <v>573</v>
      </c>
      <c r="AF17" t="s">
        <v>558</v>
      </c>
      <c r="AI17" s="132">
        <v>45657.375</v>
      </c>
    </row>
    <row r="18" spans="1:37" x14ac:dyDescent="0.25">
      <c r="A18">
        <v>0</v>
      </c>
      <c r="B18">
        <v>152</v>
      </c>
      <c r="C18" s="132">
        <v>45665.375</v>
      </c>
      <c r="D18" s="132">
        <v>45635.375</v>
      </c>
      <c r="E18">
        <v>0</v>
      </c>
      <c r="F18">
        <v>0</v>
      </c>
      <c r="G18" s="132">
        <v>45636.851213506947</v>
      </c>
      <c r="H18" s="132">
        <v>45665.375</v>
      </c>
      <c r="I18" s="132">
        <v>45635.375</v>
      </c>
      <c r="J18" t="b">
        <v>0</v>
      </c>
      <c r="K18" t="b">
        <v>1</v>
      </c>
      <c r="L18" s="132">
        <v>45665.375</v>
      </c>
      <c r="M18">
        <v>0</v>
      </c>
      <c r="N18">
        <v>0</v>
      </c>
      <c r="O18" t="s">
        <v>628</v>
      </c>
      <c r="P18" s="132">
        <v>45665.375</v>
      </c>
      <c r="Q18" s="132">
        <v>45635.375</v>
      </c>
      <c r="R18" s="132">
        <v>45728.119559988423</v>
      </c>
      <c r="S18" s="132">
        <v>46111.691716435183</v>
      </c>
      <c r="T18" s="130" t="s">
        <v>224</v>
      </c>
      <c r="U18" s="136">
        <v>100</v>
      </c>
      <c r="V18" t="s">
        <v>224</v>
      </c>
      <c r="W18" t="s">
        <v>225</v>
      </c>
      <c r="X18" t="s">
        <v>126</v>
      </c>
      <c r="Y18" s="130">
        <v>100</v>
      </c>
      <c r="Z18" s="130" t="s">
        <v>560</v>
      </c>
      <c r="AA18" s="130" t="s">
        <v>227</v>
      </c>
      <c r="AB18" t="s">
        <v>621</v>
      </c>
      <c r="AD18" t="s">
        <v>605</v>
      </c>
      <c r="AE18" t="s">
        <v>573</v>
      </c>
      <c r="AF18" t="s">
        <v>558</v>
      </c>
      <c r="AI18" s="132">
        <v>45657.375</v>
      </c>
    </row>
    <row r="19" spans="1:37" x14ac:dyDescent="0.25">
      <c r="A19">
        <v>0</v>
      </c>
      <c r="B19">
        <v>152</v>
      </c>
      <c r="C19" s="132">
        <v>45281.375</v>
      </c>
      <c r="D19" s="132">
        <v>45253.375</v>
      </c>
      <c r="E19">
        <v>0</v>
      </c>
      <c r="F19">
        <v>0</v>
      </c>
      <c r="G19" s="132">
        <v>45628.681196990743</v>
      </c>
      <c r="H19" s="132">
        <v>45281.375</v>
      </c>
      <c r="I19" s="132">
        <v>45253.375</v>
      </c>
      <c r="J19" t="b">
        <v>0</v>
      </c>
      <c r="K19" t="b">
        <v>1</v>
      </c>
      <c r="L19" s="132">
        <v>45281.375</v>
      </c>
      <c r="M19">
        <v>0</v>
      </c>
      <c r="N19">
        <v>0</v>
      </c>
      <c r="O19" t="s">
        <v>629</v>
      </c>
      <c r="P19" s="132">
        <v>45281.375</v>
      </c>
      <c r="Q19" s="132">
        <v>45253.375</v>
      </c>
      <c r="R19" s="132">
        <v>45728.959236145834</v>
      </c>
      <c r="S19" s="132">
        <v>46111.690896493055</v>
      </c>
      <c r="T19" s="130" t="s">
        <v>219</v>
      </c>
      <c r="U19" s="136">
        <v>100</v>
      </c>
      <c r="V19" t="s">
        <v>219</v>
      </c>
      <c r="W19" t="s">
        <v>220</v>
      </c>
      <c r="X19" t="s">
        <v>126</v>
      </c>
      <c r="Y19" s="130">
        <v>100</v>
      </c>
      <c r="Z19" s="130" t="s">
        <v>560</v>
      </c>
      <c r="AA19" s="130" t="s">
        <v>222</v>
      </c>
      <c r="AB19" t="s">
        <v>596</v>
      </c>
      <c r="AD19" t="s">
        <v>562</v>
      </c>
      <c r="AE19" t="s">
        <v>573</v>
      </c>
      <c r="AF19" t="s">
        <v>558</v>
      </c>
      <c r="AI19" s="132">
        <v>45611.375</v>
      </c>
    </row>
    <row r="20" spans="1:37" x14ac:dyDescent="0.25">
      <c r="A20">
        <v>0</v>
      </c>
      <c r="B20">
        <v>3136.9949999999999</v>
      </c>
      <c r="C20" s="132"/>
      <c r="D20" s="132">
        <v>45629.333333333336</v>
      </c>
      <c r="E20">
        <v>0</v>
      </c>
      <c r="F20">
        <v>0</v>
      </c>
      <c r="G20" s="132">
        <v>45616.835520104163</v>
      </c>
      <c r="H20" s="132">
        <v>46352.75</v>
      </c>
      <c r="I20" s="132">
        <v>45629.333333333336</v>
      </c>
      <c r="J20" t="b">
        <v>0</v>
      </c>
      <c r="K20" t="b">
        <v>1</v>
      </c>
      <c r="L20" s="132">
        <v>46352.75</v>
      </c>
      <c r="M20">
        <v>0</v>
      </c>
      <c r="N20">
        <v>0</v>
      </c>
      <c r="O20" t="s">
        <v>630</v>
      </c>
      <c r="P20" s="132">
        <v>46352.75</v>
      </c>
      <c r="Q20" s="132">
        <v>45629.333333333336</v>
      </c>
      <c r="R20" s="132">
        <v>46111.858222256946</v>
      </c>
      <c r="S20" s="132">
        <v>46111.858165972226</v>
      </c>
      <c r="T20" s="130" t="s">
        <v>214</v>
      </c>
      <c r="U20" s="136">
        <v>81</v>
      </c>
      <c r="V20" t="s">
        <v>214</v>
      </c>
      <c r="W20" t="s">
        <v>215</v>
      </c>
      <c r="X20" t="s">
        <v>126</v>
      </c>
      <c r="Y20" s="130">
        <v>66.804124000000002</v>
      </c>
      <c r="Z20" s="130" t="s">
        <v>631</v>
      </c>
      <c r="AA20" s="130" t="s">
        <v>217</v>
      </c>
      <c r="AB20" t="s">
        <v>632</v>
      </c>
      <c r="AD20" t="s">
        <v>605</v>
      </c>
      <c r="AE20" t="s">
        <v>573</v>
      </c>
      <c r="AF20" t="s">
        <v>558</v>
      </c>
      <c r="AG20" t="s">
        <v>633</v>
      </c>
      <c r="AI20" s="132">
        <v>45970.375</v>
      </c>
      <c r="AK20" t="s">
        <v>634</v>
      </c>
    </row>
    <row r="21" spans="1:37" x14ac:dyDescent="0.25">
      <c r="A21">
        <v>0</v>
      </c>
      <c r="B21">
        <v>255</v>
      </c>
      <c r="C21" s="132">
        <v>45657.708333333336</v>
      </c>
      <c r="D21" s="132">
        <v>45611.333333333336</v>
      </c>
      <c r="E21">
        <v>3603</v>
      </c>
      <c r="F21">
        <v>0</v>
      </c>
      <c r="G21" s="132">
        <v>45616.681283796293</v>
      </c>
      <c r="H21" s="132">
        <v>45657.708333333336</v>
      </c>
      <c r="I21" s="132">
        <v>45611.333333333336</v>
      </c>
      <c r="J21" t="b">
        <v>0</v>
      </c>
      <c r="K21" t="b">
        <v>1</v>
      </c>
      <c r="L21" s="132">
        <v>45657.708333333336</v>
      </c>
      <c r="M21">
        <v>0</v>
      </c>
      <c r="N21">
        <v>0</v>
      </c>
      <c r="O21" t="s">
        <v>635</v>
      </c>
      <c r="P21" s="132">
        <v>45657.708333333336</v>
      </c>
      <c r="Q21" s="132">
        <v>45611.333333333336</v>
      </c>
      <c r="R21" s="132">
        <v>45862.754782557873</v>
      </c>
      <c r="S21" s="132">
        <v>46111.688742858794</v>
      </c>
      <c r="T21" s="130" t="s">
        <v>209</v>
      </c>
      <c r="U21" s="136">
        <v>100</v>
      </c>
      <c r="V21" t="s">
        <v>575</v>
      </c>
      <c r="W21" t="s">
        <v>210</v>
      </c>
      <c r="X21" t="s">
        <v>126</v>
      </c>
      <c r="Y21" s="130">
        <v>100</v>
      </c>
      <c r="Z21" s="130" t="s">
        <v>560</v>
      </c>
      <c r="AA21" s="130" t="s">
        <v>212</v>
      </c>
      <c r="AB21" t="s">
        <v>577</v>
      </c>
      <c r="AD21" t="s">
        <v>605</v>
      </c>
      <c r="AE21" t="s">
        <v>579</v>
      </c>
      <c r="AF21" t="s">
        <v>558</v>
      </c>
      <c r="AG21" t="s">
        <v>636</v>
      </c>
      <c r="AH21" t="s">
        <v>637</v>
      </c>
      <c r="AI21" s="132">
        <v>45657.333333333336</v>
      </c>
    </row>
    <row r="22" spans="1:37" x14ac:dyDescent="0.25">
      <c r="A22">
        <v>443520000</v>
      </c>
      <c r="B22">
        <v>232</v>
      </c>
      <c r="C22" s="132">
        <v>45642.708333333336</v>
      </c>
      <c r="D22" s="132">
        <v>45604.333333333336</v>
      </c>
      <c r="E22">
        <v>0</v>
      </c>
      <c r="F22">
        <v>443520000</v>
      </c>
      <c r="G22" s="132">
        <v>45615.65629467593</v>
      </c>
      <c r="H22" s="132">
        <v>45642.708333333336</v>
      </c>
      <c r="I22" s="132">
        <v>45602.333333333336</v>
      </c>
      <c r="J22" t="b">
        <v>0</v>
      </c>
      <c r="K22" t="b">
        <v>1</v>
      </c>
      <c r="L22" s="132">
        <v>45642.708333333336</v>
      </c>
      <c r="M22">
        <v>0</v>
      </c>
      <c r="N22">
        <v>0</v>
      </c>
      <c r="O22" t="s">
        <v>638</v>
      </c>
      <c r="P22" s="132">
        <v>45642.708333333336</v>
      </c>
      <c r="Q22" s="132">
        <v>45602.333333333336</v>
      </c>
      <c r="R22" s="132">
        <v>45790.640694293979</v>
      </c>
      <c r="S22" s="132">
        <v>46111.688215856484</v>
      </c>
      <c r="T22" s="130" t="s">
        <v>204</v>
      </c>
      <c r="U22" s="136">
        <v>100</v>
      </c>
      <c r="V22" t="s">
        <v>204</v>
      </c>
      <c r="W22" t="s">
        <v>205</v>
      </c>
      <c r="X22" t="s">
        <v>126</v>
      </c>
      <c r="Y22" s="130">
        <v>96.551723999999993</v>
      </c>
      <c r="Z22" s="130" t="s">
        <v>639</v>
      </c>
      <c r="AA22" s="130" t="s">
        <v>207</v>
      </c>
      <c r="AB22" t="s">
        <v>640</v>
      </c>
      <c r="AD22" t="s">
        <v>611</v>
      </c>
      <c r="AE22" t="s">
        <v>598</v>
      </c>
      <c r="AF22" t="s">
        <v>574</v>
      </c>
      <c r="AI22" s="132">
        <v>45641.333333333336</v>
      </c>
    </row>
    <row r="23" spans="1:37" x14ac:dyDescent="0.25">
      <c r="A23">
        <v>0</v>
      </c>
      <c r="B23">
        <v>439.27333299999998</v>
      </c>
      <c r="C23" s="132"/>
      <c r="D23" s="132">
        <v>45595.375</v>
      </c>
      <c r="E23">
        <v>0</v>
      </c>
      <c r="F23">
        <v>0</v>
      </c>
      <c r="G23" s="132">
        <v>45609.839160185184</v>
      </c>
      <c r="H23" s="132">
        <v>45672.791666666664</v>
      </c>
      <c r="I23" s="132">
        <v>45595.375</v>
      </c>
      <c r="J23" t="b">
        <v>0</v>
      </c>
      <c r="K23" t="b">
        <v>1</v>
      </c>
      <c r="L23" s="132">
        <v>45672.791666666664</v>
      </c>
      <c r="M23">
        <v>88</v>
      </c>
      <c r="N23">
        <v>0</v>
      </c>
      <c r="O23" t="s">
        <v>641</v>
      </c>
      <c r="P23" s="132">
        <v>45672.791666666664</v>
      </c>
      <c r="Q23" s="132">
        <v>45595.375</v>
      </c>
      <c r="R23" s="132">
        <v>45656.665633449076</v>
      </c>
      <c r="S23" s="132">
        <v>46118.527217708332</v>
      </c>
      <c r="T23" s="130" t="s">
        <v>513</v>
      </c>
      <c r="U23" s="136">
        <v>98</v>
      </c>
      <c r="V23" t="s">
        <v>642</v>
      </c>
      <c r="W23" t="s">
        <v>643</v>
      </c>
      <c r="X23" t="s">
        <v>126</v>
      </c>
      <c r="Y23" s="130">
        <v>97.321428999999995</v>
      </c>
      <c r="Z23" s="130" t="s">
        <v>644</v>
      </c>
      <c r="AA23" s="130" t="s">
        <v>645</v>
      </c>
      <c r="AB23" t="s">
        <v>646</v>
      </c>
      <c r="AD23" t="s">
        <v>578</v>
      </c>
      <c r="AE23" t="s">
        <v>647</v>
      </c>
      <c r="AF23" t="s">
        <v>574</v>
      </c>
      <c r="AI23" s="132">
        <v>45672.375</v>
      </c>
    </row>
    <row r="24" spans="1:37" x14ac:dyDescent="0.25">
      <c r="A24">
        <v>0</v>
      </c>
      <c r="B24">
        <v>894.41499999999996</v>
      </c>
      <c r="C24" s="132"/>
      <c r="D24" s="132">
        <v>45583.375</v>
      </c>
      <c r="E24">
        <v>0</v>
      </c>
      <c r="F24">
        <v>0</v>
      </c>
      <c r="G24" s="132">
        <v>45589.607612071763</v>
      </c>
      <c r="H24" s="132">
        <v>45754.334999999999</v>
      </c>
      <c r="I24" s="132">
        <v>45583.375</v>
      </c>
      <c r="J24" t="b">
        <v>0</v>
      </c>
      <c r="K24" t="b">
        <v>1</v>
      </c>
      <c r="L24" s="132">
        <v>45754.334999999999</v>
      </c>
      <c r="M24">
        <v>247.04</v>
      </c>
      <c r="N24">
        <v>0</v>
      </c>
      <c r="O24" t="s">
        <v>648</v>
      </c>
      <c r="P24" s="132">
        <v>45754.334999999999</v>
      </c>
      <c r="Q24" s="132">
        <v>45583.375</v>
      </c>
      <c r="R24" s="132">
        <v>45730.874185185188</v>
      </c>
      <c r="S24" s="132">
        <v>46111.687779282409</v>
      </c>
      <c r="T24" s="130" t="s">
        <v>514</v>
      </c>
      <c r="U24" s="136">
        <v>97</v>
      </c>
      <c r="V24" t="s">
        <v>514</v>
      </c>
      <c r="W24" t="s">
        <v>649</v>
      </c>
      <c r="X24" t="s">
        <v>126</v>
      </c>
      <c r="Y24" s="130">
        <v>100</v>
      </c>
      <c r="Z24" s="130" t="s">
        <v>560</v>
      </c>
      <c r="AA24" s="130" t="s">
        <v>650</v>
      </c>
      <c r="AB24" t="s">
        <v>651</v>
      </c>
      <c r="AD24" t="s">
        <v>562</v>
      </c>
      <c r="AE24" t="s">
        <v>652</v>
      </c>
      <c r="AF24" t="s">
        <v>622</v>
      </c>
      <c r="AG24" t="s">
        <v>653</v>
      </c>
      <c r="AI24" s="132">
        <v>45657.375</v>
      </c>
      <c r="AK24" t="s">
        <v>654</v>
      </c>
    </row>
    <row r="25" spans="1:37" x14ac:dyDescent="0.25">
      <c r="A25">
        <v>305817000</v>
      </c>
      <c r="B25">
        <v>351</v>
      </c>
      <c r="C25" s="132">
        <v>45642.791666666664</v>
      </c>
      <c r="D25" s="132">
        <v>45576.375</v>
      </c>
      <c r="E25">
        <v>0</v>
      </c>
      <c r="F25">
        <v>0</v>
      </c>
      <c r="G25" s="132">
        <v>45589.586044791664</v>
      </c>
      <c r="H25" s="132">
        <v>45642.791666666664</v>
      </c>
      <c r="I25" s="132">
        <v>45576.375</v>
      </c>
      <c r="J25" t="b">
        <v>0</v>
      </c>
      <c r="K25" t="b">
        <v>1</v>
      </c>
      <c r="L25" s="132">
        <v>45642.791666666664</v>
      </c>
      <c r="M25">
        <v>0</v>
      </c>
      <c r="N25">
        <v>0</v>
      </c>
      <c r="O25" t="s">
        <v>655</v>
      </c>
      <c r="P25" s="132">
        <v>45642.791666666664</v>
      </c>
      <c r="Q25" s="132">
        <v>45576.375</v>
      </c>
      <c r="R25" s="132">
        <v>46111.732543749997</v>
      </c>
      <c r="S25" s="132">
        <v>46111.73249652778</v>
      </c>
      <c r="T25" s="130" t="s">
        <v>515</v>
      </c>
      <c r="U25" s="136">
        <v>100</v>
      </c>
      <c r="V25" t="s">
        <v>515</v>
      </c>
      <c r="W25" t="s">
        <v>656</v>
      </c>
      <c r="X25" t="s">
        <v>126</v>
      </c>
      <c r="Y25" s="130">
        <v>100</v>
      </c>
      <c r="Z25" s="130" t="s">
        <v>554</v>
      </c>
      <c r="AA25" s="130" t="s">
        <v>657</v>
      </c>
      <c r="AB25" t="s">
        <v>658</v>
      </c>
      <c r="AD25" t="s">
        <v>611</v>
      </c>
      <c r="AF25" t="s">
        <v>574</v>
      </c>
      <c r="AI25" s="132">
        <v>45626.375</v>
      </c>
    </row>
    <row r="26" spans="1:37" x14ac:dyDescent="0.25">
      <c r="A26">
        <v>0</v>
      </c>
      <c r="B26">
        <v>536</v>
      </c>
      <c r="C26" s="132">
        <v>45678.375</v>
      </c>
      <c r="D26" s="132">
        <v>45575.375</v>
      </c>
      <c r="E26">
        <v>5456</v>
      </c>
      <c r="F26">
        <v>0</v>
      </c>
      <c r="G26" s="132">
        <v>45583.902996874996</v>
      </c>
      <c r="H26" s="132">
        <v>45678.375</v>
      </c>
      <c r="I26" s="132">
        <v>45575.375</v>
      </c>
      <c r="J26" t="b">
        <v>0</v>
      </c>
      <c r="K26" t="b">
        <v>1</v>
      </c>
      <c r="L26" s="132">
        <v>45678.375</v>
      </c>
      <c r="M26">
        <v>0</v>
      </c>
      <c r="N26">
        <v>0</v>
      </c>
      <c r="O26" t="s">
        <v>659</v>
      </c>
      <c r="P26" s="132">
        <v>45678.375</v>
      </c>
      <c r="Q26" s="132">
        <v>45575.375</v>
      </c>
      <c r="R26" s="132">
        <v>46111.725116469905</v>
      </c>
      <c r="S26" s="132">
        <v>46111.72500914352</v>
      </c>
      <c r="T26" s="130" t="s">
        <v>516</v>
      </c>
      <c r="U26" s="136">
        <v>100</v>
      </c>
      <c r="V26" t="s">
        <v>516</v>
      </c>
      <c r="W26" t="s">
        <v>660</v>
      </c>
      <c r="X26" t="s">
        <v>126</v>
      </c>
      <c r="Y26" s="130">
        <v>100</v>
      </c>
      <c r="Z26" s="130" t="s">
        <v>554</v>
      </c>
      <c r="AA26" s="130" t="s">
        <v>661</v>
      </c>
      <c r="AB26" t="s">
        <v>662</v>
      </c>
      <c r="AD26" t="s">
        <v>611</v>
      </c>
      <c r="AE26" t="s">
        <v>573</v>
      </c>
      <c r="AF26" t="s">
        <v>622</v>
      </c>
      <c r="AI26" s="132">
        <v>45657.375</v>
      </c>
    </row>
    <row r="27" spans="1:37" x14ac:dyDescent="0.25">
      <c r="A27">
        <v>549777052</v>
      </c>
      <c r="B27">
        <v>312</v>
      </c>
      <c r="C27" s="132">
        <v>45642.375</v>
      </c>
      <c r="D27" s="132">
        <v>45583.375</v>
      </c>
      <c r="E27">
        <v>0</v>
      </c>
      <c r="F27">
        <v>549777052</v>
      </c>
      <c r="G27" s="132">
        <v>45569.614684062501</v>
      </c>
      <c r="H27" s="132">
        <v>45642.375</v>
      </c>
      <c r="I27" s="132">
        <v>45583.375</v>
      </c>
      <c r="J27" t="b">
        <v>0</v>
      </c>
      <c r="K27" t="b">
        <v>1</v>
      </c>
      <c r="L27" s="132">
        <v>45642.375</v>
      </c>
      <c r="M27">
        <v>8</v>
      </c>
      <c r="N27">
        <v>0</v>
      </c>
      <c r="O27" t="s">
        <v>663</v>
      </c>
      <c r="P27" s="132">
        <v>45642.375</v>
      </c>
      <c r="Q27" s="132">
        <v>45583.375</v>
      </c>
      <c r="R27" s="132">
        <v>45733.719294988427</v>
      </c>
      <c r="S27" s="132">
        <v>46111.661630868053</v>
      </c>
      <c r="T27" s="130" t="s">
        <v>194</v>
      </c>
      <c r="U27" s="136">
        <v>100</v>
      </c>
      <c r="V27" t="s">
        <v>194</v>
      </c>
      <c r="W27" t="s">
        <v>195</v>
      </c>
      <c r="X27" t="s">
        <v>126</v>
      </c>
      <c r="Y27" s="130">
        <v>100</v>
      </c>
      <c r="Z27" s="130" t="s">
        <v>560</v>
      </c>
      <c r="AA27" s="130" t="s">
        <v>197</v>
      </c>
      <c r="AB27" t="s">
        <v>582</v>
      </c>
      <c r="AD27" t="s">
        <v>605</v>
      </c>
      <c r="AE27" t="s">
        <v>573</v>
      </c>
      <c r="AF27" t="s">
        <v>558</v>
      </c>
      <c r="AI27" s="132">
        <v>45641.375</v>
      </c>
    </row>
    <row r="28" spans="1:37" x14ac:dyDescent="0.25">
      <c r="A28">
        <v>54294118</v>
      </c>
      <c r="B28">
        <v>545</v>
      </c>
      <c r="C28" s="132">
        <v>45608.375</v>
      </c>
      <c r="D28" s="132">
        <v>45505.333333333336</v>
      </c>
      <c r="E28">
        <v>0</v>
      </c>
      <c r="F28">
        <v>54294118</v>
      </c>
      <c r="G28" s="132">
        <v>45569.574707060186</v>
      </c>
      <c r="H28" s="132">
        <v>45608.375</v>
      </c>
      <c r="I28" s="132">
        <v>45505.333333333336</v>
      </c>
      <c r="J28" t="b">
        <v>0</v>
      </c>
      <c r="K28" t="b">
        <v>1</v>
      </c>
      <c r="L28" s="132">
        <v>45608.375</v>
      </c>
      <c r="M28">
        <v>2</v>
      </c>
      <c r="N28">
        <v>0</v>
      </c>
      <c r="O28" t="s">
        <v>664</v>
      </c>
      <c r="P28" s="132">
        <v>45608.375</v>
      </c>
      <c r="Q28" s="132">
        <v>45505.333333333336</v>
      </c>
      <c r="R28" s="132">
        <v>45615.853445486115</v>
      </c>
      <c r="S28" s="132">
        <v>46111.661057291669</v>
      </c>
      <c r="T28" s="130" t="s">
        <v>189</v>
      </c>
      <c r="U28" s="136">
        <v>100</v>
      </c>
      <c r="V28" t="s">
        <v>189</v>
      </c>
      <c r="W28" t="s">
        <v>190</v>
      </c>
      <c r="X28" t="s">
        <v>126</v>
      </c>
      <c r="Y28" s="130">
        <v>100</v>
      </c>
      <c r="Z28" s="130" t="s">
        <v>560</v>
      </c>
      <c r="AA28" s="130" t="s">
        <v>192</v>
      </c>
      <c r="AB28" t="s">
        <v>665</v>
      </c>
      <c r="AD28" t="s">
        <v>666</v>
      </c>
      <c r="AE28" t="s">
        <v>573</v>
      </c>
      <c r="AF28" t="s">
        <v>574</v>
      </c>
      <c r="AI28" s="132">
        <v>45588.333333333336</v>
      </c>
    </row>
    <row r="29" spans="1:37" x14ac:dyDescent="0.25">
      <c r="A29">
        <v>0</v>
      </c>
      <c r="B29">
        <v>2068.3683329999999</v>
      </c>
      <c r="C29" s="132"/>
      <c r="D29" s="132">
        <v>45450.375</v>
      </c>
      <c r="E29">
        <v>15912.581667</v>
      </c>
      <c r="F29">
        <v>0</v>
      </c>
      <c r="G29" s="132">
        <v>45560.598662847224</v>
      </c>
      <c r="H29" s="132">
        <v>45817.708333333336</v>
      </c>
      <c r="I29" s="132">
        <v>45450.375</v>
      </c>
      <c r="J29" t="b">
        <v>0</v>
      </c>
      <c r="K29" t="b">
        <v>1</v>
      </c>
      <c r="L29" s="132">
        <v>45817.708333333336</v>
      </c>
      <c r="M29">
        <v>0</v>
      </c>
      <c r="N29">
        <v>0</v>
      </c>
      <c r="O29" t="s">
        <v>667</v>
      </c>
      <c r="P29" s="133">
        <v>45817.708333333336</v>
      </c>
      <c r="Q29" s="133">
        <v>45450.375</v>
      </c>
      <c r="R29" s="132">
        <v>45889.636976192131</v>
      </c>
      <c r="S29" s="132">
        <v>46111.660127696756</v>
      </c>
      <c r="T29" s="130" t="s">
        <v>183</v>
      </c>
      <c r="U29" s="136">
        <v>99</v>
      </c>
      <c r="V29" t="s">
        <v>183</v>
      </c>
      <c r="W29" t="s">
        <v>185</v>
      </c>
      <c r="X29" t="s">
        <v>126</v>
      </c>
      <c r="Y29" s="130">
        <v>100</v>
      </c>
      <c r="Z29" s="130" t="s">
        <v>560</v>
      </c>
      <c r="AA29" s="130" t="s">
        <v>187</v>
      </c>
      <c r="AB29" t="s">
        <v>668</v>
      </c>
      <c r="AD29" t="s">
        <v>562</v>
      </c>
      <c r="AF29" t="s">
        <v>622</v>
      </c>
      <c r="AI29" s="132">
        <v>45657.375</v>
      </c>
    </row>
    <row r="30" spans="1:37" x14ac:dyDescent="0.25">
      <c r="A30">
        <v>0</v>
      </c>
      <c r="B30">
        <v>2135</v>
      </c>
      <c r="C30" s="132">
        <v>45901.375</v>
      </c>
      <c r="D30" s="132">
        <v>45537.375</v>
      </c>
      <c r="E30">
        <v>0</v>
      </c>
      <c r="F30">
        <v>0</v>
      </c>
      <c r="G30" s="132">
        <v>45558.660403622685</v>
      </c>
      <c r="H30" s="132">
        <v>45930.791666666664</v>
      </c>
      <c r="I30" s="132">
        <v>45537.375</v>
      </c>
      <c r="J30" t="b">
        <v>0</v>
      </c>
      <c r="K30" t="b">
        <v>1</v>
      </c>
      <c r="L30" s="132">
        <v>45930.791666666664</v>
      </c>
      <c r="M30">
        <v>0</v>
      </c>
      <c r="N30">
        <v>0</v>
      </c>
      <c r="O30" t="s">
        <v>669</v>
      </c>
      <c r="P30" s="132">
        <v>45930.791666666664</v>
      </c>
      <c r="Q30" s="132">
        <v>45537.375</v>
      </c>
      <c r="R30" s="132">
        <v>46112.077589502318</v>
      </c>
      <c r="S30" s="132">
        <v>46112.077469675925</v>
      </c>
      <c r="T30" s="130" t="s">
        <v>177</v>
      </c>
      <c r="U30" s="136">
        <v>100</v>
      </c>
      <c r="V30" t="s">
        <v>177</v>
      </c>
      <c r="W30" t="s">
        <v>179</v>
      </c>
      <c r="X30" t="s">
        <v>126</v>
      </c>
      <c r="Y30" s="130">
        <v>100</v>
      </c>
      <c r="Z30" s="130" t="s">
        <v>554</v>
      </c>
      <c r="AA30" s="130" t="s">
        <v>181</v>
      </c>
      <c r="AB30" t="s">
        <v>670</v>
      </c>
      <c r="AD30" t="s">
        <v>597</v>
      </c>
      <c r="AE30" t="s">
        <v>579</v>
      </c>
      <c r="AF30" t="s">
        <v>574</v>
      </c>
      <c r="AG30" t="s">
        <v>671</v>
      </c>
      <c r="AH30" t="s">
        <v>672</v>
      </c>
      <c r="AI30" s="132">
        <v>45838.375</v>
      </c>
      <c r="AK30" t="s">
        <v>673</v>
      </c>
    </row>
    <row r="31" spans="1:37" x14ac:dyDescent="0.25">
      <c r="A31">
        <v>0</v>
      </c>
      <c r="B31">
        <v>392</v>
      </c>
      <c r="C31" s="132">
        <v>45622.708333333336</v>
      </c>
      <c r="D31" s="132">
        <v>45554.333333333336</v>
      </c>
      <c r="E31">
        <v>0</v>
      </c>
      <c r="F31">
        <v>0</v>
      </c>
      <c r="G31" s="132">
        <v>45537.685983530093</v>
      </c>
      <c r="H31" s="132">
        <v>45622.75</v>
      </c>
      <c r="I31" s="132">
        <v>45554.333333333336</v>
      </c>
      <c r="J31" t="b">
        <v>0</v>
      </c>
      <c r="K31" t="b">
        <v>1</v>
      </c>
      <c r="L31" s="132">
        <v>45622.75</v>
      </c>
      <c r="M31">
        <v>0</v>
      </c>
      <c r="N31">
        <v>0</v>
      </c>
      <c r="O31" t="s">
        <v>674</v>
      </c>
      <c r="P31" s="132">
        <v>45622.75</v>
      </c>
      <c r="Q31" s="132">
        <v>45554.333333333336</v>
      </c>
      <c r="R31" s="132">
        <v>45790.656704745372</v>
      </c>
      <c r="S31" s="132">
        <v>46111.658228819448</v>
      </c>
      <c r="T31" s="130" t="s">
        <v>172</v>
      </c>
      <c r="U31" s="136">
        <v>100</v>
      </c>
      <c r="V31" t="s">
        <v>172</v>
      </c>
      <c r="W31" t="s">
        <v>173</v>
      </c>
      <c r="X31" t="s">
        <v>126</v>
      </c>
      <c r="Y31" s="130">
        <v>100</v>
      </c>
      <c r="Z31" s="130" t="s">
        <v>560</v>
      </c>
      <c r="AA31" s="130" t="s">
        <v>175</v>
      </c>
      <c r="AB31" t="s">
        <v>675</v>
      </c>
      <c r="AD31" t="s">
        <v>676</v>
      </c>
      <c r="AE31" t="s">
        <v>612</v>
      </c>
      <c r="AF31" t="s">
        <v>558</v>
      </c>
      <c r="AG31" t="s">
        <v>677</v>
      </c>
      <c r="AH31" t="s">
        <v>678</v>
      </c>
      <c r="AI31" s="132">
        <v>45657.333333333336</v>
      </c>
      <c r="AK31" t="s">
        <v>679</v>
      </c>
    </row>
    <row r="32" spans="1:37" x14ac:dyDescent="0.25">
      <c r="A32">
        <v>0</v>
      </c>
      <c r="B32">
        <v>2449</v>
      </c>
      <c r="C32" s="132"/>
      <c r="D32" s="132">
        <v>45537.333333333336</v>
      </c>
      <c r="E32">
        <v>0</v>
      </c>
      <c r="F32">
        <v>0</v>
      </c>
      <c r="G32" s="132">
        <v>45531.972959953702</v>
      </c>
      <c r="H32" s="132">
        <v>45989.375</v>
      </c>
      <c r="I32" s="132">
        <v>45537.333333333336</v>
      </c>
      <c r="J32" t="b">
        <v>0</v>
      </c>
      <c r="K32" t="b">
        <v>1</v>
      </c>
      <c r="L32" s="132">
        <v>45989.375</v>
      </c>
      <c r="M32">
        <v>0</v>
      </c>
      <c r="N32">
        <v>0</v>
      </c>
      <c r="O32" t="s">
        <v>680</v>
      </c>
      <c r="P32" s="132">
        <v>45989.375</v>
      </c>
      <c r="Q32" s="132">
        <v>45537.333333333336</v>
      </c>
      <c r="R32" s="132">
        <v>45959.974342974536</v>
      </c>
      <c r="S32" s="132">
        <v>46111.657675428243</v>
      </c>
      <c r="T32" s="130" t="s">
        <v>167</v>
      </c>
      <c r="U32" s="136">
        <v>99</v>
      </c>
      <c r="V32" t="s">
        <v>167</v>
      </c>
      <c r="W32" t="s">
        <v>168</v>
      </c>
      <c r="X32" t="s">
        <v>126</v>
      </c>
      <c r="Y32" s="130">
        <v>93.752551999999994</v>
      </c>
      <c r="Z32" s="130" t="s">
        <v>681</v>
      </c>
      <c r="AA32" s="130" t="s">
        <v>170</v>
      </c>
      <c r="AB32" t="s">
        <v>682</v>
      </c>
      <c r="AC32" t="s">
        <v>680</v>
      </c>
      <c r="AD32" t="s">
        <v>578</v>
      </c>
      <c r="AE32" t="s">
        <v>598</v>
      </c>
      <c r="AF32" t="s">
        <v>558</v>
      </c>
      <c r="AG32" t="s">
        <v>683</v>
      </c>
      <c r="AH32" t="s">
        <v>684</v>
      </c>
      <c r="AI32" s="132">
        <v>45932.375</v>
      </c>
      <c r="AJ32" t="s">
        <v>685</v>
      </c>
      <c r="AK32" t="s">
        <v>686</v>
      </c>
    </row>
    <row r="33" spans="1:37" x14ac:dyDescent="0.25">
      <c r="A33">
        <v>0</v>
      </c>
      <c r="B33">
        <v>1007</v>
      </c>
      <c r="C33" s="132">
        <v>45660.791666666664</v>
      </c>
      <c r="D33" s="132">
        <v>45476.375</v>
      </c>
      <c r="E33">
        <v>0</v>
      </c>
      <c r="F33">
        <v>0</v>
      </c>
      <c r="G33" s="132">
        <v>45525.616732210648</v>
      </c>
      <c r="H33" s="132">
        <v>45660.791666666664</v>
      </c>
      <c r="I33" s="132">
        <v>45476.375</v>
      </c>
      <c r="J33" t="b">
        <v>0</v>
      </c>
      <c r="K33" t="b">
        <v>1</v>
      </c>
      <c r="L33" s="132">
        <v>45660.791666666664</v>
      </c>
      <c r="M33">
        <v>-41</v>
      </c>
      <c r="N33">
        <v>0</v>
      </c>
      <c r="O33" t="s">
        <v>687</v>
      </c>
      <c r="P33" s="132">
        <v>45660.791666666664</v>
      </c>
      <c r="Q33" s="132">
        <v>45476.375</v>
      </c>
      <c r="R33" s="132">
        <v>45674.003617708331</v>
      </c>
      <c r="S33" s="132">
        <v>46111.656943206021</v>
      </c>
      <c r="T33" s="130" t="s">
        <v>161</v>
      </c>
      <c r="U33" s="136">
        <v>100</v>
      </c>
      <c r="V33" t="s">
        <v>161</v>
      </c>
      <c r="W33" t="s">
        <v>163</v>
      </c>
      <c r="X33" t="s">
        <v>126</v>
      </c>
      <c r="Y33" s="130">
        <v>100</v>
      </c>
      <c r="Z33" s="130" t="s">
        <v>560</v>
      </c>
      <c r="AA33" s="130" t="s">
        <v>165</v>
      </c>
      <c r="AB33" t="s">
        <v>658</v>
      </c>
      <c r="AC33" t="s">
        <v>687</v>
      </c>
      <c r="AD33" t="s">
        <v>676</v>
      </c>
      <c r="AE33" t="s">
        <v>647</v>
      </c>
      <c r="AF33" t="s">
        <v>574</v>
      </c>
      <c r="AG33" t="s">
        <v>688</v>
      </c>
      <c r="AH33" t="s">
        <v>689</v>
      </c>
      <c r="AI33" s="132">
        <v>45595.375</v>
      </c>
      <c r="AJ33" t="s">
        <v>590</v>
      </c>
    </row>
    <row r="34" spans="1:37" x14ac:dyDescent="0.25">
      <c r="A34">
        <v>0</v>
      </c>
      <c r="B34">
        <v>823</v>
      </c>
      <c r="C34" s="132">
        <v>45657.708333333336</v>
      </c>
      <c r="D34" s="132">
        <v>45505.333333333336</v>
      </c>
      <c r="E34">
        <v>27647</v>
      </c>
      <c r="F34">
        <v>0</v>
      </c>
      <c r="G34" s="132">
        <v>45518.816397303242</v>
      </c>
      <c r="H34" s="132">
        <v>45657.708333333336</v>
      </c>
      <c r="I34" s="132">
        <v>45505.333333333336</v>
      </c>
      <c r="J34" t="b">
        <v>0</v>
      </c>
      <c r="K34" t="b">
        <v>1</v>
      </c>
      <c r="L34" s="132">
        <v>45657.708333333336</v>
      </c>
      <c r="M34">
        <v>0</v>
      </c>
      <c r="N34">
        <v>0</v>
      </c>
      <c r="O34" t="s">
        <v>690</v>
      </c>
      <c r="P34" s="132">
        <v>45657.708333333336</v>
      </c>
      <c r="Q34" s="132">
        <v>45505.333333333336</v>
      </c>
      <c r="R34" s="132">
        <v>45862.755643553239</v>
      </c>
      <c r="S34" s="132">
        <v>46111.650771678243</v>
      </c>
      <c r="T34" s="130" t="s">
        <v>156</v>
      </c>
      <c r="U34" s="136">
        <v>100</v>
      </c>
      <c r="V34" t="s">
        <v>575</v>
      </c>
      <c r="W34" t="s">
        <v>157</v>
      </c>
      <c r="X34" t="s">
        <v>126</v>
      </c>
      <c r="Y34" s="130">
        <v>100</v>
      </c>
      <c r="Z34" s="130" t="s">
        <v>560</v>
      </c>
      <c r="AA34" s="130" t="s">
        <v>159</v>
      </c>
      <c r="AB34" t="s">
        <v>577</v>
      </c>
      <c r="AD34" t="s">
        <v>572</v>
      </c>
      <c r="AE34" t="s">
        <v>691</v>
      </c>
      <c r="AF34" t="s">
        <v>558</v>
      </c>
      <c r="AH34" t="s">
        <v>692</v>
      </c>
      <c r="AI34" s="132">
        <v>45657.333333333336</v>
      </c>
    </row>
    <row r="35" spans="1:37" x14ac:dyDescent="0.25">
      <c r="A35">
        <v>0</v>
      </c>
      <c r="B35">
        <v>2103</v>
      </c>
      <c r="C35" s="132">
        <v>45565.791666666664</v>
      </c>
      <c r="D35" s="132">
        <v>45245.333333333336</v>
      </c>
      <c r="E35">
        <v>0</v>
      </c>
      <c r="F35">
        <v>0</v>
      </c>
      <c r="G35" s="132">
        <v>45492.722849189813</v>
      </c>
      <c r="H35" s="132">
        <v>45611.75</v>
      </c>
      <c r="I35" s="132">
        <v>45245.333333333336</v>
      </c>
      <c r="J35" t="b">
        <v>0</v>
      </c>
      <c r="K35" t="b">
        <v>1</v>
      </c>
      <c r="L35" s="132">
        <v>45611.75</v>
      </c>
      <c r="M35">
        <v>0</v>
      </c>
      <c r="N35">
        <v>0</v>
      </c>
      <c r="O35" t="s">
        <v>693</v>
      </c>
      <c r="P35" s="132">
        <v>45611.75</v>
      </c>
      <c r="Q35" s="132">
        <v>45245.333333333336</v>
      </c>
      <c r="R35" s="132">
        <v>45637.658460729166</v>
      </c>
      <c r="S35" s="132">
        <v>45712.872161261577</v>
      </c>
      <c r="T35" s="130" t="s">
        <v>150</v>
      </c>
      <c r="U35" s="136">
        <v>100</v>
      </c>
      <c r="V35" t="s">
        <v>150</v>
      </c>
      <c r="W35" t="s">
        <v>152</v>
      </c>
      <c r="X35" t="s">
        <v>126</v>
      </c>
      <c r="Y35" s="130">
        <v>100</v>
      </c>
      <c r="Z35" s="130" t="s">
        <v>560</v>
      </c>
      <c r="AA35" s="130" t="s">
        <v>154</v>
      </c>
      <c r="AB35" t="s">
        <v>245</v>
      </c>
      <c r="AD35" t="s">
        <v>616</v>
      </c>
      <c r="AE35" t="s">
        <v>647</v>
      </c>
      <c r="AF35" t="s">
        <v>558</v>
      </c>
      <c r="AI35" s="132">
        <v>45672.333333333336</v>
      </c>
    </row>
    <row r="36" spans="1:37" x14ac:dyDescent="0.25">
      <c r="A36">
        <v>0</v>
      </c>
      <c r="B36">
        <v>1174.3183329999999</v>
      </c>
      <c r="C36" s="132"/>
      <c r="D36" s="132">
        <v>45450.375</v>
      </c>
      <c r="E36">
        <v>1048252546.89</v>
      </c>
      <c r="F36">
        <v>0</v>
      </c>
      <c r="G36" s="132">
        <v>45481.740478935186</v>
      </c>
      <c r="H36" s="132">
        <v>45656.791666666664</v>
      </c>
      <c r="I36" s="132">
        <v>45450.375</v>
      </c>
      <c r="J36" t="b">
        <v>0</v>
      </c>
      <c r="K36" t="b">
        <v>1</v>
      </c>
      <c r="L36" s="132">
        <v>45656.791666666664</v>
      </c>
      <c r="M36">
        <v>136</v>
      </c>
      <c r="N36">
        <v>0</v>
      </c>
      <c r="O36" t="s">
        <v>694</v>
      </c>
      <c r="P36" s="132">
        <v>45656.791666666664</v>
      </c>
      <c r="Q36" s="132">
        <v>45450.375</v>
      </c>
      <c r="R36" s="132">
        <v>46112.581107719911</v>
      </c>
      <c r="S36" s="132">
        <v>46118.526851736111</v>
      </c>
      <c r="T36" s="130" t="s">
        <v>145</v>
      </c>
      <c r="U36" s="136">
        <v>99</v>
      </c>
      <c r="V36" t="s">
        <v>145</v>
      </c>
      <c r="W36" t="s">
        <v>146</v>
      </c>
      <c r="X36" t="s">
        <v>126</v>
      </c>
      <c r="Y36" s="130">
        <v>100</v>
      </c>
      <c r="Z36" s="130" t="s">
        <v>560</v>
      </c>
      <c r="AA36" s="130" t="s">
        <v>148</v>
      </c>
      <c r="AB36" t="s">
        <v>695</v>
      </c>
      <c r="AC36" t="s">
        <v>694</v>
      </c>
      <c r="AD36" t="s">
        <v>572</v>
      </c>
      <c r="AE36" t="s">
        <v>573</v>
      </c>
      <c r="AF36" t="s">
        <v>574</v>
      </c>
      <c r="AG36" t="s">
        <v>696</v>
      </c>
      <c r="AH36" t="s">
        <v>697</v>
      </c>
      <c r="AI36" s="132">
        <v>45626.375</v>
      </c>
      <c r="AJ36" t="s">
        <v>685</v>
      </c>
      <c r="AK36" t="s">
        <v>698</v>
      </c>
    </row>
    <row r="37" spans="1:37" x14ac:dyDescent="0.25">
      <c r="A37">
        <v>0</v>
      </c>
      <c r="B37">
        <v>904</v>
      </c>
      <c r="C37" s="132">
        <v>45614.75</v>
      </c>
      <c r="D37" s="132">
        <v>45444.375</v>
      </c>
      <c r="E37">
        <v>0</v>
      </c>
      <c r="F37">
        <v>0</v>
      </c>
      <c r="G37" s="132">
        <v>45481.703359687497</v>
      </c>
      <c r="H37" s="132">
        <v>45614.75</v>
      </c>
      <c r="I37" s="132">
        <v>45444.375</v>
      </c>
      <c r="J37" t="b">
        <v>0</v>
      </c>
      <c r="K37" t="b">
        <v>1</v>
      </c>
      <c r="L37" s="132">
        <v>45614.75</v>
      </c>
      <c r="M37">
        <v>0</v>
      </c>
      <c r="N37">
        <v>0</v>
      </c>
      <c r="O37" t="s">
        <v>699</v>
      </c>
      <c r="P37" s="132">
        <v>45614.75</v>
      </c>
      <c r="Q37" s="132">
        <v>45444.375</v>
      </c>
      <c r="R37" s="132">
        <v>45674.59044255787</v>
      </c>
      <c r="S37" s="132">
        <v>46111.650030787037</v>
      </c>
      <c r="T37" s="130" t="s">
        <v>139</v>
      </c>
      <c r="U37" s="136">
        <v>100</v>
      </c>
      <c r="V37" t="s">
        <v>700</v>
      </c>
      <c r="W37" t="s">
        <v>141</v>
      </c>
      <c r="X37" t="s">
        <v>126</v>
      </c>
      <c r="Y37" s="130">
        <v>78.761061999999995</v>
      </c>
      <c r="Z37" s="130" t="s">
        <v>701</v>
      </c>
      <c r="AA37" s="130" t="s">
        <v>143</v>
      </c>
      <c r="AB37" t="s">
        <v>702</v>
      </c>
      <c r="AC37" t="s">
        <v>703</v>
      </c>
      <c r="AD37" t="s">
        <v>562</v>
      </c>
      <c r="AE37" t="s">
        <v>573</v>
      </c>
      <c r="AF37" t="s">
        <v>558</v>
      </c>
      <c r="AI37" s="132">
        <v>45631.375</v>
      </c>
    </row>
    <row r="38" spans="1:37" x14ac:dyDescent="0.25">
      <c r="A38">
        <v>0</v>
      </c>
      <c r="B38">
        <v>530.64</v>
      </c>
      <c r="C38" s="132">
        <v>45552.791666666664</v>
      </c>
      <c r="D38" s="132">
        <v>45456.375</v>
      </c>
      <c r="E38">
        <v>642.16</v>
      </c>
      <c r="F38">
        <v>0</v>
      </c>
      <c r="G38" s="132">
        <v>45481.633806909726</v>
      </c>
      <c r="H38" s="132">
        <v>45553.485000000001</v>
      </c>
      <c r="I38" s="132">
        <v>45456.375</v>
      </c>
      <c r="J38" t="b">
        <v>0</v>
      </c>
      <c r="K38" t="b">
        <v>1</v>
      </c>
      <c r="L38" s="132">
        <v>45553.485000000001</v>
      </c>
      <c r="M38">
        <v>4891.6400000000003</v>
      </c>
      <c r="N38">
        <v>0</v>
      </c>
      <c r="O38" t="s">
        <v>704</v>
      </c>
      <c r="P38" s="132">
        <v>45553.485000000001</v>
      </c>
      <c r="Q38" s="132">
        <v>45456.375</v>
      </c>
      <c r="R38" s="132">
        <v>45785.844406249998</v>
      </c>
      <c r="S38" s="132">
        <v>46111.648381979168</v>
      </c>
      <c r="T38" s="130" t="s">
        <v>133</v>
      </c>
      <c r="U38" s="136">
        <v>100</v>
      </c>
      <c r="V38" t="s">
        <v>133</v>
      </c>
      <c r="W38" t="s">
        <v>135</v>
      </c>
      <c r="X38" t="s">
        <v>126</v>
      </c>
      <c r="Y38" s="130">
        <v>0</v>
      </c>
      <c r="Z38" s="130" t="s">
        <v>705</v>
      </c>
      <c r="AA38" s="130" t="s">
        <v>137</v>
      </c>
      <c r="AB38" t="s">
        <v>596</v>
      </c>
      <c r="AC38" t="s">
        <v>704</v>
      </c>
      <c r="AD38" t="s">
        <v>562</v>
      </c>
      <c r="AE38" t="s">
        <v>691</v>
      </c>
      <c r="AF38" t="s">
        <v>558</v>
      </c>
      <c r="AH38" t="s">
        <v>706</v>
      </c>
      <c r="AI38" s="132">
        <v>45503.375</v>
      </c>
      <c r="AJ38" t="s">
        <v>685</v>
      </c>
    </row>
    <row r="39" spans="1:37" x14ac:dyDescent="0.25">
      <c r="A39">
        <v>0</v>
      </c>
      <c r="B39">
        <v>560</v>
      </c>
      <c r="C39" s="132">
        <v>45546.375</v>
      </c>
      <c r="D39" s="132">
        <v>45448.375</v>
      </c>
      <c r="E39">
        <v>1200</v>
      </c>
      <c r="F39">
        <v>0</v>
      </c>
      <c r="G39" s="132">
        <v>45462.979481215276</v>
      </c>
      <c r="H39" s="132">
        <v>45546.375</v>
      </c>
      <c r="I39" s="132">
        <v>45448.375</v>
      </c>
      <c r="J39" t="b">
        <v>0</v>
      </c>
      <c r="K39" t="b">
        <v>1</v>
      </c>
      <c r="L39" s="132">
        <v>45546.375</v>
      </c>
      <c r="M39">
        <v>0</v>
      </c>
      <c r="N39">
        <v>0</v>
      </c>
      <c r="O39" t="s">
        <v>707</v>
      </c>
      <c r="P39" s="132">
        <v>45546.375</v>
      </c>
      <c r="Q39" s="132">
        <v>45448.375</v>
      </c>
      <c r="R39" s="132">
        <v>45628.650008680554</v>
      </c>
      <c r="S39" s="132">
        <v>46111.64753440972</v>
      </c>
      <c r="T39" s="130" t="s">
        <v>128</v>
      </c>
      <c r="U39" s="136">
        <v>100</v>
      </c>
      <c r="V39" t="s">
        <v>128</v>
      </c>
      <c r="W39" t="s">
        <v>129</v>
      </c>
      <c r="X39" t="s">
        <v>126</v>
      </c>
      <c r="Y39" s="130">
        <v>100</v>
      </c>
      <c r="Z39" s="130" t="s">
        <v>560</v>
      </c>
      <c r="AA39" s="130" t="s">
        <v>131</v>
      </c>
      <c r="AB39" t="s">
        <v>708</v>
      </c>
      <c r="AC39" t="s">
        <v>707</v>
      </c>
      <c r="AD39" t="s">
        <v>572</v>
      </c>
      <c r="AE39" t="s">
        <v>691</v>
      </c>
      <c r="AF39" t="s">
        <v>558</v>
      </c>
      <c r="AH39" t="s">
        <v>709</v>
      </c>
      <c r="AI39" s="132">
        <v>45510.375</v>
      </c>
    </row>
    <row r="40" spans="1:37" x14ac:dyDescent="0.25">
      <c r="A40">
        <v>0</v>
      </c>
      <c r="B40">
        <v>511</v>
      </c>
      <c r="C40" s="132">
        <v>45533.75</v>
      </c>
      <c r="D40" s="132">
        <v>45439.375</v>
      </c>
      <c r="E40">
        <v>0</v>
      </c>
      <c r="F40">
        <v>0</v>
      </c>
      <c r="G40" s="132">
        <v>45447.56342175926</v>
      </c>
      <c r="H40" s="132">
        <v>45533.75</v>
      </c>
      <c r="I40" s="132">
        <v>45439.375</v>
      </c>
      <c r="J40" t="b">
        <v>0</v>
      </c>
      <c r="K40" t="b">
        <v>1</v>
      </c>
      <c r="L40" s="132">
        <v>45533.75</v>
      </c>
      <c r="M40">
        <v>17</v>
      </c>
      <c r="N40">
        <v>0</v>
      </c>
      <c r="O40" t="s">
        <v>710</v>
      </c>
      <c r="P40" s="132">
        <v>45533.75</v>
      </c>
      <c r="Q40" s="132">
        <v>45439.375</v>
      </c>
      <c r="R40" s="132">
        <v>45728.106776932873</v>
      </c>
      <c r="S40" s="132">
        <v>45728.10662835648</v>
      </c>
      <c r="T40" s="130" t="s">
        <v>121</v>
      </c>
      <c r="U40" s="136">
        <v>100</v>
      </c>
      <c r="V40" t="s">
        <v>121</v>
      </c>
      <c r="W40" t="s">
        <v>123</v>
      </c>
      <c r="X40" t="s">
        <v>126</v>
      </c>
      <c r="Y40" s="130">
        <v>100</v>
      </c>
      <c r="Z40" s="130" t="s">
        <v>554</v>
      </c>
      <c r="AA40" s="130" t="s">
        <v>125</v>
      </c>
      <c r="AB40" t="s">
        <v>711</v>
      </c>
      <c r="AC40" t="s">
        <v>712</v>
      </c>
      <c r="AD40" t="s">
        <v>572</v>
      </c>
      <c r="AE40" t="s">
        <v>573</v>
      </c>
      <c r="AF40" t="s">
        <v>558</v>
      </c>
      <c r="AH40" t="s">
        <v>697</v>
      </c>
      <c r="AI40" s="132">
        <v>45504.375</v>
      </c>
      <c r="AJ40" t="s">
        <v>685</v>
      </c>
    </row>
    <row r="41" spans="1:37" x14ac:dyDescent="0.25">
      <c r="A41">
        <v>0</v>
      </c>
      <c r="B41">
        <v>1096</v>
      </c>
      <c r="C41" s="132">
        <v>44637.75</v>
      </c>
      <c r="D41" s="132">
        <v>44440.333333333336</v>
      </c>
      <c r="E41">
        <v>0</v>
      </c>
      <c r="F41">
        <v>0</v>
      </c>
      <c r="G41" s="132">
        <v>45422.862878009262</v>
      </c>
      <c r="H41" s="132">
        <v>44637.75</v>
      </c>
      <c r="I41" s="132">
        <v>44440.333333333336</v>
      </c>
      <c r="J41" t="b">
        <v>0</v>
      </c>
      <c r="K41" t="b">
        <v>1</v>
      </c>
      <c r="L41" s="132">
        <v>44637.75</v>
      </c>
      <c r="M41">
        <v>0</v>
      </c>
      <c r="N41">
        <v>0</v>
      </c>
      <c r="O41" t="s">
        <v>713</v>
      </c>
      <c r="P41" s="132">
        <v>44637.75</v>
      </c>
      <c r="Q41" s="132">
        <v>44440.333333333336</v>
      </c>
      <c r="R41" s="132">
        <v>45710.944454166667</v>
      </c>
      <c r="S41" s="132">
        <v>45712.915143287035</v>
      </c>
      <c r="T41" s="130" t="s">
        <v>517</v>
      </c>
      <c r="U41" s="136">
        <v>100</v>
      </c>
      <c r="V41" t="s">
        <v>517</v>
      </c>
      <c r="W41" t="s">
        <v>714</v>
      </c>
      <c r="X41" t="s">
        <v>126</v>
      </c>
      <c r="Y41" s="130">
        <v>100</v>
      </c>
      <c r="Z41" s="130" t="s">
        <v>560</v>
      </c>
      <c r="AA41" s="130"/>
      <c r="AB41" t="s">
        <v>570</v>
      </c>
      <c r="AD41" t="s">
        <v>666</v>
      </c>
      <c r="AF41" t="s">
        <v>574</v>
      </c>
      <c r="AI41" s="132">
        <v>45657.375</v>
      </c>
    </row>
    <row r="42" spans="1:37" x14ac:dyDescent="0.25">
      <c r="A42">
        <v>1467999741.1800001</v>
      </c>
      <c r="B42">
        <v>951</v>
      </c>
      <c r="C42" s="132">
        <v>45644.791666666664</v>
      </c>
      <c r="D42" s="132">
        <v>45470.375</v>
      </c>
      <c r="E42">
        <v>951</v>
      </c>
      <c r="F42">
        <v>0</v>
      </c>
      <c r="G42" s="132">
        <v>45422.849828703707</v>
      </c>
      <c r="H42" s="132">
        <v>45644.791666666664</v>
      </c>
      <c r="I42" s="132">
        <v>45470.375</v>
      </c>
      <c r="J42" t="b">
        <v>0</v>
      </c>
      <c r="K42" t="b">
        <v>1</v>
      </c>
      <c r="L42" s="132">
        <v>45644.791666666664</v>
      </c>
      <c r="M42">
        <v>0</v>
      </c>
      <c r="N42">
        <v>0</v>
      </c>
      <c r="O42" t="s">
        <v>715</v>
      </c>
      <c r="P42" s="132">
        <v>45644.791666666664</v>
      </c>
      <c r="Q42" s="132">
        <v>45470.375</v>
      </c>
      <c r="R42" s="132">
        <v>46111.64546388889</v>
      </c>
      <c r="S42" s="132">
        <v>46111.645263773149</v>
      </c>
      <c r="T42" s="130" t="s">
        <v>111</v>
      </c>
      <c r="U42" s="136">
        <v>100</v>
      </c>
      <c r="V42" t="s">
        <v>111</v>
      </c>
      <c r="W42" t="s">
        <v>112</v>
      </c>
      <c r="X42" t="s">
        <v>126</v>
      </c>
      <c r="Y42" s="130">
        <v>100</v>
      </c>
      <c r="Z42" s="130" t="s">
        <v>554</v>
      </c>
      <c r="AA42" s="130" t="s">
        <v>114</v>
      </c>
      <c r="AB42" t="s">
        <v>716</v>
      </c>
      <c r="AC42" t="s">
        <v>715</v>
      </c>
      <c r="AD42" t="s">
        <v>578</v>
      </c>
      <c r="AE42" t="s">
        <v>589</v>
      </c>
      <c r="AF42" t="s">
        <v>574</v>
      </c>
      <c r="AI42" s="132">
        <v>45641.375</v>
      </c>
    </row>
    <row r="43" spans="1:37" x14ac:dyDescent="0.25">
      <c r="A43">
        <v>13539717234.6</v>
      </c>
      <c r="B43">
        <v>2416</v>
      </c>
      <c r="C43" s="132">
        <v>45846.375</v>
      </c>
      <c r="D43" s="132">
        <v>45394.375</v>
      </c>
      <c r="E43">
        <v>872</v>
      </c>
      <c r="F43">
        <v>0</v>
      </c>
      <c r="G43" s="132">
        <v>45406.929531712965</v>
      </c>
      <c r="H43" s="132">
        <v>45846.375</v>
      </c>
      <c r="I43" s="132">
        <v>45394.375</v>
      </c>
      <c r="J43" t="b">
        <v>0</v>
      </c>
      <c r="K43" t="b">
        <v>1</v>
      </c>
      <c r="L43" s="132">
        <v>45846.375</v>
      </c>
      <c r="M43">
        <v>0</v>
      </c>
      <c r="N43">
        <v>0</v>
      </c>
      <c r="O43" t="s">
        <v>717</v>
      </c>
      <c r="P43" s="132">
        <v>45846.375</v>
      </c>
      <c r="Q43" s="132">
        <v>45394.375</v>
      </c>
      <c r="R43" s="132">
        <v>46092.84150023148</v>
      </c>
      <c r="S43" s="132">
        <v>46111.643482673608</v>
      </c>
      <c r="T43" s="130" t="s">
        <v>518</v>
      </c>
      <c r="U43" s="136">
        <v>100</v>
      </c>
      <c r="V43" t="s">
        <v>718</v>
      </c>
      <c r="W43" t="s">
        <v>719</v>
      </c>
      <c r="X43" t="s">
        <v>126</v>
      </c>
      <c r="Y43" s="130">
        <v>100</v>
      </c>
      <c r="Z43" s="130" t="s">
        <v>560</v>
      </c>
      <c r="AA43" s="130" t="s">
        <v>720</v>
      </c>
      <c r="AB43" t="s">
        <v>640</v>
      </c>
      <c r="AC43" t="s">
        <v>717</v>
      </c>
      <c r="AD43" t="s">
        <v>611</v>
      </c>
      <c r="AE43" t="s">
        <v>612</v>
      </c>
      <c r="AF43" t="s">
        <v>574</v>
      </c>
      <c r="AG43" t="s">
        <v>721</v>
      </c>
      <c r="AH43" t="s">
        <v>722</v>
      </c>
      <c r="AI43" s="132">
        <v>45838.375</v>
      </c>
      <c r="AK43" t="s">
        <v>723</v>
      </c>
    </row>
    <row r="44" spans="1:37" x14ac:dyDescent="0.25">
      <c r="A44">
        <v>1184273200</v>
      </c>
      <c r="B44">
        <v>1478.4183330000001</v>
      </c>
      <c r="C44" s="132"/>
      <c r="D44" s="132">
        <v>45384.333333333336</v>
      </c>
      <c r="E44">
        <v>0</v>
      </c>
      <c r="F44">
        <v>0</v>
      </c>
      <c r="G44" s="132">
        <v>45405.824231944447</v>
      </c>
      <c r="H44" s="132">
        <v>45657.791666666664</v>
      </c>
      <c r="I44" s="132">
        <v>45384.333333333336</v>
      </c>
      <c r="J44" t="b">
        <v>0</v>
      </c>
      <c r="K44" t="b">
        <v>1</v>
      </c>
      <c r="L44" s="132">
        <v>45657.791666666664</v>
      </c>
      <c r="M44">
        <v>0</v>
      </c>
      <c r="N44">
        <v>0</v>
      </c>
      <c r="O44" t="s">
        <v>724</v>
      </c>
      <c r="P44" s="132">
        <v>45657.791666666664</v>
      </c>
      <c r="Q44" s="132">
        <v>45384.333333333336</v>
      </c>
      <c r="R44" s="132">
        <v>45737.890419560186</v>
      </c>
      <c r="S44" s="132">
        <v>46118.547777118052</v>
      </c>
      <c r="T44" s="130" t="s">
        <v>106</v>
      </c>
      <c r="U44" s="136">
        <v>99</v>
      </c>
      <c r="V44" t="s">
        <v>106</v>
      </c>
      <c r="W44" t="s">
        <v>107</v>
      </c>
      <c r="X44" t="s">
        <v>126</v>
      </c>
      <c r="Y44" s="130">
        <v>100</v>
      </c>
      <c r="Z44" s="130" t="s">
        <v>560</v>
      </c>
      <c r="AA44" s="130" t="s">
        <v>109</v>
      </c>
      <c r="AB44" t="s">
        <v>646</v>
      </c>
      <c r="AD44" t="s">
        <v>578</v>
      </c>
      <c r="AE44" t="s">
        <v>691</v>
      </c>
      <c r="AF44" t="s">
        <v>574</v>
      </c>
      <c r="AH44" t="s">
        <v>725</v>
      </c>
      <c r="AI44" s="132">
        <v>45657.375</v>
      </c>
      <c r="AJ44" t="s">
        <v>726</v>
      </c>
    </row>
    <row r="45" spans="1:37" x14ac:dyDescent="0.25">
      <c r="A45">
        <v>2</v>
      </c>
      <c r="B45">
        <v>1480</v>
      </c>
      <c r="C45" s="132">
        <v>45642.375</v>
      </c>
      <c r="D45" s="132">
        <v>45383.375</v>
      </c>
      <c r="E45">
        <v>0</v>
      </c>
      <c r="F45">
        <v>0</v>
      </c>
      <c r="G45" s="132">
        <v>45405.523599386572</v>
      </c>
      <c r="H45" s="132">
        <v>45642.375</v>
      </c>
      <c r="I45" s="132">
        <v>45383.375</v>
      </c>
      <c r="J45" t="b">
        <v>0</v>
      </c>
      <c r="K45" t="b">
        <v>1</v>
      </c>
      <c r="L45" s="132">
        <v>45642.375</v>
      </c>
      <c r="M45">
        <v>0</v>
      </c>
      <c r="N45">
        <v>0</v>
      </c>
      <c r="O45" t="s">
        <v>727</v>
      </c>
      <c r="P45" s="132">
        <v>45642.375</v>
      </c>
      <c r="Q45" s="132">
        <v>45383.375</v>
      </c>
      <c r="R45" s="132">
        <v>45785.817419212966</v>
      </c>
      <c r="S45" s="132">
        <v>46111.642620520834</v>
      </c>
      <c r="T45" s="130" t="s">
        <v>100</v>
      </c>
      <c r="U45" s="136">
        <v>100</v>
      </c>
      <c r="V45" t="s">
        <v>728</v>
      </c>
      <c r="W45" t="s">
        <v>102</v>
      </c>
      <c r="X45" t="s">
        <v>126</v>
      </c>
      <c r="Y45" s="130">
        <v>100</v>
      </c>
      <c r="Z45" s="130" t="s">
        <v>560</v>
      </c>
      <c r="AA45" s="130" t="s">
        <v>104</v>
      </c>
      <c r="AB45" t="s">
        <v>695</v>
      </c>
      <c r="AC45" t="s">
        <v>729</v>
      </c>
      <c r="AD45" t="s">
        <v>578</v>
      </c>
      <c r="AE45" t="s">
        <v>573</v>
      </c>
      <c r="AF45" t="s">
        <v>574</v>
      </c>
      <c r="AH45" t="s">
        <v>730</v>
      </c>
      <c r="AI45" s="132">
        <v>45657.375</v>
      </c>
      <c r="AJ45" t="s">
        <v>731</v>
      </c>
    </row>
    <row r="46" spans="1:37" x14ac:dyDescent="0.25">
      <c r="A46" s="134">
        <v>0</v>
      </c>
      <c r="B46">
        <v>1573.3916670000001</v>
      </c>
      <c r="C46" s="132"/>
      <c r="D46" s="132">
        <v>45345.333333333336</v>
      </c>
      <c r="E46">
        <v>11713.543333</v>
      </c>
      <c r="F46">
        <v>0</v>
      </c>
      <c r="G46" s="132">
        <v>45356.825930590276</v>
      </c>
      <c r="H46" s="132">
        <v>45638.708333333336</v>
      </c>
      <c r="I46" s="132">
        <v>45345.333333333336</v>
      </c>
      <c r="J46" t="b">
        <v>0</v>
      </c>
      <c r="K46" t="b">
        <v>1</v>
      </c>
      <c r="L46" s="132">
        <v>45638.708333333336</v>
      </c>
      <c r="M46">
        <v>0</v>
      </c>
      <c r="N46">
        <v>0</v>
      </c>
      <c r="O46" t="s">
        <v>732</v>
      </c>
      <c r="P46" s="132">
        <v>45638.708333333336</v>
      </c>
      <c r="Q46" s="132">
        <v>45345.333333333336</v>
      </c>
      <c r="R46" s="132">
        <v>45848.688677627317</v>
      </c>
      <c r="S46" s="132">
        <v>46111.640536921295</v>
      </c>
      <c r="T46" s="130" t="s">
        <v>88</v>
      </c>
      <c r="U46" s="136">
        <v>99</v>
      </c>
      <c r="V46" t="s">
        <v>733</v>
      </c>
      <c r="W46" t="s">
        <v>90</v>
      </c>
      <c r="X46" t="s">
        <v>126</v>
      </c>
      <c r="Y46" s="130">
        <v>100</v>
      </c>
      <c r="Z46" s="130" t="s">
        <v>560</v>
      </c>
      <c r="AA46" s="130" t="s">
        <v>92</v>
      </c>
      <c r="AB46" t="s">
        <v>640</v>
      </c>
      <c r="AC46" t="s">
        <v>732</v>
      </c>
      <c r="AD46" t="s">
        <v>562</v>
      </c>
      <c r="AE46" t="s">
        <v>691</v>
      </c>
      <c r="AF46" t="s">
        <v>574</v>
      </c>
      <c r="AH46" t="s">
        <v>734</v>
      </c>
      <c r="AI46" s="132">
        <v>45619.333333333336</v>
      </c>
      <c r="AJ46" t="s">
        <v>735</v>
      </c>
    </row>
    <row r="47" spans="1:37" x14ac:dyDescent="0.25">
      <c r="A47" s="129">
        <v>0</v>
      </c>
      <c r="B47" s="129">
        <v>1096</v>
      </c>
      <c r="C47" s="133">
        <v>44637.75</v>
      </c>
      <c r="D47" s="133">
        <v>44440.333333333336</v>
      </c>
      <c r="E47" s="129">
        <v>0</v>
      </c>
      <c r="F47" s="129">
        <v>0</v>
      </c>
      <c r="G47" s="133">
        <v>45348.736015659721</v>
      </c>
      <c r="H47" s="133">
        <v>44637.75</v>
      </c>
      <c r="I47" s="133">
        <v>44440.333333333336</v>
      </c>
      <c r="J47" s="129" t="b">
        <v>0</v>
      </c>
      <c r="K47" s="129" t="b">
        <v>1</v>
      </c>
      <c r="L47" s="133">
        <v>44637.75</v>
      </c>
      <c r="M47" s="129">
        <v>0</v>
      </c>
      <c r="N47" s="129">
        <v>0</v>
      </c>
      <c r="O47" s="129" t="s">
        <v>736</v>
      </c>
      <c r="P47" s="133">
        <v>44637.75</v>
      </c>
      <c r="Q47" s="133">
        <v>44440.333333333336</v>
      </c>
      <c r="R47" s="133">
        <v>45709.845958530095</v>
      </c>
      <c r="S47" s="133">
        <v>45709.852787581018</v>
      </c>
      <c r="T47" s="130" t="s">
        <v>82</v>
      </c>
      <c r="U47" s="136">
        <v>100</v>
      </c>
      <c r="V47" s="129" t="s">
        <v>82</v>
      </c>
      <c r="W47" s="129" t="s">
        <v>84</v>
      </c>
      <c r="X47" s="129" t="s">
        <v>73</v>
      </c>
      <c r="Y47" s="130">
        <v>100</v>
      </c>
      <c r="Z47" s="130" t="s">
        <v>560</v>
      </c>
      <c r="AA47" s="130" t="s">
        <v>86</v>
      </c>
      <c r="AB47" s="129" t="s">
        <v>658</v>
      </c>
      <c r="AC47" s="129" t="s">
        <v>736</v>
      </c>
      <c r="AD47" s="129" t="s">
        <v>737</v>
      </c>
      <c r="AE47" s="129" t="s">
        <v>598</v>
      </c>
      <c r="AF47" s="129" t="s">
        <v>574</v>
      </c>
      <c r="AG47" s="129"/>
      <c r="AH47" s="129" t="s">
        <v>738</v>
      </c>
      <c r="AI47" s="133">
        <v>45382.375</v>
      </c>
      <c r="AJ47" s="129" t="s">
        <v>731</v>
      </c>
      <c r="AK47" s="129"/>
    </row>
    <row r="48" spans="1:37" x14ac:dyDescent="0.25">
      <c r="A48">
        <v>0</v>
      </c>
      <c r="B48">
        <v>1904</v>
      </c>
      <c r="C48" s="132">
        <v>45637.75</v>
      </c>
      <c r="D48" s="132">
        <v>45282.333333333336</v>
      </c>
      <c r="E48">
        <v>0</v>
      </c>
      <c r="F48">
        <v>0</v>
      </c>
      <c r="G48" s="132">
        <v>45323.90036605324</v>
      </c>
      <c r="H48" s="132">
        <v>45637.75</v>
      </c>
      <c r="I48" s="132">
        <v>45282.333333333336</v>
      </c>
      <c r="J48" t="b">
        <v>0</v>
      </c>
      <c r="K48" t="b">
        <v>1</v>
      </c>
      <c r="L48" s="132">
        <v>45637.75</v>
      </c>
      <c r="M48">
        <v>0</v>
      </c>
      <c r="N48">
        <v>0</v>
      </c>
      <c r="O48" t="s">
        <v>739</v>
      </c>
      <c r="P48" s="132">
        <v>45637.75</v>
      </c>
      <c r="Q48" s="132">
        <v>45282.333333333336</v>
      </c>
      <c r="R48" s="132">
        <v>45674.083267210648</v>
      </c>
      <c r="S48" s="132">
        <v>46118.54703533565</v>
      </c>
      <c r="T48" s="130" t="s">
        <v>75</v>
      </c>
      <c r="U48" s="136">
        <v>100</v>
      </c>
      <c r="V48" t="s">
        <v>75</v>
      </c>
      <c r="W48" t="s">
        <v>76</v>
      </c>
      <c r="X48" t="s">
        <v>126</v>
      </c>
      <c r="Y48" s="130">
        <v>100</v>
      </c>
      <c r="Z48" s="130" t="s">
        <v>560</v>
      </c>
      <c r="AA48" s="130" t="s">
        <v>79</v>
      </c>
      <c r="AB48" t="s">
        <v>556</v>
      </c>
      <c r="AC48" t="s">
        <v>740</v>
      </c>
      <c r="AD48" t="s">
        <v>666</v>
      </c>
      <c r="AE48" t="s">
        <v>573</v>
      </c>
      <c r="AF48" t="s">
        <v>574</v>
      </c>
      <c r="AG48" t="s">
        <v>741</v>
      </c>
      <c r="AH48" t="s">
        <v>742</v>
      </c>
      <c r="AI48" s="132">
        <v>45622.375</v>
      </c>
    </row>
    <row r="49" spans="1:37" x14ac:dyDescent="0.25">
      <c r="A49">
        <v>0</v>
      </c>
      <c r="B49">
        <v>1415.8066670000001</v>
      </c>
      <c r="C49" s="132"/>
      <c r="D49" s="132">
        <v>45300.333333333336</v>
      </c>
      <c r="E49">
        <v>289.34166699999997</v>
      </c>
      <c r="F49">
        <v>0</v>
      </c>
      <c r="G49" s="132">
        <v>45316.514073460647</v>
      </c>
      <c r="H49" s="132">
        <v>45565.75</v>
      </c>
      <c r="I49" s="132">
        <v>45300.333333333336</v>
      </c>
      <c r="J49" t="b">
        <v>0</v>
      </c>
      <c r="K49" t="b">
        <v>1</v>
      </c>
      <c r="L49" s="132">
        <v>45565.75</v>
      </c>
      <c r="M49">
        <v>0</v>
      </c>
      <c r="N49">
        <v>0</v>
      </c>
      <c r="O49" t="s">
        <v>743</v>
      </c>
      <c r="P49" s="132">
        <v>45565.75</v>
      </c>
      <c r="Q49" s="132">
        <v>45300.333333333336</v>
      </c>
      <c r="R49" s="132">
        <v>45560.65718440972</v>
      </c>
      <c r="S49" s="132">
        <v>46111.638560069441</v>
      </c>
      <c r="T49" s="130" t="s">
        <v>519</v>
      </c>
      <c r="U49" s="136">
        <v>98</v>
      </c>
      <c r="V49" t="s">
        <v>744</v>
      </c>
      <c r="W49" t="s">
        <v>745</v>
      </c>
      <c r="X49" t="s">
        <v>126</v>
      </c>
      <c r="Y49" s="130">
        <v>99.930555999999996</v>
      </c>
      <c r="Z49" s="130" t="s">
        <v>746</v>
      </c>
      <c r="AA49" s="130" t="s">
        <v>747</v>
      </c>
      <c r="AB49" t="s">
        <v>695</v>
      </c>
      <c r="AC49" t="s">
        <v>743</v>
      </c>
      <c r="AD49" t="s">
        <v>578</v>
      </c>
      <c r="AE49" t="s">
        <v>647</v>
      </c>
      <c r="AF49" t="s">
        <v>574</v>
      </c>
      <c r="AH49" t="s">
        <v>689</v>
      </c>
      <c r="AI49" s="132">
        <v>45565.333333333336</v>
      </c>
      <c r="AJ49" t="s">
        <v>735</v>
      </c>
    </row>
    <row r="50" spans="1:37" x14ac:dyDescent="0.25">
      <c r="A50">
        <v>10721037621.290001</v>
      </c>
      <c r="B50">
        <v>1576</v>
      </c>
      <c r="C50" s="132">
        <v>45611.75</v>
      </c>
      <c r="D50" s="132">
        <v>45328.333333333336</v>
      </c>
      <c r="E50">
        <v>0</v>
      </c>
      <c r="F50">
        <v>0</v>
      </c>
      <c r="G50" s="132">
        <v>45307.664935879628</v>
      </c>
      <c r="H50" s="132">
        <v>45611.75</v>
      </c>
      <c r="I50" s="132">
        <v>45328.333333333336</v>
      </c>
      <c r="J50" t="b">
        <v>0</v>
      </c>
      <c r="K50" t="b">
        <v>1</v>
      </c>
      <c r="L50" s="132">
        <v>45611.75</v>
      </c>
      <c r="M50">
        <v>0</v>
      </c>
      <c r="N50">
        <v>0</v>
      </c>
      <c r="O50" t="s">
        <v>748</v>
      </c>
      <c r="P50" s="132">
        <v>45611.75</v>
      </c>
      <c r="Q50" s="132">
        <v>45328.333333333336</v>
      </c>
      <c r="R50" s="132">
        <v>45728.126060567127</v>
      </c>
      <c r="S50" s="132">
        <v>45728.126001041666</v>
      </c>
      <c r="T50" s="130" t="s">
        <v>68</v>
      </c>
      <c r="U50" s="136">
        <v>100</v>
      </c>
      <c r="V50" t="s">
        <v>68</v>
      </c>
      <c r="W50" t="s">
        <v>70</v>
      </c>
      <c r="X50" t="s">
        <v>73</v>
      </c>
      <c r="Y50" s="130">
        <v>100</v>
      </c>
      <c r="Z50" s="130" t="s">
        <v>554</v>
      </c>
      <c r="AA50" s="130" t="s">
        <v>72</v>
      </c>
      <c r="AB50" t="s">
        <v>716</v>
      </c>
      <c r="AD50" t="s">
        <v>578</v>
      </c>
      <c r="AE50" t="s">
        <v>612</v>
      </c>
      <c r="AF50" t="s">
        <v>574</v>
      </c>
      <c r="AH50" t="s">
        <v>749</v>
      </c>
      <c r="AI50" s="132">
        <v>45565.333333333336</v>
      </c>
    </row>
    <row r="51" spans="1:37" x14ac:dyDescent="0.25">
      <c r="A51">
        <v>0</v>
      </c>
      <c r="B51">
        <v>592</v>
      </c>
      <c r="C51" s="132">
        <v>45412.375</v>
      </c>
      <c r="D51" s="132">
        <v>45303.375</v>
      </c>
      <c r="E51">
        <v>0</v>
      </c>
      <c r="F51">
        <v>0</v>
      </c>
      <c r="G51" s="132">
        <v>45307.653436655091</v>
      </c>
      <c r="H51" s="132">
        <v>45412.375</v>
      </c>
      <c r="I51" s="132">
        <v>45303.375</v>
      </c>
      <c r="J51" t="b">
        <v>0</v>
      </c>
      <c r="K51" t="b">
        <v>1</v>
      </c>
      <c r="L51" s="132">
        <v>45412.375</v>
      </c>
      <c r="M51">
        <v>0</v>
      </c>
      <c r="N51">
        <v>0</v>
      </c>
      <c r="O51" t="s">
        <v>750</v>
      </c>
      <c r="P51" s="132">
        <v>45412.375</v>
      </c>
      <c r="Q51" s="132">
        <v>45303.375</v>
      </c>
      <c r="R51" s="132">
        <v>45588.936951504627</v>
      </c>
      <c r="S51" s="132">
        <v>46111.637708796297</v>
      </c>
      <c r="T51" s="130" t="s">
        <v>59</v>
      </c>
      <c r="U51" s="136">
        <v>100</v>
      </c>
      <c r="V51" t="s">
        <v>59</v>
      </c>
      <c r="W51" t="s">
        <v>61</v>
      </c>
      <c r="X51" t="s">
        <v>126</v>
      </c>
      <c r="Y51" s="130">
        <v>100</v>
      </c>
      <c r="Z51" s="130" t="s">
        <v>560</v>
      </c>
      <c r="AA51" s="130" t="s">
        <v>64</v>
      </c>
      <c r="AB51" t="s">
        <v>658</v>
      </c>
      <c r="AC51" t="s">
        <v>750</v>
      </c>
      <c r="AD51" t="s">
        <v>676</v>
      </c>
      <c r="AE51" t="s">
        <v>598</v>
      </c>
      <c r="AF51" t="s">
        <v>574</v>
      </c>
      <c r="AH51" t="s">
        <v>751</v>
      </c>
      <c r="AI51" s="132">
        <v>45381.375</v>
      </c>
      <c r="AJ51" t="s">
        <v>752</v>
      </c>
    </row>
    <row r="52" spans="1:37" x14ac:dyDescent="0.25">
      <c r="T52">
        <v>1</v>
      </c>
      <c r="U52" s="136">
        <v>4</v>
      </c>
      <c r="V52">
        <v>25</v>
      </c>
      <c r="W52">
        <v>29</v>
      </c>
      <c r="X52">
        <v>39</v>
      </c>
      <c r="Y52">
        <v>49</v>
      </c>
      <c r="Z52">
        <v>50</v>
      </c>
      <c r="AA52">
        <v>56</v>
      </c>
      <c r="AB52">
        <v>57</v>
      </c>
      <c r="AC52">
        <v>58</v>
      </c>
      <c r="AD52">
        <v>59</v>
      </c>
      <c r="AE52">
        <v>60</v>
      </c>
      <c r="AF52">
        <v>61</v>
      </c>
      <c r="AG52">
        <v>62</v>
      </c>
      <c r="AH52">
        <v>63</v>
      </c>
      <c r="AI52">
        <v>64</v>
      </c>
      <c r="AJ52">
        <v>65</v>
      </c>
      <c r="AK52">
        <v>66</v>
      </c>
    </row>
    <row r="56" spans="1:37" x14ac:dyDescent="0.25">
      <c r="B56" t="s">
        <v>753</v>
      </c>
    </row>
    <row r="76" spans="22:22" x14ac:dyDescent="0.25">
      <c r="V76" s="135">
        <v>3642807939.1599998</v>
      </c>
    </row>
  </sheetData>
  <conditionalFormatting sqref="T94:T1048412 T1:T51">
    <cfRule type="duplicateValues" dxfId="5" priority="4"/>
  </conditionalFormatting>
  <conditionalFormatting sqref="T94:T1048412 T1:T54">
    <cfRule type="duplicateValues" dxfId="4" priority="3"/>
  </conditionalFormatting>
  <conditionalFormatting sqref="AA1:AA1048412">
    <cfRule type="duplicateValues" dxfId="3" priority="1"/>
    <cfRule type="duplicateValues" dxfId="2" priority="2"/>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7e9f0fe-612b-4b51-b983-7361200c714b">
      <Terms xmlns="http://schemas.microsoft.com/office/infopath/2007/PartnerControls"/>
    </lcf76f155ced4ddcb4097134ff3c332f>
    <TaxCatchAll xmlns="66e76e38-08f7-4b27-98df-c05e3c67935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08A24D0BAE390449DE4165CC310D4DD" ma:contentTypeVersion="16" ma:contentTypeDescription="Crear nuevo documento." ma:contentTypeScope="" ma:versionID="24ffdbc9e3fc006f74178519edcdfa11">
  <xsd:schema xmlns:xsd="http://www.w3.org/2001/XMLSchema" xmlns:xs="http://www.w3.org/2001/XMLSchema" xmlns:p="http://schemas.microsoft.com/office/2006/metadata/properties" xmlns:ns2="77e9f0fe-612b-4b51-b983-7361200c714b" xmlns:ns3="66e76e38-08f7-4b27-98df-c05e3c67935e" targetNamespace="http://schemas.microsoft.com/office/2006/metadata/properties" ma:root="true" ma:fieldsID="05b552f0f29ec66684ff89d34e337a76" ns2:_="" ns3:_="">
    <xsd:import namespace="77e9f0fe-612b-4b51-b983-7361200c714b"/>
    <xsd:import namespace="66e76e38-08f7-4b27-98df-c05e3c67935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e9f0fe-612b-4b51-b983-7361200c71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62693bb8-02b1-4da4-a796-6d5ad87b3c4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6e76e38-08f7-4b27-98df-c05e3c67935e"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56ead3be-bdb9-4023-9b0f-1676dc98e4ab}" ma:internalName="TaxCatchAll" ma:showField="CatchAllData" ma:web="66e76e38-08f7-4b27-98df-c05e3c6793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D8C441-24E5-4292-A9D6-1C58B6A22AFE}">
  <ds:schemaRefs>
    <ds:schemaRef ds:uri="http://schemas.microsoft.com/office/2006/metadata/properties"/>
    <ds:schemaRef ds:uri="http://schemas.microsoft.com/office/infopath/2007/PartnerControls"/>
    <ds:schemaRef ds:uri="77e9f0fe-612b-4b51-b983-7361200c714b"/>
    <ds:schemaRef ds:uri="66e76e38-08f7-4b27-98df-c05e3c67935e"/>
  </ds:schemaRefs>
</ds:datastoreItem>
</file>

<file path=customXml/itemProps2.xml><?xml version="1.0" encoding="utf-8"?>
<ds:datastoreItem xmlns:ds="http://schemas.openxmlformats.org/officeDocument/2006/customXml" ds:itemID="{F218859A-B818-472D-9106-11CCCD3AF977}">
  <ds:schemaRefs>
    <ds:schemaRef ds:uri="http://schemas.microsoft.com/sharepoint/v3/contenttype/forms"/>
  </ds:schemaRefs>
</ds:datastoreItem>
</file>

<file path=customXml/itemProps3.xml><?xml version="1.0" encoding="utf-8"?>
<ds:datastoreItem xmlns:ds="http://schemas.openxmlformats.org/officeDocument/2006/customXml" ds:itemID="{23B7496E-4E04-4CF6-8FB7-AABABBD768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e9f0fe-612b-4b51-b983-7361200c714b"/>
    <ds:schemaRef ds:uri="66e76e38-08f7-4b27-98df-c05e3c6793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Indicador</vt:lpstr>
      <vt:lpstr>Data</vt:lpstr>
      <vt:lpstr>Data Afinada</vt:lpstr>
      <vt:lpstr>Hoja3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Alberto Ramirez Nuñez</dc:creator>
  <cp:lastModifiedBy>Alberto Ramirez Nuñez</cp:lastModifiedBy>
  <dcterms:created xsi:type="dcterms:W3CDTF">2026-04-06T12:31:30Z</dcterms:created>
  <dcterms:modified xsi:type="dcterms:W3CDTF">2026-04-07T20:15:57Z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0x010100908A24D0BAE390449DE4165CC310D4DD</vt:lpwstr>
  </property>
  <property fmtid="{D5CDD505-2E9C-101B-9397-08002B2CF9AE}" pid="3" name="MediaServiceImageTags">
    <vt:lpwstr/>
  </property>
</Properties>
</file>