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Proyectos\Análisis 2\"/>
    </mc:Choice>
  </mc:AlternateContent>
  <xr:revisionPtr revIDLastSave="0" documentId="13_ncr:1_{C1CE1075-96E1-4A63-8E42-9573F9FEC4F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Hoja1!$A$1:$V$1</definedName>
    <definedName name="_xlnm.Extract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3" i="1"/>
  <c r="L4" i="1"/>
  <c r="L5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tc={83923610-40E7-4090-B410-5A9EBECECC69}</author>
    <author>tc={0D2E8984-5A92-4C81-ADCA-79240077A043}</author>
  </authors>
  <commentList>
    <comment ref="S1" authorId="0" shapeId="0" xr:uid="{83923610-40E7-4090-B410-5A9EBECECC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U1" authorId="1" shapeId="0" xr:uid="{0D2E8984-5A92-4C81-ADCA-79240077A0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sharedStrings.xml><?xml version="1.0" encoding="utf-8"?>
<sst xmlns="http://schemas.openxmlformats.org/spreadsheetml/2006/main" count="343" uniqueCount="71">
  <si>
    <t>ProjectId</t>
  </si>
  <si>
    <t>a9cd0d86-7287-f011-b73a-00155d102b0e</t>
  </si>
  <si>
    <t>bafcc872-0f88-f011-b73c-00155d107618</t>
  </si>
  <si>
    <t>949f22f0-0d7e-f011-b522-00155d109605</t>
  </si>
  <si>
    <t>11742009-4d92-f011-b748-00155d10e50b</t>
  </si>
  <si>
    <t>1b43123c-dca2-f011-ad61-00155d10ce02</t>
  </si>
  <si>
    <t>814cb47a-69be-f011-a2d0-00155d102a0d</t>
  </si>
  <si>
    <t>d79ac27b-ce9f-f011-ad66-00155d10d01e</t>
  </si>
  <si>
    <t>de44d35f-a3c4-f011-a2d3-00155d10a20e</t>
  </si>
  <si>
    <t>7a907e06-82be-f011-a2c8-00155d104505</t>
  </si>
  <si>
    <t>3e0420fc-6cbe-f011-a2c4-00155d10161a</t>
  </si>
  <si>
    <t>d48feed8-6abe-f011-a2cc-00155d11080d</t>
  </si>
  <si>
    <t>170cbfc7-d6e4-f011-9aac-00155d103e1e</t>
  </si>
  <si>
    <t>26796451-d9f4-f011-8782-00155d10b911</t>
  </si>
  <si>
    <t>d8464488-bcc4-f011-a2d2-00155d110115</t>
  </si>
  <si>
    <t>053eec63-eeca-f011-86c1-00155d106a17</t>
  </si>
  <si>
    <t>44516f2a-f1fa-f011-b5f8-00155d10100b</t>
  </si>
  <si>
    <t>da353807-f0d1-f011-86be-00155d10d315</t>
  </si>
  <si>
    <t>ec074182-14e0-f011-9aac-00155d10d91f</t>
  </si>
  <si>
    <t>2a4aeec0-1ee0-f011-9aac-00155d11040d</t>
  </si>
  <si>
    <t>c5a4c8cd-7abe-f011-a2cf-00155d10ce0f</t>
  </si>
  <si>
    <t>8102396e-b6fc-f011-b5fb-00155d108229</t>
  </si>
  <si>
    <t>466e3d54-fffa-f011-b5f8-00155d10e10d</t>
  </si>
  <si>
    <t>ProjectOwnerName</t>
  </si>
  <si>
    <t>Carlos Alberto Osorio Ortiz</t>
  </si>
  <si>
    <t>Johan Sebastian Rodriguez Niño</t>
  </si>
  <si>
    <t>Mario Andres Pirachican Gil</t>
  </si>
  <si>
    <t>Leidy Susana Ramirez Herrera</t>
  </si>
  <si>
    <t>Rodrigo Alexander Ramirez Ospina</t>
  </si>
  <si>
    <t>Liliana Isabel Paba Alvear</t>
  </si>
  <si>
    <t>Diego Armando Giraldo Pachecho</t>
  </si>
  <si>
    <t>Marlon Fabian Moreno Buitrago</t>
  </si>
  <si>
    <t>Jose Leonardo Gutierrez Cumbe</t>
  </si>
  <si>
    <t>Gerardo Andres Segura Rincon</t>
  </si>
  <si>
    <t>Yhon Jairo Martinez Gaviria</t>
  </si>
  <si>
    <t>Mario Briceño Torres</t>
  </si>
  <si>
    <t>John Fredy Farias Peña</t>
  </si>
  <si>
    <t>Lida Milena Rodriguez</t>
  </si>
  <si>
    <t>Portafolio</t>
  </si>
  <si>
    <t>TI</t>
  </si>
  <si>
    <t>CONSULTORÍA</t>
  </si>
  <si>
    <t>DATOS Y SISTEMAS DE INFORMACIÓN</t>
  </si>
  <si>
    <t>Presupuesto</t>
  </si>
  <si>
    <t>Inicio</t>
  </si>
  <si>
    <t>Fin</t>
  </si>
  <si>
    <t>Meses</t>
  </si>
  <si>
    <t>Tiempo Diferencia</t>
  </si>
  <si>
    <t>Tiempo Ejecución</t>
  </si>
  <si>
    <t>Tiempo Proyectado</t>
  </si>
  <si>
    <t>% Planeado</t>
  </si>
  <si>
    <t>Completado Real</t>
  </si>
  <si>
    <t>EV (Earned Value)</t>
  </si>
  <si>
    <t>PV (Planned Value)</t>
  </si>
  <si>
    <t>SV (Schedule Variance)</t>
  </si>
  <si>
    <t>SPI (Schedule Performance Index)</t>
  </si>
  <si>
    <t>Fecha Análisis</t>
  </si>
  <si>
    <t>Mes Relativo</t>
  </si>
  <si>
    <t>Variación Avance</t>
  </si>
  <si>
    <t>Variación Relativa Avance</t>
  </si>
  <si>
    <t>cda84f1e-b9c4-f011-a2c3-00155d102501</t>
  </si>
  <si>
    <t>a571ec8c-1aca-f011-86be-00155d10d427</t>
  </si>
  <si>
    <t>e85d2141-26ca-f011-86be-00155d109619</t>
  </si>
  <si>
    <t>db1b0b93-c7ca-f011-86bf-00155d10c402</t>
  </si>
  <si>
    <t>a46c1f5d-1bd1-f011-86c0-00155d104312</t>
  </si>
  <si>
    <t>c611b5bc-bbe5-f011-9aac-00155d10300c</t>
  </si>
  <si>
    <t>5ca1d5ae-31f5-f011-9aae-00155d10e102</t>
  </si>
  <si>
    <t>Fernando Linares Castro</t>
  </si>
  <si>
    <t>Blanca Johanna Rangel Martinez</t>
  </si>
  <si>
    <t>Jorge Andres Santana Bohorquez</t>
  </si>
  <si>
    <t>CV (Cost Variance)</t>
  </si>
  <si>
    <t>CPI (Cost Performance Index)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</si>
</sst>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entury Gothic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0" fillId="0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3" borderId="1" xfId="2" applyFont="1" applyFill="1" applyBorder="1" applyAlignment="1">
      <alignment horizontal="center" vertical="center"/>
    </xf>
    <xf numFmtId="165" fontId="0" fillId="3" borderId="2" xfId="2" applyFont="1" applyFill="1" applyBorder="1" applyAlignment="1">
      <alignment horizontal="center" vertical="center"/>
    </xf>
    <xf numFmtId="14" fontId="0" fillId="3" borderId="1" xfId="2" applyNumberFormat="1" applyFont="1" applyFill="1" applyBorder="1" applyAlignment="1">
      <alignment horizontal="center" vertical="center"/>
    </xf>
    <xf numFmtId="14" fontId="3" fillId="3" borderId="1" xfId="2" applyNumberFormat="1" applyFont="1" applyFill="1" applyBorder="1" applyAlignment="1">
      <alignment horizontal="center" vertical="center"/>
    </xf>
    <xf numFmtId="14" fontId="0" fillId="3" borderId="2" xfId="2" applyNumberFormat="1" applyFont="1" applyFill="1" applyBorder="1" applyAlignment="1">
      <alignment horizontal="center" vertical="center"/>
    </xf>
    <xf numFmtId="14" fontId="3" fillId="3" borderId="2" xfId="2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</cellXfs>
  <cellStyles count="3">
    <cellStyle name="Moneda 2" xfId="2" xr:uid="{B6758D2E-3817-4B9C-9032-5F09EBBC30FA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erto Ramirez Nuñez" id="{2FBB80F5-6F62-481E-83D8-4BF5890C7F7B}" userId="S::alberto.ramirez@growdata.com.co::37732fc7-4407-4008-9311-337a1ab4846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7-16T13:34:32.36" personId="{2FBB80F5-6F62-481E-83D8-4BF5890C7F7B}" id="{83923610-40E7-4090-B410-5A9EBECECC69}">
    <text>Mide la diferencia entre el valor del trabajo completado (EV) y el costo real incurrido (AC). Indica si hay ahorro o sobrecosto.</text>
  </threadedComment>
  <threadedComment ref="U1" dT="2025-07-16T13:33:10.88" personId="{2FBB80F5-6F62-481E-83D8-4BF5890C7F7B}" id="{0D2E8984-5A92-4C81-ADCA-79240077A043}">
    <text>Evalúa la eficiencia del uso del presupuesto. Indica cuánto valor se obtiene por cada unidad monetaria gastada.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"/>
  <sheetViews>
    <sheetView tabSelected="1" workbookViewId="0">
      <pane xSplit="1" ySplit="1" topLeftCell="B104" activePane="bottomRight" state="frozen"/>
      <selection pane="topRight" activeCell="B1" sqref="B1"/>
      <selection pane="bottomLeft" activeCell="A2" sqref="A2"/>
      <selection pane="bottomRight" activeCell="A108" sqref="A108"/>
    </sheetView>
  </sheetViews>
  <sheetFormatPr baseColWidth="10" defaultColWidth="9.06640625" defaultRowHeight="14.25" x14ac:dyDescent="0.45"/>
  <cols>
    <col min="1" max="1" width="27.53125" style="2" customWidth="1"/>
    <col min="2" max="2" width="32.1328125" style="2" customWidth="1"/>
    <col min="3" max="3" width="34.265625" style="2" customWidth="1"/>
    <col min="4" max="4" width="53.59765625" style="2" customWidth="1"/>
    <col min="5" max="5" width="16.73046875" style="2" customWidth="1"/>
    <col min="6" max="7" width="12.1328125" style="2" customWidth="1"/>
    <col min="8" max="8" width="9" style="2" customWidth="1"/>
    <col min="9" max="9" width="23.59765625" style="2" customWidth="1"/>
    <col min="10" max="10" width="22" style="2" customWidth="1"/>
    <col min="11" max="12" width="23.73046875" style="2" customWidth="1"/>
    <col min="13" max="13" width="15.73046875" style="3" customWidth="1"/>
    <col min="14" max="16" width="21.86328125" style="3" customWidth="1"/>
    <col min="17" max="17" width="22.3984375" style="2" customWidth="1"/>
    <col min="18" max="19" width="23.59765625" style="2" customWidth="1"/>
    <col min="20" max="21" width="28.59765625" style="2" customWidth="1"/>
    <col min="22" max="22" width="38.86328125" style="2" customWidth="1"/>
  </cols>
  <sheetData>
    <row r="1" spans="1:22" ht="28.5" x14ac:dyDescent="0.45">
      <c r="A1" s="1" t="s">
        <v>0</v>
      </c>
      <c r="B1" s="1" t="s">
        <v>23</v>
      </c>
      <c r="C1" s="1" t="s">
        <v>38</v>
      </c>
      <c r="D1" s="1" t="s">
        <v>42</v>
      </c>
      <c r="E1" s="1" t="s">
        <v>43</v>
      </c>
      <c r="F1" s="1" t="s">
        <v>44</v>
      </c>
      <c r="G1" s="1" t="s">
        <v>55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56</v>
      </c>
      <c r="M1" s="1" t="s">
        <v>49</v>
      </c>
      <c r="N1" s="1" t="s">
        <v>50</v>
      </c>
      <c r="O1" s="1" t="s">
        <v>57</v>
      </c>
      <c r="P1" s="1" t="s">
        <v>58</v>
      </c>
      <c r="Q1" s="1" t="s">
        <v>51</v>
      </c>
      <c r="R1" s="1" t="s">
        <v>52</v>
      </c>
      <c r="S1" s="18" t="s">
        <v>69</v>
      </c>
      <c r="T1" s="1" t="s">
        <v>53</v>
      </c>
      <c r="U1" s="18" t="s">
        <v>70</v>
      </c>
      <c r="V1" s="1" t="s">
        <v>54</v>
      </c>
    </row>
    <row r="2" spans="1:22" x14ac:dyDescent="0.45">
      <c r="A2" s="5" t="s">
        <v>3</v>
      </c>
      <c r="B2" s="5" t="s">
        <v>26</v>
      </c>
      <c r="C2" s="5" t="s">
        <v>41</v>
      </c>
      <c r="D2" s="7">
        <v>4792442910</v>
      </c>
      <c r="E2" s="9">
        <v>45901</v>
      </c>
      <c r="F2" s="10">
        <v>46264</v>
      </c>
      <c r="G2" s="6">
        <v>45930</v>
      </c>
      <c r="H2" s="13">
        <v>11.97</v>
      </c>
      <c r="I2" s="13">
        <v>-10.97</v>
      </c>
      <c r="J2" s="13">
        <v>1</v>
      </c>
      <c r="K2" s="5">
        <v>12</v>
      </c>
      <c r="L2" s="4">
        <f t="shared" ref="L2:L65" si="0">J2/_xlfn.MAXIFS(J2:J392,A2:A392,A2)</f>
        <v>0.16666666666666666</v>
      </c>
      <c r="M2" s="16">
        <v>0.15</v>
      </c>
      <c r="N2" s="16">
        <v>0.15</v>
      </c>
      <c r="O2" s="4">
        <f>N2-M2</f>
        <v>0</v>
      </c>
      <c r="P2" s="4">
        <f>(N2-M2)/M2</f>
        <v>0</v>
      </c>
      <c r="Q2" s="19">
        <v>718866436.5</v>
      </c>
      <c r="R2" s="19">
        <v>718866436.5</v>
      </c>
      <c r="S2" s="19">
        <v>686853103.5</v>
      </c>
      <c r="T2" s="19">
        <v>0</v>
      </c>
      <c r="U2" s="23">
        <v>22.455220032853187</v>
      </c>
      <c r="V2" s="26">
        <v>1</v>
      </c>
    </row>
    <row r="3" spans="1:22" x14ac:dyDescent="0.45">
      <c r="A3" s="5" t="s">
        <v>3</v>
      </c>
      <c r="B3" s="5" t="s">
        <v>26</v>
      </c>
      <c r="C3" s="5" t="s">
        <v>41</v>
      </c>
      <c r="D3" s="7">
        <v>4792442910</v>
      </c>
      <c r="E3" s="9">
        <v>45901</v>
      </c>
      <c r="F3" s="10">
        <v>46264</v>
      </c>
      <c r="G3" s="6">
        <v>45961</v>
      </c>
      <c r="H3" s="13">
        <v>11.97</v>
      </c>
      <c r="I3" s="13">
        <v>-9.9700000000000006</v>
      </c>
      <c r="J3" s="13">
        <v>2</v>
      </c>
      <c r="K3" s="5">
        <v>12</v>
      </c>
      <c r="L3" s="4">
        <f t="shared" si="0"/>
        <v>0.33333333333333331</v>
      </c>
      <c r="M3" s="16">
        <v>0.25</v>
      </c>
      <c r="N3" s="16">
        <v>0.25</v>
      </c>
      <c r="O3" s="4">
        <f t="shared" ref="O3:O66" si="1">N3-M3</f>
        <v>0</v>
      </c>
      <c r="P3" s="4">
        <f t="shared" ref="P3:P66" si="2">(N3-M3)/M3</f>
        <v>0</v>
      </c>
      <c r="Q3" s="19">
        <v>1198110727.5</v>
      </c>
      <c r="R3" s="19">
        <v>1198110727.5</v>
      </c>
      <c r="S3" s="19">
        <v>1133297394.5</v>
      </c>
      <c r="T3" s="19">
        <v>0</v>
      </c>
      <c r="U3" s="23">
        <v>18.485559560715693</v>
      </c>
      <c r="V3" s="26">
        <v>1</v>
      </c>
    </row>
    <row r="4" spans="1:22" x14ac:dyDescent="0.45">
      <c r="A4" s="5" t="s">
        <v>3</v>
      </c>
      <c r="B4" s="5" t="s">
        <v>26</v>
      </c>
      <c r="C4" s="5" t="s">
        <v>41</v>
      </c>
      <c r="D4" s="7">
        <v>4792442910</v>
      </c>
      <c r="E4" s="9">
        <v>45901</v>
      </c>
      <c r="F4" s="10">
        <v>46264</v>
      </c>
      <c r="G4" s="6">
        <v>45991</v>
      </c>
      <c r="H4" s="13">
        <v>11.97</v>
      </c>
      <c r="I4" s="13">
        <v>-8.9700000000000006</v>
      </c>
      <c r="J4" s="13">
        <v>3</v>
      </c>
      <c r="K4" s="5">
        <v>12</v>
      </c>
      <c r="L4" s="4">
        <f t="shared" si="0"/>
        <v>0.5</v>
      </c>
      <c r="M4" s="16">
        <v>0.3</v>
      </c>
      <c r="N4" s="16">
        <v>0.3</v>
      </c>
      <c r="O4" s="4">
        <f t="shared" si="1"/>
        <v>0</v>
      </c>
      <c r="P4" s="4">
        <f t="shared" si="2"/>
        <v>0</v>
      </c>
      <c r="Q4" s="19">
        <v>1437732873</v>
      </c>
      <c r="R4" s="19">
        <v>1437732873</v>
      </c>
      <c r="S4" s="19">
        <v>1244119540</v>
      </c>
      <c r="T4" s="19">
        <v>0</v>
      </c>
      <c r="U4" s="23">
        <v>7.4257947566038753</v>
      </c>
      <c r="V4" s="26">
        <v>1</v>
      </c>
    </row>
    <row r="5" spans="1:22" x14ac:dyDescent="0.45">
      <c r="A5" s="5" t="s">
        <v>3</v>
      </c>
      <c r="B5" s="5" t="s">
        <v>26</v>
      </c>
      <c r="C5" s="5" t="s">
        <v>41</v>
      </c>
      <c r="D5" s="7">
        <v>4792442910</v>
      </c>
      <c r="E5" s="9">
        <v>45901</v>
      </c>
      <c r="F5" s="10">
        <v>46264</v>
      </c>
      <c r="G5" s="6">
        <v>46022</v>
      </c>
      <c r="H5" s="13">
        <v>11.97</v>
      </c>
      <c r="I5" s="13">
        <v>-7.9700000000000006</v>
      </c>
      <c r="J5" s="13">
        <v>4</v>
      </c>
      <c r="K5" s="5">
        <v>12</v>
      </c>
      <c r="L5" s="4">
        <f t="shared" si="0"/>
        <v>0.66666666666666663</v>
      </c>
      <c r="M5" s="16">
        <v>0.35</v>
      </c>
      <c r="N5" s="16">
        <v>0.35</v>
      </c>
      <c r="O5" s="4">
        <f t="shared" si="1"/>
        <v>0</v>
      </c>
      <c r="P5" s="4">
        <f t="shared" si="2"/>
        <v>0</v>
      </c>
      <c r="Q5" s="19">
        <v>1677355018.5</v>
      </c>
      <c r="R5" s="19">
        <v>1677355018.5</v>
      </c>
      <c r="S5" s="19">
        <v>1399157685.5</v>
      </c>
      <c r="T5" s="19">
        <v>0</v>
      </c>
      <c r="U5" s="23">
        <v>6.0293713114064973</v>
      </c>
      <c r="V5" s="26">
        <v>1</v>
      </c>
    </row>
    <row r="6" spans="1:22" x14ac:dyDescent="0.45">
      <c r="A6" s="5" t="s">
        <v>3</v>
      </c>
      <c r="B6" s="5" t="s">
        <v>26</v>
      </c>
      <c r="C6" s="5" t="s">
        <v>41</v>
      </c>
      <c r="D6" s="7">
        <v>4792442910</v>
      </c>
      <c r="E6" s="9">
        <v>45901</v>
      </c>
      <c r="F6" s="10">
        <v>46264</v>
      </c>
      <c r="G6" s="6">
        <v>46053</v>
      </c>
      <c r="H6" s="13">
        <v>11.97</v>
      </c>
      <c r="I6" s="13">
        <v>-6.9700000000000006</v>
      </c>
      <c r="J6" s="13">
        <v>5</v>
      </c>
      <c r="K6" s="5">
        <v>12</v>
      </c>
      <c r="L6" s="4">
        <f t="shared" si="0"/>
        <v>0.83333333333333337</v>
      </c>
      <c r="M6" s="16">
        <v>0.5</v>
      </c>
      <c r="N6" s="16">
        <v>0.5</v>
      </c>
      <c r="O6" s="4">
        <f t="shared" si="1"/>
        <v>0</v>
      </c>
      <c r="P6" s="4">
        <f t="shared" si="2"/>
        <v>0</v>
      </c>
      <c r="Q6" s="19">
        <v>2396221455</v>
      </c>
      <c r="R6" s="19">
        <v>2396221455</v>
      </c>
      <c r="S6" s="19">
        <v>2070224122</v>
      </c>
      <c r="T6" s="19">
        <v>0</v>
      </c>
      <c r="U6" s="23">
        <v>7.3504326951042875</v>
      </c>
      <c r="V6" s="26">
        <v>1</v>
      </c>
    </row>
    <row r="7" spans="1:22" x14ac:dyDescent="0.45">
      <c r="A7" s="5" t="s">
        <v>3</v>
      </c>
      <c r="B7" s="5" t="s">
        <v>26</v>
      </c>
      <c r="C7" s="5" t="s">
        <v>41</v>
      </c>
      <c r="D7" s="7">
        <v>4792442910</v>
      </c>
      <c r="E7" s="9">
        <v>45901</v>
      </c>
      <c r="F7" s="10">
        <v>46264</v>
      </c>
      <c r="G7" s="6">
        <v>46081</v>
      </c>
      <c r="H7" s="13">
        <v>11.97</v>
      </c>
      <c r="I7" s="13">
        <v>-5.9700000000000006</v>
      </c>
      <c r="J7" s="13">
        <v>6</v>
      </c>
      <c r="K7" s="5">
        <v>12</v>
      </c>
      <c r="L7" s="4">
        <f t="shared" si="0"/>
        <v>1</v>
      </c>
      <c r="M7" s="16">
        <v>0.62</v>
      </c>
      <c r="N7" s="16">
        <v>0.62</v>
      </c>
      <c r="O7" s="4">
        <f t="shared" si="1"/>
        <v>0</v>
      </c>
      <c r="P7" s="4">
        <f t="shared" si="2"/>
        <v>0</v>
      </c>
      <c r="Q7" s="19">
        <v>2971314604.1999998</v>
      </c>
      <c r="R7" s="19">
        <v>2971314604.1999998</v>
      </c>
      <c r="S7" s="19">
        <v>2595002271.1999998</v>
      </c>
      <c r="T7" s="19">
        <v>0</v>
      </c>
      <c r="U7" s="23">
        <v>7.8958735700006937</v>
      </c>
      <c r="V7" s="26">
        <v>1</v>
      </c>
    </row>
    <row r="8" spans="1:22" x14ac:dyDescent="0.45">
      <c r="A8" s="5" t="s">
        <v>1</v>
      </c>
      <c r="B8" s="5" t="s">
        <v>26</v>
      </c>
      <c r="C8" s="5" t="s">
        <v>41</v>
      </c>
      <c r="D8" s="7">
        <v>5018888965</v>
      </c>
      <c r="E8" s="9">
        <v>45870</v>
      </c>
      <c r="F8" s="10">
        <v>46022</v>
      </c>
      <c r="G8" s="6">
        <v>45900</v>
      </c>
      <c r="H8" s="13">
        <v>5</v>
      </c>
      <c r="I8" s="13">
        <v>-4</v>
      </c>
      <c r="J8" s="13">
        <v>1</v>
      </c>
      <c r="K8" s="5">
        <v>5</v>
      </c>
      <c r="L8" s="4">
        <f t="shared" si="0"/>
        <v>0.16666666666666666</v>
      </c>
      <c r="M8" s="16">
        <v>0.1</v>
      </c>
      <c r="N8" s="16">
        <v>0.1</v>
      </c>
      <c r="O8" s="4">
        <f t="shared" si="1"/>
        <v>0</v>
      </c>
      <c r="P8" s="4">
        <f t="shared" si="2"/>
        <v>0</v>
      </c>
      <c r="Q8" s="19">
        <v>501888896.5</v>
      </c>
      <c r="R8" s="19">
        <v>501888896.5</v>
      </c>
      <c r="S8" s="19">
        <v>501888896.5</v>
      </c>
      <c r="T8" s="19">
        <v>0</v>
      </c>
      <c r="U8" s="24">
        <v>1</v>
      </c>
      <c r="V8" s="26">
        <v>1</v>
      </c>
    </row>
    <row r="9" spans="1:22" x14ac:dyDescent="0.45">
      <c r="A9" s="5" t="s">
        <v>1</v>
      </c>
      <c r="B9" s="5" t="s">
        <v>26</v>
      </c>
      <c r="C9" s="5" t="s">
        <v>41</v>
      </c>
      <c r="D9" s="7">
        <v>5018888965</v>
      </c>
      <c r="E9" s="9">
        <v>45870</v>
      </c>
      <c r="F9" s="10">
        <v>46022</v>
      </c>
      <c r="G9" s="6">
        <v>45930</v>
      </c>
      <c r="H9" s="13">
        <v>5</v>
      </c>
      <c r="I9" s="13">
        <v>-3</v>
      </c>
      <c r="J9" s="13">
        <v>2</v>
      </c>
      <c r="K9" s="5">
        <v>5</v>
      </c>
      <c r="L9" s="4">
        <f t="shared" si="0"/>
        <v>0.33333333333333331</v>
      </c>
      <c r="M9" s="16">
        <v>0.45</v>
      </c>
      <c r="N9" s="16">
        <v>0.45</v>
      </c>
      <c r="O9" s="4">
        <f t="shared" si="1"/>
        <v>0</v>
      </c>
      <c r="P9" s="4">
        <f t="shared" si="2"/>
        <v>0</v>
      </c>
      <c r="Q9" s="19">
        <v>2258500034.25</v>
      </c>
      <c r="R9" s="19">
        <v>2258500034.25</v>
      </c>
      <c r="S9" s="19">
        <v>2242900034.25</v>
      </c>
      <c r="T9" s="19">
        <v>0</v>
      </c>
      <c r="U9" s="23">
        <v>144.77564322115384</v>
      </c>
      <c r="V9" s="26">
        <v>1</v>
      </c>
    </row>
    <row r="10" spans="1:22" x14ac:dyDescent="0.45">
      <c r="A10" s="5" t="s">
        <v>1</v>
      </c>
      <c r="B10" s="5" t="s">
        <v>26</v>
      </c>
      <c r="C10" s="5" t="s">
        <v>41</v>
      </c>
      <c r="D10" s="7">
        <v>5018888965</v>
      </c>
      <c r="E10" s="9">
        <v>45870</v>
      </c>
      <c r="F10" s="10">
        <v>46022</v>
      </c>
      <c r="G10" s="6">
        <v>45961</v>
      </c>
      <c r="H10" s="13">
        <v>5</v>
      </c>
      <c r="I10" s="13">
        <v>-2</v>
      </c>
      <c r="J10" s="13">
        <v>3</v>
      </c>
      <c r="K10" s="5">
        <v>5</v>
      </c>
      <c r="L10" s="4">
        <f t="shared" si="0"/>
        <v>0.5</v>
      </c>
      <c r="M10" s="16">
        <v>0.65</v>
      </c>
      <c r="N10" s="16">
        <v>0.65</v>
      </c>
      <c r="O10" s="4">
        <f t="shared" si="1"/>
        <v>0</v>
      </c>
      <c r="P10" s="4">
        <f t="shared" si="2"/>
        <v>0</v>
      </c>
      <c r="Q10" s="19">
        <v>3262277827.25</v>
      </c>
      <c r="R10" s="19">
        <v>3262277827.25</v>
      </c>
      <c r="S10" s="19">
        <v>2125954717.25</v>
      </c>
      <c r="T10" s="19">
        <v>0</v>
      </c>
      <c r="U10" s="23">
        <v>2.8709068737060184</v>
      </c>
      <c r="V10" s="26">
        <v>1</v>
      </c>
    </row>
    <row r="11" spans="1:22" x14ac:dyDescent="0.45">
      <c r="A11" s="5" t="s">
        <v>1</v>
      </c>
      <c r="B11" s="5" t="s">
        <v>26</v>
      </c>
      <c r="C11" s="5" t="s">
        <v>41</v>
      </c>
      <c r="D11" s="7">
        <v>5018888965</v>
      </c>
      <c r="E11" s="9">
        <v>45870</v>
      </c>
      <c r="F11" s="10">
        <v>46022</v>
      </c>
      <c r="G11" s="6">
        <v>45991</v>
      </c>
      <c r="H11" s="13">
        <v>5</v>
      </c>
      <c r="I11" s="13">
        <v>-1</v>
      </c>
      <c r="J11" s="13">
        <v>4</v>
      </c>
      <c r="K11" s="5">
        <v>5</v>
      </c>
      <c r="L11" s="4">
        <f t="shared" si="0"/>
        <v>0.66666666666666663</v>
      </c>
      <c r="M11" s="16">
        <v>0.85</v>
      </c>
      <c r="N11" s="16">
        <v>0.85</v>
      </c>
      <c r="O11" s="4">
        <f t="shared" si="1"/>
        <v>0</v>
      </c>
      <c r="P11" s="4">
        <f t="shared" si="2"/>
        <v>0</v>
      </c>
      <c r="Q11" s="19">
        <v>4266055620.25</v>
      </c>
      <c r="R11" s="19">
        <v>4266055620.25</v>
      </c>
      <c r="S11" s="19">
        <v>1633588075.25</v>
      </c>
      <c r="T11" s="19">
        <v>0</v>
      </c>
      <c r="U11" s="23">
        <v>1.6205539279497556</v>
      </c>
      <c r="V11" s="26">
        <v>1</v>
      </c>
    </row>
    <row r="12" spans="1:22" x14ac:dyDescent="0.45">
      <c r="A12" s="5" t="s">
        <v>1</v>
      </c>
      <c r="B12" s="5" t="s">
        <v>26</v>
      </c>
      <c r="C12" s="5" t="s">
        <v>41</v>
      </c>
      <c r="D12" s="7">
        <v>5018888965</v>
      </c>
      <c r="E12" s="9">
        <v>45870</v>
      </c>
      <c r="F12" s="10">
        <v>46022</v>
      </c>
      <c r="G12" s="6">
        <v>46022</v>
      </c>
      <c r="H12" s="13">
        <v>5</v>
      </c>
      <c r="I12" s="13">
        <v>0</v>
      </c>
      <c r="J12" s="13">
        <v>5</v>
      </c>
      <c r="K12" s="5">
        <v>5</v>
      </c>
      <c r="L12" s="4">
        <f t="shared" si="0"/>
        <v>0.83333333333333337</v>
      </c>
      <c r="M12" s="16">
        <v>1</v>
      </c>
      <c r="N12" s="16">
        <v>1</v>
      </c>
      <c r="O12" s="4">
        <f t="shared" si="1"/>
        <v>0</v>
      </c>
      <c r="P12" s="4">
        <f t="shared" si="2"/>
        <v>0</v>
      </c>
      <c r="Q12" s="19">
        <v>5018888965</v>
      </c>
      <c r="R12" s="19">
        <v>5018888965</v>
      </c>
      <c r="S12" s="19">
        <v>1958241485</v>
      </c>
      <c r="T12" s="19">
        <v>0</v>
      </c>
      <c r="U12" s="23">
        <v>1.6398128166658383</v>
      </c>
      <c r="V12" s="26">
        <v>1</v>
      </c>
    </row>
    <row r="13" spans="1:22" x14ac:dyDescent="0.45">
      <c r="A13" s="5" t="s">
        <v>1</v>
      </c>
      <c r="B13" s="5" t="s">
        <v>26</v>
      </c>
      <c r="C13" s="5" t="s">
        <v>41</v>
      </c>
      <c r="D13" s="7">
        <v>5018888965</v>
      </c>
      <c r="E13" s="9">
        <v>45870</v>
      </c>
      <c r="F13" s="10">
        <v>46022</v>
      </c>
      <c r="G13" s="6">
        <v>46053</v>
      </c>
      <c r="H13" s="13">
        <v>5</v>
      </c>
      <c r="I13" s="13">
        <v>1</v>
      </c>
      <c r="J13" s="13">
        <v>6</v>
      </c>
      <c r="K13" s="5">
        <v>5</v>
      </c>
      <c r="L13" s="4">
        <f t="shared" si="0"/>
        <v>1</v>
      </c>
      <c r="M13" s="16">
        <v>1</v>
      </c>
      <c r="N13" s="16">
        <v>1</v>
      </c>
      <c r="O13" s="4">
        <f t="shared" si="1"/>
        <v>0</v>
      </c>
      <c r="P13" s="4">
        <f t="shared" si="2"/>
        <v>0</v>
      </c>
      <c r="Q13" s="19">
        <v>5018888965</v>
      </c>
      <c r="R13" s="19">
        <v>5018888965</v>
      </c>
      <c r="S13" s="19">
        <v>1280554305</v>
      </c>
      <c r="T13" s="19">
        <v>0</v>
      </c>
      <c r="U13" s="23">
        <v>1.3425467277453431</v>
      </c>
      <c r="V13" s="26">
        <v>1</v>
      </c>
    </row>
    <row r="14" spans="1:22" x14ac:dyDescent="0.45">
      <c r="A14" s="5" t="s">
        <v>2</v>
      </c>
      <c r="B14" s="5" t="s">
        <v>25</v>
      </c>
      <c r="C14" s="5" t="s">
        <v>40</v>
      </c>
      <c r="D14" s="7">
        <v>162301726</v>
      </c>
      <c r="E14" s="9">
        <v>45901</v>
      </c>
      <c r="F14" s="10">
        <v>46022</v>
      </c>
      <c r="G14" s="6">
        <v>45930</v>
      </c>
      <c r="H14" s="13">
        <v>4</v>
      </c>
      <c r="I14" s="13">
        <v>-2</v>
      </c>
      <c r="J14" s="13">
        <v>2</v>
      </c>
      <c r="K14" s="5">
        <v>5</v>
      </c>
      <c r="L14" s="4">
        <f t="shared" si="0"/>
        <v>0.4</v>
      </c>
      <c r="M14" s="16">
        <v>0.25</v>
      </c>
      <c r="N14" s="16">
        <v>0.25</v>
      </c>
      <c r="O14" s="4">
        <f t="shared" si="1"/>
        <v>0</v>
      </c>
      <c r="P14" s="4">
        <f t="shared" si="2"/>
        <v>0</v>
      </c>
      <c r="Q14" s="19">
        <v>40575431.5</v>
      </c>
      <c r="R14" s="19">
        <v>40575431.5</v>
      </c>
      <c r="S14" s="19">
        <v>40575431.5</v>
      </c>
      <c r="T14" s="19">
        <v>0</v>
      </c>
      <c r="U14" s="24">
        <v>1</v>
      </c>
      <c r="V14" s="26">
        <v>1</v>
      </c>
    </row>
    <row r="15" spans="1:22" x14ac:dyDescent="0.45">
      <c r="A15" s="5" t="s">
        <v>2</v>
      </c>
      <c r="B15" s="5" t="s">
        <v>25</v>
      </c>
      <c r="C15" s="5" t="s">
        <v>40</v>
      </c>
      <c r="D15" s="7">
        <v>162301726</v>
      </c>
      <c r="E15" s="9">
        <v>45901</v>
      </c>
      <c r="F15" s="10">
        <v>46022</v>
      </c>
      <c r="G15" s="6">
        <v>45961</v>
      </c>
      <c r="H15" s="13">
        <v>4</v>
      </c>
      <c r="I15" s="13">
        <v>-1</v>
      </c>
      <c r="J15" s="13">
        <v>3</v>
      </c>
      <c r="K15" s="5">
        <v>5</v>
      </c>
      <c r="L15" s="4">
        <f t="shared" si="0"/>
        <v>0.6</v>
      </c>
      <c r="M15" s="16">
        <v>0.5</v>
      </c>
      <c r="N15" s="16">
        <v>0.5</v>
      </c>
      <c r="O15" s="4">
        <f t="shared" si="1"/>
        <v>0</v>
      </c>
      <c r="P15" s="4">
        <f t="shared" si="2"/>
        <v>0</v>
      </c>
      <c r="Q15" s="19">
        <v>81150863</v>
      </c>
      <c r="R15" s="19">
        <v>81150863</v>
      </c>
      <c r="S15" s="19">
        <v>81150863</v>
      </c>
      <c r="T15" s="19">
        <v>0</v>
      </c>
      <c r="U15" s="24">
        <v>1</v>
      </c>
      <c r="V15" s="26">
        <v>1</v>
      </c>
    </row>
    <row r="16" spans="1:22" x14ac:dyDescent="0.45">
      <c r="A16" s="5" t="s">
        <v>2</v>
      </c>
      <c r="B16" s="5" t="s">
        <v>25</v>
      </c>
      <c r="C16" s="5" t="s">
        <v>40</v>
      </c>
      <c r="D16" s="7">
        <v>162301726</v>
      </c>
      <c r="E16" s="9">
        <v>45901</v>
      </c>
      <c r="F16" s="10">
        <v>46022</v>
      </c>
      <c r="G16" s="6">
        <v>45991</v>
      </c>
      <c r="H16" s="13">
        <v>4</v>
      </c>
      <c r="I16" s="13">
        <v>0</v>
      </c>
      <c r="J16" s="13">
        <v>4</v>
      </c>
      <c r="K16" s="5">
        <v>5</v>
      </c>
      <c r="L16" s="4">
        <f t="shared" si="0"/>
        <v>0.8</v>
      </c>
      <c r="M16" s="16">
        <v>0.75</v>
      </c>
      <c r="N16" s="16">
        <v>0.75</v>
      </c>
      <c r="O16" s="4">
        <f t="shared" si="1"/>
        <v>0</v>
      </c>
      <c r="P16" s="4">
        <f t="shared" si="2"/>
        <v>0</v>
      </c>
      <c r="Q16" s="19">
        <v>121726294.5</v>
      </c>
      <c r="R16" s="19">
        <v>121726294.5</v>
      </c>
      <c r="S16" s="19">
        <v>121726294.5</v>
      </c>
      <c r="T16" s="19">
        <v>0</v>
      </c>
      <c r="U16" s="24">
        <v>1</v>
      </c>
      <c r="V16" s="26">
        <v>1</v>
      </c>
    </row>
    <row r="17" spans="1:22" x14ac:dyDescent="0.45">
      <c r="A17" s="5" t="s">
        <v>2</v>
      </c>
      <c r="B17" s="5" t="s">
        <v>25</v>
      </c>
      <c r="C17" s="5" t="s">
        <v>40</v>
      </c>
      <c r="D17" s="7">
        <v>162301726</v>
      </c>
      <c r="E17" s="9">
        <v>45901</v>
      </c>
      <c r="F17" s="10">
        <v>46022</v>
      </c>
      <c r="G17" s="6">
        <v>46022</v>
      </c>
      <c r="H17" s="13">
        <v>4</v>
      </c>
      <c r="I17" s="13">
        <v>1</v>
      </c>
      <c r="J17" s="13">
        <v>5</v>
      </c>
      <c r="K17" s="5">
        <v>5</v>
      </c>
      <c r="L17" s="4">
        <f t="shared" si="0"/>
        <v>1</v>
      </c>
      <c r="M17" s="16">
        <v>1</v>
      </c>
      <c r="N17" s="16">
        <v>1</v>
      </c>
      <c r="O17" s="4">
        <f t="shared" si="1"/>
        <v>0</v>
      </c>
      <c r="P17" s="4">
        <f t="shared" si="2"/>
        <v>0</v>
      </c>
      <c r="Q17" s="19">
        <v>162301726</v>
      </c>
      <c r="R17" s="19">
        <v>162301726</v>
      </c>
      <c r="S17" s="19">
        <v>24301726</v>
      </c>
      <c r="T17" s="19">
        <v>0</v>
      </c>
      <c r="U17" s="23">
        <v>1.1760994637681159</v>
      </c>
      <c r="V17" s="26">
        <v>1</v>
      </c>
    </row>
    <row r="18" spans="1:22" x14ac:dyDescent="0.45">
      <c r="A18" s="5" t="s">
        <v>4</v>
      </c>
      <c r="B18" s="5" t="s">
        <v>33</v>
      </c>
      <c r="C18" s="5" t="s">
        <v>41</v>
      </c>
      <c r="D18" s="7">
        <v>3691676726</v>
      </c>
      <c r="E18" s="9">
        <v>45905</v>
      </c>
      <c r="F18" s="10">
        <v>46757</v>
      </c>
      <c r="G18" s="6">
        <v>45930</v>
      </c>
      <c r="H18" s="13">
        <v>28</v>
      </c>
      <c r="I18" s="13">
        <v>-27</v>
      </c>
      <c r="J18" s="13">
        <v>1</v>
      </c>
      <c r="K18" s="5">
        <v>23</v>
      </c>
      <c r="L18" s="4">
        <f t="shared" si="0"/>
        <v>0.16666666666666666</v>
      </c>
      <c r="M18" s="16">
        <v>0.05</v>
      </c>
      <c r="N18" s="16">
        <v>0.05</v>
      </c>
      <c r="O18" s="4">
        <f t="shared" si="1"/>
        <v>0</v>
      </c>
      <c r="P18" s="4">
        <f t="shared" si="2"/>
        <v>0</v>
      </c>
      <c r="Q18" s="19">
        <v>184583836.30000001</v>
      </c>
      <c r="R18" s="19">
        <v>184583836.30000001</v>
      </c>
      <c r="S18" s="19">
        <v>184583836.30000001</v>
      </c>
      <c r="T18" s="19">
        <v>0</v>
      </c>
      <c r="U18" s="24">
        <v>1</v>
      </c>
      <c r="V18" s="26">
        <v>1</v>
      </c>
    </row>
    <row r="19" spans="1:22" x14ac:dyDescent="0.45">
      <c r="A19" s="5" t="s">
        <v>4</v>
      </c>
      <c r="B19" s="5" t="s">
        <v>33</v>
      </c>
      <c r="C19" s="5" t="s">
        <v>41</v>
      </c>
      <c r="D19" s="7">
        <v>3691676726</v>
      </c>
      <c r="E19" s="9">
        <v>45905</v>
      </c>
      <c r="F19" s="10">
        <v>46757</v>
      </c>
      <c r="G19" s="6">
        <v>45961</v>
      </c>
      <c r="H19" s="13">
        <v>28</v>
      </c>
      <c r="I19" s="13">
        <v>-26</v>
      </c>
      <c r="J19" s="13">
        <v>2</v>
      </c>
      <c r="K19" s="5">
        <v>23</v>
      </c>
      <c r="L19" s="4">
        <f t="shared" si="0"/>
        <v>0.33333333333333331</v>
      </c>
      <c r="M19" s="16">
        <v>7.0000000000000007E-2</v>
      </c>
      <c r="N19" s="16">
        <v>7.0000000000000007E-2</v>
      </c>
      <c r="O19" s="4">
        <f t="shared" si="1"/>
        <v>0</v>
      </c>
      <c r="P19" s="4">
        <f t="shared" si="2"/>
        <v>0</v>
      </c>
      <c r="Q19" s="19">
        <v>258417370.82000002</v>
      </c>
      <c r="R19" s="19">
        <v>258417370.82000002</v>
      </c>
      <c r="S19" s="19">
        <v>245917370.82000002</v>
      </c>
      <c r="T19" s="19">
        <v>0</v>
      </c>
      <c r="U19" s="23">
        <v>20.673389665600002</v>
      </c>
      <c r="V19" s="26">
        <v>1</v>
      </c>
    </row>
    <row r="20" spans="1:22" x14ac:dyDescent="0.45">
      <c r="A20" s="5" t="s">
        <v>4</v>
      </c>
      <c r="B20" s="5" t="s">
        <v>33</v>
      </c>
      <c r="C20" s="5" t="s">
        <v>41</v>
      </c>
      <c r="D20" s="7">
        <v>3691676726</v>
      </c>
      <c r="E20" s="9">
        <v>45905</v>
      </c>
      <c r="F20" s="10">
        <v>46757</v>
      </c>
      <c r="G20" s="6">
        <v>45991</v>
      </c>
      <c r="H20" s="13">
        <v>28</v>
      </c>
      <c r="I20" s="13">
        <v>-25</v>
      </c>
      <c r="J20" s="13">
        <v>3</v>
      </c>
      <c r="K20" s="5">
        <v>23</v>
      </c>
      <c r="L20" s="4">
        <f t="shared" si="0"/>
        <v>0.5</v>
      </c>
      <c r="M20" s="16">
        <v>0.11</v>
      </c>
      <c r="N20" s="16">
        <v>0.11</v>
      </c>
      <c r="O20" s="4">
        <f t="shared" si="1"/>
        <v>0</v>
      </c>
      <c r="P20" s="4">
        <f t="shared" si="2"/>
        <v>0</v>
      </c>
      <c r="Q20" s="19">
        <v>406084439.86000001</v>
      </c>
      <c r="R20" s="19">
        <v>406084439.86000001</v>
      </c>
      <c r="S20" s="19">
        <v>379825723.86000001</v>
      </c>
      <c r="T20" s="19">
        <v>0</v>
      </c>
      <c r="U20" s="23">
        <v>15.464748537590339</v>
      </c>
      <c r="V20" s="26">
        <v>1</v>
      </c>
    </row>
    <row r="21" spans="1:22" x14ac:dyDescent="0.45">
      <c r="A21" s="5" t="s">
        <v>4</v>
      </c>
      <c r="B21" s="5" t="s">
        <v>33</v>
      </c>
      <c r="C21" s="5" t="s">
        <v>41</v>
      </c>
      <c r="D21" s="7">
        <v>3691676726</v>
      </c>
      <c r="E21" s="9">
        <v>45905</v>
      </c>
      <c r="F21" s="10">
        <v>46757</v>
      </c>
      <c r="G21" s="6">
        <v>46022</v>
      </c>
      <c r="H21" s="13">
        <v>28</v>
      </c>
      <c r="I21" s="13">
        <v>-24</v>
      </c>
      <c r="J21" s="13">
        <v>4</v>
      </c>
      <c r="K21" s="5">
        <v>23</v>
      </c>
      <c r="L21" s="4">
        <f t="shared" si="0"/>
        <v>0.66666666666666663</v>
      </c>
      <c r="M21" s="16">
        <v>0.13666666666666699</v>
      </c>
      <c r="N21" s="16">
        <v>0.13666666666666699</v>
      </c>
      <c r="O21" s="4">
        <f t="shared" si="1"/>
        <v>0</v>
      </c>
      <c r="P21" s="4">
        <f t="shared" si="2"/>
        <v>0</v>
      </c>
      <c r="Q21" s="19">
        <v>504529152.55333453</v>
      </c>
      <c r="R21" s="19">
        <v>504529152.55333453</v>
      </c>
      <c r="S21" s="19">
        <v>420927732.55333453</v>
      </c>
      <c r="T21" s="19">
        <v>0</v>
      </c>
      <c r="U21" s="23">
        <v>6.034935202695535</v>
      </c>
      <c r="V21" s="26">
        <v>1</v>
      </c>
    </row>
    <row r="22" spans="1:22" x14ac:dyDescent="0.45">
      <c r="A22" s="5" t="s">
        <v>4</v>
      </c>
      <c r="B22" s="5" t="s">
        <v>33</v>
      </c>
      <c r="C22" s="5" t="s">
        <v>41</v>
      </c>
      <c r="D22" s="7">
        <v>3691676726</v>
      </c>
      <c r="E22" s="9">
        <v>45905</v>
      </c>
      <c r="F22" s="10">
        <v>46757</v>
      </c>
      <c r="G22" s="6">
        <v>46053</v>
      </c>
      <c r="H22" s="13">
        <v>28</v>
      </c>
      <c r="I22" s="13">
        <v>-23</v>
      </c>
      <c r="J22" s="13">
        <v>5</v>
      </c>
      <c r="K22" s="5">
        <v>23</v>
      </c>
      <c r="L22" s="4">
        <f t="shared" si="0"/>
        <v>0.83333333333333337</v>
      </c>
      <c r="M22" s="16">
        <v>0.16666666666666699</v>
      </c>
      <c r="N22" s="16">
        <v>0.16666666666666699</v>
      </c>
      <c r="O22" s="4">
        <f t="shared" si="1"/>
        <v>0</v>
      </c>
      <c r="P22" s="4">
        <f t="shared" si="2"/>
        <v>0</v>
      </c>
      <c r="Q22" s="19">
        <v>615279454.33333457</v>
      </c>
      <c r="R22" s="19">
        <v>615279454.33333457</v>
      </c>
      <c r="S22" s="19">
        <v>533536834.33333457</v>
      </c>
      <c r="T22" s="19">
        <v>0</v>
      </c>
      <c r="U22" s="23">
        <v>7.5270336861399176</v>
      </c>
      <c r="V22" s="26">
        <v>1</v>
      </c>
    </row>
    <row r="23" spans="1:22" x14ac:dyDescent="0.45">
      <c r="A23" s="5" t="s">
        <v>4</v>
      </c>
      <c r="B23" s="5" t="s">
        <v>33</v>
      </c>
      <c r="C23" s="5" t="s">
        <v>41</v>
      </c>
      <c r="D23" s="7">
        <v>3691676726</v>
      </c>
      <c r="E23" s="9">
        <v>45905</v>
      </c>
      <c r="F23" s="10">
        <v>46757</v>
      </c>
      <c r="G23" s="6">
        <v>46081</v>
      </c>
      <c r="H23" s="13">
        <v>28</v>
      </c>
      <c r="I23" s="13">
        <v>-22</v>
      </c>
      <c r="J23" s="13">
        <v>6</v>
      </c>
      <c r="K23" s="5">
        <v>23</v>
      </c>
      <c r="L23" s="4">
        <f t="shared" si="0"/>
        <v>1</v>
      </c>
      <c r="M23" s="16">
        <v>0.19666666666666699</v>
      </c>
      <c r="N23" s="16">
        <v>0.22</v>
      </c>
      <c r="O23" s="4">
        <f t="shared" si="1"/>
        <v>2.3333333333333012E-2</v>
      </c>
      <c r="P23" s="4">
        <f t="shared" si="2"/>
        <v>0.11864406779660834</v>
      </c>
      <c r="Q23" s="19">
        <v>812168879.72000003</v>
      </c>
      <c r="R23" s="19">
        <v>726029756.11333454</v>
      </c>
      <c r="S23" s="19">
        <v>535815852.12</v>
      </c>
      <c r="T23" s="19">
        <v>86139123.606665492</v>
      </c>
      <c r="U23" s="23">
        <v>2.9388817874488882</v>
      </c>
      <c r="V23" s="26">
        <v>1.1186440677966083</v>
      </c>
    </row>
    <row r="24" spans="1:22" x14ac:dyDescent="0.45">
      <c r="A24" s="5" t="s">
        <v>7</v>
      </c>
      <c r="B24" s="5" t="s">
        <v>24</v>
      </c>
      <c r="C24" s="5" t="s">
        <v>39</v>
      </c>
      <c r="D24" s="7">
        <v>131114560</v>
      </c>
      <c r="E24" s="9">
        <v>45931</v>
      </c>
      <c r="F24" s="10">
        <v>47391</v>
      </c>
      <c r="G24" s="6">
        <v>45991</v>
      </c>
      <c r="H24" s="13">
        <v>47.97</v>
      </c>
      <c r="I24" s="13">
        <v>-45.97</v>
      </c>
      <c r="J24" s="13">
        <v>2</v>
      </c>
      <c r="K24" s="5">
        <v>48</v>
      </c>
      <c r="L24" s="4">
        <f t="shared" si="0"/>
        <v>0.4</v>
      </c>
      <c r="M24" s="16">
        <v>0.99</v>
      </c>
      <c r="N24" s="16">
        <v>0.99</v>
      </c>
      <c r="O24" s="4">
        <f t="shared" si="1"/>
        <v>0</v>
      </c>
      <c r="P24" s="4">
        <f t="shared" si="2"/>
        <v>0</v>
      </c>
      <c r="Q24" s="19">
        <v>129803414.40000001</v>
      </c>
      <c r="R24" s="19">
        <v>129803414.40000001</v>
      </c>
      <c r="S24" s="19">
        <v>619339.40000000596</v>
      </c>
      <c r="T24" s="19">
        <v>0</v>
      </c>
      <c r="U24" s="23">
        <v>1.0047942395376521</v>
      </c>
      <c r="V24" s="26">
        <v>1</v>
      </c>
    </row>
    <row r="25" spans="1:22" x14ac:dyDescent="0.45">
      <c r="A25" s="5" t="s">
        <v>7</v>
      </c>
      <c r="B25" s="5" t="s">
        <v>24</v>
      </c>
      <c r="C25" s="5" t="s">
        <v>39</v>
      </c>
      <c r="D25" s="7">
        <v>131114560</v>
      </c>
      <c r="E25" s="9">
        <v>45931</v>
      </c>
      <c r="F25" s="10">
        <v>47391</v>
      </c>
      <c r="G25" s="6">
        <v>46022</v>
      </c>
      <c r="H25" s="13">
        <v>47.97</v>
      </c>
      <c r="I25" s="13">
        <v>-44.97</v>
      </c>
      <c r="J25" s="13">
        <v>3</v>
      </c>
      <c r="K25" s="5">
        <v>48</v>
      </c>
      <c r="L25" s="4">
        <f t="shared" si="0"/>
        <v>0.6</v>
      </c>
      <c r="M25" s="16">
        <v>0.99009999999999998</v>
      </c>
      <c r="N25" s="16">
        <v>0.99009999999999998</v>
      </c>
      <c r="O25" s="4">
        <f t="shared" si="1"/>
        <v>0</v>
      </c>
      <c r="P25" s="4">
        <f t="shared" si="2"/>
        <v>0</v>
      </c>
      <c r="Q25" s="19">
        <v>129816525.85599999</v>
      </c>
      <c r="R25" s="19">
        <v>129816525.85599999</v>
      </c>
      <c r="S25" s="19">
        <v>632450.8559999913</v>
      </c>
      <c r="T25" s="19">
        <v>0</v>
      </c>
      <c r="U25" s="23">
        <v>1.004895733905282</v>
      </c>
      <c r="V25" s="26">
        <v>1</v>
      </c>
    </row>
    <row r="26" spans="1:22" x14ac:dyDescent="0.45">
      <c r="A26" s="5" t="s">
        <v>7</v>
      </c>
      <c r="B26" s="5" t="s">
        <v>24</v>
      </c>
      <c r="C26" s="5" t="s">
        <v>39</v>
      </c>
      <c r="D26" s="7">
        <v>131114560</v>
      </c>
      <c r="E26" s="9">
        <v>45931</v>
      </c>
      <c r="F26" s="10">
        <v>47391</v>
      </c>
      <c r="G26" s="6">
        <v>46053</v>
      </c>
      <c r="H26" s="13">
        <v>47.97</v>
      </c>
      <c r="I26" s="13">
        <v>-43.97</v>
      </c>
      <c r="J26" s="13">
        <v>4</v>
      </c>
      <c r="K26" s="5">
        <v>48</v>
      </c>
      <c r="L26" s="4">
        <f t="shared" si="0"/>
        <v>0.8</v>
      </c>
      <c r="M26" s="16">
        <v>0.99019999999999997</v>
      </c>
      <c r="N26" s="16">
        <v>0.99019999999999997</v>
      </c>
      <c r="O26" s="4">
        <f t="shared" si="1"/>
        <v>0</v>
      </c>
      <c r="P26" s="4">
        <f t="shared" si="2"/>
        <v>0</v>
      </c>
      <c r="Q26" s="19">
        <v>129829637.31199999</v>
      </c>
      <c r="R26" s="19">
        <v>129829637.31199999</v>
      </c>
      <c r="S26" s="19">
        <v>645562.31199999154</v>
      </c>
      <c r="T26" s="19">
        <v>0</v>
      </c>
      <c r="U26" s="23">
        <v>1.004997228272912</v>
      </c>
      <c r="V26" s="26">
        <v>1</v>
      </c>
    </row>
    <row r="27" spans="1:22" x14ac:dyDescent="0.45">
      <c r="A27" s="5" t="s">
        <v>7</v>
      </c>
      <c r="B27" s="5" t="s">
        <v>24</v>
      </c>
      <c r="C27" s="5" t="s">
        <v>39</v>
      </c>
      <c r="D27" s="7">
        <v>131114560</v>
      </c>
      <c r="E27" s="9">
        <v>45931</v>
      </c>
      <c r="F27" s="10">
        <v>47391</v>
      </c>
      <c r="G27" s="6">
        <v>46081</v>
      </c>
      <c r="H27" s="13">
        <v>47.97</v>
      </c>
      <c r="I27" s="13">
        <v>-42.97</v>
      </c>
      <c r="J27" s="13">
        <v>5</v>
      </c>
      <c r="K27" s="5">
        <v>48</v>
      </c>
      <c r="L27" s="4">
        <f t="shared" si="0"/>
        <v>1</v>
      </c>
      <c r="M27" s="16">
        <v>0.99029999999999996</v>
      </c>
      <c r="N27" s="16">
        <v>0.99</v>
      </c>
      <c r="O27" s="4">
        <f t="shared" si="1"/>
        <v>-2.9999999999996696E-4</v>
      </c>
      <c r="P27" s="4">
        <f t="shared" si="2"/>
        <v>-3.0293850348375945E-4</v>
      </c>
      <c r="Q27" s="19">
        <v>129803414.40000001</v>
      </c>
      <c r="R27" s="19">
        <v>129842748.76799999</v>
      </c>
      <c r="S27" s="19">
        <v>619339.40000000596</v>
      </c>
      <c r="T27" s="19">
        <v>-39334.367999985814</v>
      </c>
      <c r="U27" s="23">
        <v>1.0047942395376521</v>
      </c>
      <c r="V27" s="26">
        <v>0.99969706149651627</v>
      </c>
    </row>
    <row r="28" spans="1:22" x14ac:dyDescent="0.45">
      <c r="A28" s="5" t="s">
        <v>5</v>
      </c>
      <c r="B28" s="5" t="s">
        <v>29</v>
      </c>
      <c r="C28" s="5" t="s">
        <v>40</v>
      </c>
      <c r="D28" s="7">
        <v>1570080349</v>
      </c>
      <c r="E28" s="9">
        <v>45915</v>
      </c>
      <c r="F28" s="10">
        <v>46006</v>
      </c>
      <c r="G28" s="6">
        <v>45930</v>
      </c>
      <c r="H28" s="13">
        <v>3</v>
      </c>
      <c r="I28" s="13">
        <v>-2</v>
      </c>
      <c r="J28" s="13">
        <v>1</v>
      </c>
      <c r="K28" s="5">
        <v>3</v>
      </c>
      <c r="L28" s="4">
        <f t="shared" si="0"/>
        <v>0.25</v>
      </c>
      <c r="M28" s="16">
        <v>0.25</v>
      </c>
      <c r="N28" s="16">
        <v>0.25</v>
      </c>
      <c r="O28" s="4">
        <f t="shared" si="1"/>
        <v>0</v>
      </c>
      <c r="P28" s="4">
        <f t="shared" si="2"/>
        <v>0</v>
      </c>
      <c r="Q28" s="19">
        <v>392520087.25</v>
      </c>
      <c r="R28" s="19">
        <v>392520087.25</v>
      </c>
      <c r="S28" s="19">
        <v>392520087.25</v>
      </c>
      <c r="T28" s="19">
        <v>0</v>
      </c>
      <c r="U28" s="24">
        <v>1</v>
      </c>
      <c r="V28" s="26">
        <v>1</v>
      </c>
    </row>
    <row r="29" spans="1:22" x14ac:dyDescent="0.45">
      <c r="A29" s="5" t="s">
        <v>5</v>
      </c>
      <c r="B29" s="5" t="s">
        <v>29</v>
      </c>
      <c r="C29" s="5" t="s">
        <v>40</v>
      </c>
      <c r="D29" s="7">
        <v>1570080349</v>
      </c>
      <c r="E29" s="9">
        <v>45915</v>
      </c>
      <c r="F29" s="10">
        <v>46006</v>
      </c>
      <c r="G29" s="6">
        <v>45961</v>
      </c>
      <c r="H29" s="13">
        <v>3</v>
      </c>
      <c r="I29" s="13">
        <v>-1</v>
      </c>
      <c r="J29" s="13">
        <v>2</v>
      </c>
      <c r="K29" s="5">
        <v>3</v>
      </c>
      <c r="L29" s="4">
        <f t="shared" si="0"/>
        <v>0.5</v>
      </c>
      <c r="M29" s="16">
        <v>0.5</v>
      </c>
      <c r="N29" s="16">
        <v>0.5</v>
      </c>
      <c r="O29" s="4">
        <f t="shared" si="1"/>
        <v>0</v>
      </c>
      <c r="P29" s="4">
        <f t="shared" si="2"/>
        <v>0</v>
      </c>
      <c r="Q29" s="19">
        <v>785040174.5</v>
      </c>
      <c r="R29" s="19">
        <v>785040174.5</v>
      </c>
      <c r="S29" s="19">
        <v>783040174.5</v>
      </c>
      <c r="T29" s="19">
        <v>0</v>
      </c>
      <c r="U29" s="23">
        <v>392.52008725000002</v>
      </c>
      <c r="V29" s="26">
        <v>1</v>
      </c>
    </row>
    <row r="30" spans="1:22" x14ac:dyDescent="0.45">
      <c r="A30" s="5" t="s">
        <v>5</v>
      </c>
      <c r="B30" s="5" t="s">
        <v>29</v>
      </c>
      <c r="C30" s="5" t="s">
        <v>40</v>
      </c>
      <c r="D30" s="7">
        <v>1570080349</v>
      </c>
      <c r="E30" s="9">
        <v>45915</v>
      </c>
      <c r="F30" s="10">
        <v>46006</v>
      </c>
      <c r="G30" s="6">
        <v>45991</v>
      </c>
      <c r="H30" s="13">
        <v>3</v>
      </c>
      <c r="I30" s="13">
        <v>0</v>
      </c>
      <c r="J30" s="13">
        <v>3</v>
      </c>
      <c r="K30" s="5">
        <v>3</v>
      </c>
      <c r="L30" s="4">
        <f t="shared" si="0"/>
        <v>0.75</v>
      </c>
      <c r="M30" s="16">
        <v>0.75</v>
      </c>
      <c r="N30" s="16">
        <v>0.65</v>
      </c>
      <c r="O30" s="4">
        <f t="shared" si="1"/>
        <v>-9.9999999999999978E-2</v>
      </c>
      <c r="P30" s="4">
        <f t="shared" si="2"/>
        <v>-0.1333333333333333</v>
      </c>
      <c r="Q30" s="19">
        <v>1020552226.85</v>
      </c>
      <c r="R30" s="19">
        <v>1177560261.75</v>
      </c>
      <c r="S30" s="19">
        <v>959952119.85000002</v>
      </c>
      <c r="T30" s="19">
        <v>-157008034.89999998</v>
      </c>
      <c r="U30" s="23">
        <v>16.840766087261198</v>
      </c>
      <c r="V30" s="26">
        <v>0.8666666666666667</v>
      </c>
    </row>
    <row r="31" spans="1:22" x14ac:dyDescent="0.45">
      <c r="A31" s="5" t="s">
        <v>5</v>
      </c>
      <c r="B31" s="5" t="s">
        <v>29</v>
      </c>
      <c r="C31" s="5" t="s">
        <v>40</v>
      </c>
      <c r="D31" s="7">
        <v>1570080349</v>
      </c>
      <c r="E31" s="9">
        <v>45915</v>
      </c>
      <c r="F31" s="10">
        <v>46006</v>
      </c>
      <c r="G31" s="6">
        <v>46022</v>
      </c>
      <c r="H31" s="13">
        <v>3</v>
      </c>
      <c r="I31" s="13">
        <v>1</v>
      </c>
      <c r="J31" s="13">
        <v>4</v>
      </c>
      <c r="K31" s="5">
        <v>3</v>
      </c>
      <c r="L31" s="4">
        <f t="shared" si="0"/>
        <v>1</v>
      </c>
      <c r="M31" s="16">
        <v>1</v>
      </c>
      <c r="N31" s="16">
        <v>0.7</v>
      </c>
      <c r="O31" s="4">
        <f t="shared" si="1"/>
        <v>-0.30000000000000004</v>
      </c>
      <c r="P31" s="4">
        <f t="shared" si="2"/>
        <v>-0.30000000000000004</v>
      </c>
      <c r="Q31" s="19">
        <v>1099056244.3</v>
      </c>
      <c r="R31" s="19">
        <v>1570080349</v>
      </c>
      <c r="S31" s="19">
        <v>850773788.14999998</v>
      </c>
      <c r="T31" s="19">
        <v>-471024104.70000005</v>
      </c>
      <c r="U31" s="23">
        <v>4.4266367480914735</v>
      </c>
      <c r="V31" s="26">
        <v>0.7</v>
      </c>
    </row>
    <row r="32" spans="1:22" x14ac:dyDescent="0.45">
      <c r="A32" s="5" t="s">
        <v>5</v>
      </c>
      <c r="B32" s="5" t="s">
        <v>29</v>
      </c>
      <c r="C32" s="5" t="s">
        <v>40</v>
      </c>
      <c r="D32" s="7">
        <v>1570080349</v>
      </c>
      <c r="E32" s="9">
        <v>45915</v>
      </c>
      <c r="F32" s="10">
        <v>46006</v>
      </c>
      <c r="G32" s="6">
        <v>46053</v>
      </c>
      <c r="H32" s="13">
        <v>3</v>
      </c>
      <c r="I32" s="13">
        <v>1</v>
      </c>
      <c r="J32" s="13">
        <v>4</v>
      </c>
      <c r="K32" s="5">
        <v>3</v>
      </c>
      <c r="L32" s="4">
        <f t="shared" si="0"/>
        <v>1</v>
      </c>
      <c r="M32" s="16">
        <v>1</v>
      </c>
      <c r="N32" s="16">
        <v>0.75</v>
      </c>
      <c r="O32" s="4">
        <f t="shared" si="1"/>
        <v>-0.25</v>
      </c>
      <c r="P32" s="4">
        <f t="shared" si="2"/>
        <v>-0.25</v>
      </c>
      <c r="Q32" s="19">
        <v>1177560261.75</v>
      </c>
      <c r="R32" s="19">
        <v>1570080349</v>
      </c>
      <c r="S32" s="19">
        <v>909366015.60000002</v>
      </c>
      <c r="T32" s="19">
        <v>-392520087.25</v>
      </c>
      <c r="U32" s="23">
        <v>4.3906991990103883</v>
      </c>
      <c r="V32" s="26">
        <v>0.75</v>
      </c>
    </row>
    <row r="33" spans="1:22" x14ac:dyDescent="0.45">
      <c r="A33" s="5" t="s">
        <v>5</v>
      </c>
      <c r="B33" s="5" t="s">
        <v>29</v>
      </c>
      <c r="C33" s="5" t="s">
        <v>40</v>
      </c>
      <c r="D33" s="7">
        <v>1570080349</v>
      </c>
      <c r="E33" s="9">
        <v>45915</v>
      </c>
      <c r="F33" s="10">
        <v>46006</v>
      </c>
      <c r="G33" s="6">
        <v>46081</v>
      </c>
      <c r="H33" s="13">
        <v>3</v>
      </c>
      <c r="I33" s="13">
        <v>1</v>
      </c>
      <c r="J33" s="13">
        <v>4</v>
      </c>
      <c r="K33" s="5">
        <v>3</v>
      </c>
      <c r="L33" s="4">
        <f t="shared" si="0"/>
        <v>1</v>
      </c>
      <c r="M33" s="16">
        <v>1</v>
      </c>
      <c r="N33" s="16">
        <v>0.9</v>
      </c>
      <c r="O33" s="4">
        <f t="shared" si="1"/>
        <v>-9.9999999999999978E-2</v>
      </c>
      <c r="P33" s="4">
        <f t="shared" si="2"/>
        <v>-9.9999999999999978E-2</v>
      </c>
      <c r="Q33" s="19">
        <v>1413072314.1000001</v>
      </c>
      <c r="R33" s="19">
        <v>1570080349</v>
      </c>
      <c r="S33" s="19">
        <v>1139551377.9500003</v>
      </c>
      <c r="T33" s="19">
        <v>-157008034.89999986</v>
      </c>
      <c r="U33" s="23">
        <v>5.1662309071838859</v>
      </c>
      <c r="V33" s="26">
        <v>0.90000000000000013</v>
      </c>
    </row>
    <row r="34" spans="1:22" x14ac:dyDescent="0.45">
      <c r="A34" s="5" t="s">
        <v>6</v>
      </c>
      <c r="B34" s="5" t="s">
        <v>34</v>
      </c>
      <c r="C34" s="5" t="s">
        <v>39</v>
      </c>
      <c r="D34" s="7">
        <v>4420115772</v>
      </c>
      <c r="E34" s="9">
        <v>45931</v>
      </c>
      <c r="F34" s="10">
        <v>46172</v>
      </c>
      <c r="G34" s="6">
        <v>45961</v>
      </c>
      <c r="H34" s="13">
        <v>7.97</v>
      </c>
      <c r="I34" s="13">
        <v>-6.97</v>
      </c>
      <c r="J34" s="13">
        <v>1</v>
      </c>
      <c r="K34" s="5">
        <v>8</v>
      </c>
      <c r="L34" s="4">
        <f t="shared" si="0"/>
        <v>0.2</v>
      </c>
      <c r="M34" s="16">
        <v>0.1</v>
      </c>
      <c r="N34" s="16">
        <v>0.1</v>
      </c>
      <c r="O34" s="4">
        <f t="shared" si="1"/>
        <v>0</v>
      </c>
      <c r="P34" s="4">
        <f t="shared" si="2"/>
        <v>0</v>
      </c>
      <c r="Q34" s="20">
        <v>442011577.20000005</v>
      </c>
      <c r="R34" s="19">
        <v>442011577.20000005</v>
      </c>
      <c r="S34" s="19">
        <v>-791976622.78999996</v>
      </c>
      <c r="T34" s="19">
        <v>0</v>
      </c>
      <c r="U34" s="23">
        <v>0.35819757207044767</v>
      </c>
      <c r="V34" s="26">
        <v>1</v>
      </c>
    </row>
    <row r="35" spans="1:22" x14ac:dyDescent="0.45">
      <c r="A35" s="5" t="s">
        <v>6</v>
      </c>
      <c r="B35" s="5" t="s">
        <v>34</v>
      </c>
      <c r="C35" s="5" t="s">
        <v>39</v>
      </c>
      <c r="D35" s="7">
        <v>4420115772</v>
      </c>
      <c r="E35" s="9">
        <v>45931</v>
      </c>
      <c r="F35" s="10">
        <v>46172</v>
      </c>
      <c r="G35" s="6">
        <v>45991</v>
      </c>
      <c r="H35" s="13">
        <v>7.97</v>
      </c>
      <c r="I35" s="13">
        <v>-5.97</v>
      </c>
      <c r="J35" s="13">
        <v>2</v>
      </c>
      <c r="K35" s="5">
        <v>8</v>
      </c>
      <c r="L35" s="4">
        <f t="shared" si="0"/>
        <v>0.4</v>
      </c>
      <c r="M35" s="16">
        <v>0.25</v>
      </c>
      <c r="N35" s="16">
        <v>0.25</v>
      </c>
      <c r="O35" s="4">
        <f t="shared" si="1"/>
        <v>0</v>
      </c>
      <c r="P35" s="4">
        <f t="shared" si="2"/>
        <v>0</v>
      </c>
      <c r="Q35" s="20">
        <v>1105028943</v>
      </c>
      <c r="R35" s="19">
        <v>1105028943</v>
      </c>
      <c r="S35" s="19">
        <v>-886166385.46000004</v>
      </c>
      <c r="T35" s="19">
        <v>0</v>
      </c>
      <c r="U35" s="23">
        <v>0.55495758111015392</v>
      </c>
      <c r="V35" s="26">
        <v>1</v>
      </c>
    </row>
    <row r="36" spans="1:22" x14ac:dyDescent="0.45">
      <c r="A36" s="5" t="s">
        <v>6</v>
      </c>
      <c r="B36" s="5" t="s">
        <v>34</v>
      </c>
      <c r="C36" s="5" t="s">
        <v>39</v>
      </c>
      <c r="D36" s="7">
        <v>4420115772</v>
      </c>
      <c r="E36" s="9">
        <v>45931</v>
      </c>
      <c r="F36" s="10">
        <v>46172</v>
      </c>
      <c r="G36" s="6">
        <v>46022</v>
      </c>
      <c r="H36" s="13">
        <v>7.97</v>
      </c>
      <c r="I36" s="13">
        <v>-4.97</v>
      </c>
      <c r="J36" s="13">
        <v>3</v>
      </c>
      <c r="K36" s="5">
        <v>8</v>
      </c>
      <c r="L36" s="4">
        <f t="shared" si="0"/>
        <v>0.6</v>
      </c>
      <c r="M36" s="16">
        <v>0.37</v>
      </c>
      <c r="N36" s="16">
        <v>0.37</v>
      </c>
      <c r="O36" s="4">
        <f t="shared" si="1"/>
        <v>0</v>
      </c>
      <c r="P36" s="4">
        <f t="shared" si="2"/>
        <v>0</v>
      </c>
      <c r="Q36" s="20">
        <v>1635442835.6399999</v>
      </c>
      <c r="R36" s="19">
        <v>1635442835.6399999</v>
      </c>
      <c r="S36" s="19">
        <v>-2260248889.4600005</v>
      </c>
      <c r="T36" s="19">
        <v>0</v>
      </c>
      <c r="U36" s="23">
        <v>0.41980807287774263</v>
      </c>
      <c r="V36" s="26">
        <v>1</v>
      </c>
    </row>
    <row r="37" spans="1:22" x14ac:dyDescent="0.45">
      <c r="A37" s="5" t="s">
        <v>6</v>
      </c>
      <c r="B37" s="5" t="s">
        <v>34</v>
      </c>
      <c r="C37" s="5" t="s">
        <v>39</v>
      </c>
      <c r="D37" s="7">
        <v>4420115772</v>
      </c>
      <c r="E37" s="9">
        <v>45931</v>
      </c>
      <c r="F37" s="10">
        <v>46172</v>
      </c>
      <c r="G37" s="6">
        <v>46053</v>
      </c>
      <c r="H37" s="13">
        <v>7.97</v>
      </c>
      <c r="I37" s="13">
        <v>-3.9699999999999998</v>
      </c>
      <c r="J37" s="13">
        <v>4</v>
      </c>
      <c r="K37" s="5">
        <v>8</v>
      </c>
      <c r="L37" s="4">
        <f t="shared" si="0"/>
        <v>0.8</v>
      </c>
      <c r="M37" s="16">
        <v>0.48</v>
      </c>
      <c r="N37" s="16">
        <v>0.45</v>
      </c>
      <c r="O37" s="4">
        <f t="shared" si="1"/>
        <v>-2.9999999999999971E-2</v>
      </c>
      <c r="P37" s="4">
        <f t="shared" si="2"/>
        <v>-6.2499999999999944E-2</v>
      </c>
      <c r="Q37" s="20">
        <v>1989052097.4000001</v>
      </c>
      <c r="R37" s="19">
        <v>2121655570.5599999</v>
      </c>
      <c r="S37" s="19">
        <v>-2000074620.3200002</v>
      </c>
      <c r="T37" s="19">
        <v>-132603473.15999985</v>
      </c>
      <c r="U37" s="23">
        <v>0.49861842908235565</v>
      </c>
      <c r="V37" s="26">
        <v>0.93750000000000011</v>
      </c>
    </row>
    <row r="38" spans="1:22" x14ac:dyDescent="0.45">
      <c r="A38" s="5" t="s">
        <v>6</v>
      </c>
      <c r="B38" s="5" t="s">
        <v>34</v>
      </c>
      <c r="C38" s="5" t="s">
        <v>39</v>
      </c>
      <c r="D38" s="7">
        <v>4420115772</v>
      </c>
      <c r="E38" s="9">
        <v>45931</v>
      </c>
      <c r="F38" s="10">
        <v>46172</v>
      </c>
      <c r="G38" s="6">
        <v>46081</v>
      </c>
      <c r="H38" s="13">
        <v>7.97</v>
      </c>
      <c r="I38" s="13">
        <v>-2.9699999999999998</v>
      </c>
      <c r="J38" s="13">
        <v>5</v>
      </c>
      <c r="K38" s="5">
        <v>8</v>
      </c>
      <c r="L38" s="4">
        <f t="shared" si="0"/>
        <v>1</v>
      </c>
      <c r="M38" s="16">
        <v>0.52</v>
      </c>
      <c r="N38" s="16">
        <v>0.49</v>
      </c>
      <c r="O38" s="4">
        <f t="shared" si="1"/>
        <v>-3.0000000000000027E-2</v>
      </c>
      <c r="P38" s="4">
        <f t="shared" si="2"/>
        <v>-5.7692307692307744E-2</v>
      </c>
      <c r="Q38" s="20">
        <v>2165856728.2799997</v>
      </c>
      <c r="R38" s="19">
        <v>2298460201.4400001</v>
      </c>
      <c r="S38" s="19">
        <v>-1824568693.7600007</v>
      </c>
      <c r="T38" s="19">
        <v>-132603473.16000032</v>
      </c>
      <c r="U38" s="23">
        <v>0.54276336460706542</v>
      </c>
      <c r="V38" s="26">
        <v>0.94230769230769218</v>
      </c>
    </row>
    <row r="39" spans="1:22" x14ac:dyDescent="0.45">
      <c r="A39" s="5" t="s">
        <v>11</v>
      </c>
      <c r="B39" s="5" t="s">
        <v>34</v>
      </c>
      <c r="C39" s="5" t="s">
        <v>39</v>
      </c>
      <c r="D39" s="7">
        <v>3323342988</v>
      </c>
      <c r="E39" s="9">
        <v>45962</v>
      </c>
      <c r="F39" s="10">
        <v>46021</v>
      </c>
      <c r="G39" s="6">
        <v>45991</v>
      </c>
      <c r="H39" s="13">
        <v>1.97</v>
      </c>
      <c r="I39" s="13">
        <v>-0.97</v>
      </c>
      <c r="J39" s="13">
        <v>1</v>
      </c>
      <c r="K39" s="5">
        <v>3</v>
      </c>
      <c r="L39" s="4">
        <f t="shared" si="0"/>
        <v>0.33333333333333331</v>
      </c>
      <c r="M39" s="16">
        <v>0.5</v>
      </c>
      <c r="N39" s="16">
        <v>0.25</v>
      </c>
      <c r="O39" s="4">
        <f t="shared" si="1"/>
        <v>-0.25</v>
      </c>
      <c r="P39" s="4">
        <f t="shared" si="2"/>
        <v>-0.5</v>
      </c>
      <c r="Q39" s="19">
        <v>830835747</v>
      </c>
      <c r="R39" s="19">
        <v>1661671494</v>
      </c>
      <c r="S39" s="19">
        <v>830835747</v>
      </c>
      <c r="T39" s="19">
        <v>-830835747</v>
      </c>
      <c r="U39" s="24">
        <v>1</v>
      </c>
      <c r="V39" s="26">
        <v>0.5</v>
      </c>
    </row>
    <row r="40" spans="1:22" x14ac:dyDescent="0.45">
      <c r="A40" s="5" t="s">
        <v>11</v>
      </c>
      <c r="B40" s="5" t="s">
        <v>34</v>
      </c>
      <c r="C40" s="5" t="s">
        <v>39</v>
      </c>
      <c r="D40" s="7">
        <v>3323342988</v>
      </c>
      <c r="E40" s="9">
        <v>45962</v>
      </c>
      <c r="F40" s="10">
        <v>46021</v>
      </c>
      <c r="G40" s="6">
        <v>46022</v>
      </c>
      <c r="H40" s="13">
        <v>1.97</v>
      </c>
      <c r="I40" s="13">
        <v>3.0000000000000027E-2</v>
      </c>
      <c r="J40" s="13">
        <v>2</v>
      </c>
      <c r="K40" s="5">
        <v>3</v>
      </c>
      <c r="L40" s="4">
        <f t="shared" si="0"/>
        <v>0.66666666666666663</v>
      </c>
      <c r="M40" s="16">
        <v>1</v>
      </c>
      <c r="N40" s="16">
        <v>0.5</v>
      </c>
      <c r="O40" s="4">
        <f t="shared" si="1"/>
        <v>-0.5</v>
      </c>
      <c r="P40" s="4">
        <f t="shared" si="2"/>
        <v>-0.5</v>
      </c>
      <c r="Q40" s="19">
        <v>1661671494</v>
      </c>
      <c r="R40" s="19">
        <v>3323342988</v>
      </c>
      <c r="S40" s="19">
        <v>-1457781620.3099999</v>
      </c>
      <c r="T40" s="19">
        <v>-1661671494</v>
      </c>
      <c r="U40" s="23">
        <v>0.53268038759016567</v>
      </c>
      <c r="V40" s="26">
        <v>0.5</v>
      </c>
    </row>
    <row r="41" spans="1:22" x14ac:dyDescent="0.45">
      <c r="A41" s="5" t="s">
        <v>11</v>
      </c>
      <c r="B41" s="5" t="s">
        <v>34</v>
      </c>
      <c r="C41" s="5" t="s">
        <v>39</v>
      </c>
      <c r="D41" s="7">
        <v>3323342988</v>
      </c>
      <c r="E41" s="9">
        <v>45962</v>
      </c>
      <c r="F41" s="10">
        <v>46021</v>
      </c>
      <c r="G41" s="6">
        <v>45688</v>
      </c>
      <c r="H41" s="13">
        <v>1.97</v>
      </c>
      <c r="I41" s="13">
        <v>1.03</v>
      </c>
      <c r="J41" s="13">
        <v>3</v>
      </c>
      <c r="K41" s="5">
        <v>3</v>
      </c>
      <c r="L41" s="4">
        <f t="shared" si="0"/>
        <v>1</v>
      </c>
      <c r="M41" s="16">
        <v>1</v>
      </c>
      <c r="N41" s="16">
        <v>0.8</v>
      </c>
      <c r="O41" s="4">
        <f t="shared" si="1"/>
        <v>-0.19999999999999996</v>
      </c>
      <c r="P41" s="4">
        <f t="shared" si="2"/>
        <v>-0.19999999999999996</v>
      </c>
      <c r="Q41" s="19">
        <v>2658674390.4000001</v>
      </c>
      <c r="R41" s="19">
        <v>3323342988</v>
      </c>
      <c r="S41" s="19">
        <v>-465778723.90999985</v>
      </c>
      <c r="T41" s="19">
        <v>-664668597.5999999</v>
      </c>
      <c r="U41" s="23">
        <v>0.85092471966478467</v>
      </c>
      <c r="V41" s="26">
        <v>0.8</v>
      </c>
    </row>
    <row r="42" spans="1:22" x14ac:dyDescent="0.45">
      <c r="A42" s="5" t="s">
        <v>11</v>
      </c>
      <c r="B42" s="5" t="s">
        <v>34</v>
      </c>
      <c r="C42" s="5" t="s">
        <v>39</v>
      </c>
      <c r="D42" s="7">
        <v>3323342988</v>
      </c>
      <c r="E42" s="9">
        <v>45962</v>
      </c>
      <c r="F42" s="10">
        <v>46021</v>
      </c>
      <c r="G42" s="6">
        <v>45716</v>
      </c>
      <c r="H42" s="13">
        <v>1.97</v>
      </c>
      <c r="I42" s="13">
        <v>1.03</v>
      </c>
      <c r="J42" s="13">
        <v>3</v>
      </c>
      <c r="K42" s="5">
        <v>3</v>
      </c>
      <c r="L42" s="4">
        <f t="shared" si="0"/>
        <v>1</v>
      </c>
      <c r="M42" s="16">
        <v>1</v>
      </c>
      <c r="N42" s="16">
        <v>0.8</v>
      </c>
      <c r="O42" s="4">
        <f t="shared" si="1"/>
        <v>-0.19999999999999996</v>
      </c>
      <c r="P42" s="4">
        <f t="shared" si="2"/>
        <v>-0.19999999999999996</v>
      </c>
      <c r="Q42" s="19">
        <v>2658674390.4000001</v>
      </c>
      <c r="R42" s="19">
        <v>3323342988</v>
      </c>
      <c r="S42" s="19">
        <v>-465778723.90999985</v>
      </c>
      <c r="T42" s="19">
        <v>-664668597.5999999</v>
      </c>
      <c r="U42" s="23">
        <v>0.85092471966478467</v>
      </c>
      <c r="V42" s="26">
        <v>0.8</v>
      </c>
    </row>
    <row r="43" spans="1:22" x14ac:dyDescent="0.45">
      <c r="A43" s="5" t="s">
        <v>10</v>
      </c>
      <c r="B43" s="5" t="s">
        <v>34</v>
      </c>
      <c r="C43" s="5" t="s">
        <v>39</v>
      </c>
      <c r="D43" s="7">
        <v>28089671329</v>
      </c>
      <c r="E43" s="9">
        <v>45962</v>
      </c>
      <c r="F43" s="10">
        <v>47787</v>
      </c>
      <c r="G43" s="6">
        <v>45991</v>
      </c>
      <c r="H43" s="13">
        <v>60</v>
      </c>
      <c r="I43" s="13">
        <v>-59</v>
      </c>
      <c r="J43" s="13">
        <v>1</v>
      </c>
      <c r="K43" s="5">
        <v>60</v>
      </c>
      <c r="L43" s="4">
        <f t="shared" si="0"/>
        <v>0.25</v>
      </c>
      <c r="M43" s="16">
        <v>0.25</v>
      </c>
      <c r="N43" s="16">
        <v>0.25</v>
      </c>
      <c r="O43" s="4">
        <f t="shared" si="1"/>
        <v>0</v>
      </c>
      <c r="P43" s="4">
        <f t="shared" si="2"/>
        <v>0</v>
      </c>
      <c r="Q43" s="19">
        <v>7022417832.25</v>
      </c>
      <c r="R43" s="19">
        <v>7022417832.25</v>
      </c>
      <c r="S43" s="19">
        <v>7014417832.25</v>
      </c>
      <c r="T43" s="19">
        <v>0</v>
      </c>
      <c r="U43" s="23">
        <v>877.80222903125002</v>
      </c>
      <c r="V43" s="26">
        <v>1</v>
      </c>
    </row>
    <row r="44" spans="1:22" x14ac:dyDescent="0.45">
      <c r="A44" s="5" t="s">
        <v>10</v>
      </c>
      <c r="B44" s="5" t="s">
        <v>34</v>
      </c>
      <c r="C44" s="5" t="s">
        <v>39</v>
      </c>
      <c r="D44" s="7">
        <v>28089671329</v>
      </c>
      <c r="E44" s="9">
        <v>45962</v>
      </c>
      <c r="F44" s="10">
        <v>47787</v>
      </c>
      <c r="G44" s="6">
        <v>46022</v>
      </c>
      <c r="H44" s="13">
        <v>60</v>
      </c>
      <c r="I44" s="13">
        <v>-56</v>
      </c>
      <c r="J44" s="13">
        <v>4</v>
      </c>
      <c r="K44" s="5">
        <v>60</v>
      </c>
      <c r="L44" s="4">
        <f t="shared" si="0"/>
        <v>1</v>
      </c>
      <c r="M44" s="16">
        <v>0.27</v>
      </c>
      <c r="N44" s="16">
        <v>0.27</v>
      </c>
      <c r="O44" s="4">
        <f t="shared" si="1"/>
        <v>0</v>
      </c>
      <c r="P44" s="4">
        <f t="shared" si="2"/>
        <v>0</v>
      </c>
      <c r="Q44" s="19">
        <v>7584211258.8300009</v>
      </c>
      <c r="R44" s="19">
        <v>7584211258.8300009</v>
      </c>
      <c r="S44" s="19">
        <v>7564211258.8300009</v>
      </c>
      <c r="T44" s="19">
        <v>0</v>
      </c>
      <c r="U44" s="23">
        <v>379.21056294150003</v>
      </c>
      <c r="V44" s="26">
        <v>1</v>
      </c>
    </row>
    <row r="45" spans="1:22" x14ac:dyDescent="0.45">
      <c r="A45" s="5" t="s">
        <v>10</v>
      </c>
      <c r="B45" s="5" t="s">
        <v>34</v>
      </c>
      <c r="C45" s="5" t="s">
        <v>39</v>
      </c>
      <c r="D45" s="7">
        <v>28089671329</v>
      </c>
      <c r="E45" s="9">
        <v>45962</v>
      </c>
      <c r="F45" s="10">
        <v>47787</v>
      </c>
      <c r="G45" s="6">
        <v>46053</v>
      </c>
      <c r="H45" s="13">
        <v>60</v>
      </c>
      <c r="I45" s="13">
        <v>-56</v>
      </c>
      <c r="J45" s="13">
        <v>4</v>
      </c>
      <c r="K45" s="5">
        <v>60</v>
      </c>
      <c r="L45" s="4">
        <f t="shared" si="0"/>
        <v>1</v>
      </c>
      <c r="M45" s="16">
        <v>0.28000000000000003</v>
      </c>
      <c r="N45" s="16">
        <v>0.28000000000000003</v>
      </c>
      <c r="O45" s="4">
        <f t="shared" si="1"/>
        <v>0</v>
      </c>
      <c r="P45" s="4">
        <f t="shared" si="2"/>
        <v>0</v>
      </c>
      <c r="Q45" s="19">
        <v>7865107972.1200008</v>
      </c>
      <c r="R45" s="19">
        <v>7865107972.1200008</v>
      </c>
      <c r="S45" s="19">
        <v>7833107972.1200008</v>
      </c>
      <c r="T45" s="19">
        <v>0</v>
      </c>
      <c r="U45" s="23">
        <v>245.78462412875004</v>
      </c>
      <c r="V45" s="26">
        <v>1</v>
      </c>
    </row>
    <row r="46" spans="1:22" x14ac:dyDescent="0.45">
      <c r="A46" s="5" t="s">
        <v>10</v>
      </c>
      <c r="B46" s="5" t="s">
        <v>34</v>
      </c>
      <c r="C46" s="5" t="s">
        <v>39</v>
      </c>
      <c r="D46" s="7">
        <v>28089671329</v>
      </c>
      <c r="E46" s="9">
        <v>45962</v>
      </c>
      <c r="F46" s="10">
        <v>47787</v>
      </c>
      <c r="G46" s="6">
        <v>46081</v>
      </c>
      <c r="H46" s="13">
        <v>60</v>
      </c>
      <c r="I46" s="13">
        <v>-56</v>
      </c>
      <c r="J46" s="13">
        <v>4</v>
      </c>
      <c r="K46" s="5">
        <v>60</v>
      </c>
      <c r="L46" s="4">
        <f t="shared" si="0"/>
        <v>1</v>
      </c>
      <c r="M46" s="16">
        <v>0.28999999999999998</v>
      </c>
      <c r="N46" s="16">
        <v>0.28999999999999998</v>
      </c>
      <c r="O46" s="4">
        <f t="shared" si="1"/>
        <v>0</v>
      </c>
      <c r="P46" s="4">
        <f t="shared" si="2"/>
        <v>0</v>
      </c>
      <c r="Q46" s="19">
        <v>8146004685.4099998</v>
      </c>
      <c r="R46" s="19">
        <v>8146004685.4099998</v>
      </c>
      <c r="S46" s="19">
        <v>8102004685.4099998</v>
      </c>
      <c r="T46" s="19">
        <v>0</v>
      </c>
      <c r="U46" s="23">
        <v>185.13647012295453</v>
      </c>
      <c r="V46" s="26">
        <v>1</v>
      </c>
    </row>
    <row r="47" spans="1:22" x14ac:dyDescent="0.45">
      <c r="A47" s="5" t="s">
        <v>20</v>
      </c>
      <c r="B47" s="5" t="s">
        <v>32</v>
      </c>
      <c r="C47" s="5" t="s">
        <v>39</v>
      </c>
      <c r="D47" s="7">
        <v>6123938211</v>
      </c>
      <c r="E47" s="9">
        <v>46023</v>
      </c>
      <c r="F47" s="10">
        <v>46113</v>
      </c>
      <c r="G47" s="6">
        <v>46053</v>
      </c>
      <c r="H47" s="13">
        <v>3</v>
      </c>
      <c r="I47" s="13">
        <v>0</v>
      </c>
      <c r="J47" s="13">
        <v>3</v>
      </c>
      <c r="K47" s="5">
        <v>3</v>
      </c>
      <c r="L47" s="4">
        <f t="shared" si="0"/>
        <v>0.75</v>
      </c>
      <c r="M47" s="16">
        <v>0.5</v>
      </c>
      <c r="N47" s="16">
        <v>0.5</v>
      </c>
      <c r="O47" s="4">
        <f t="shared" si="1"/>
        <v>0</v>
      </c>
      <c r="P47" s="4">
        <f t="shared" si="2"/>
        <v>0</v>
      </c>
      <c r="Q47" s="19">
        <v>3061969105.5</v>
      </c>
      <c r="R47" s="19">
        <v>3061969105.5</v>
      </c>
      <c r="S47" s="19">
        <v>849674777.81999969</v>
      </c>
      <c r="T47" s="19">
        <v>0</v>
      </c>
      <c r="U47" s="23">
        <v>1.3840695006938977</v>
      </c>
      <c r="V47" s="26">
        <v>1</v>
      </c>
    </row>
    <row r="48" spans="1:22" x14ac:dyDescent="0.45">
      <c r="A48" s="5" t="s">
        <v>20</v>
      </c>
      <c r="B48" s="5" t="s">
        <v>32</v>
      </c>
      <c r="C48" s="5" t="s">
        <v>39</v>
      </c>
      <c r="D48" s="7">
        <v>6123938211</v>
      </c>
      <c r="E48" s="9">
        <v>46023</v>
      </c>
      <c r="F48" s="10">
        <v>46113</v>
      </c>
      <c r="G48" s="6">
        <v>46081</v>
      </c>
      <c r="H48" s="13">
        <v>3</v>
      </c>
      <c r="I48" s="13">
        <v>1</v>
      </c>
      <c r="J48" s="13">
        <v>4</v>
      </c>
      <c r="K48" s="5">
        <v>3</v>
      </c>
      <c r="L48" s="4">
        <f t="shared" si="0"/>
        <v>1</v>
      </c>
      <c r="M48" s="16">
        <v>0.9</v>
      </c>
      <c r="N48" s="16">
        <v>0.9</v>
      </c>
      <c r="O48" s="4">
        <f t="shared" si="1"/>
        <v>0</v>
      </c>
      <c r="P48" s="4">
        <f t="shared" si="2"/>
        <v>0</v>
      </c>
      <c r="Q48" s="19">
        <v>5511544389.9000006</v>
      </c>
      <c r="R48" s="19">
        <v>5511544389.9000006</v>
      </c>
      <c r="S48" s="19">
        <v>3215713438.1400003</v>
      </c>
      <c r="T48" s="19">
        <v>0</v>
      </c>
      <c r="U48" s="23">
        <v>2.4006751828460242</v>
      </c>
      <c r="V48" s="26">
        <v>1</v>
      </c>
    </row>
    <row r="49" spans="1:22" x14ac:dyDescent="0.45">
      <c r="A49" s="5" t="s">
        <v>9</v>
      </c>
      <c r="B49" s="5" t="s">
        <v>37</v>
      </c>
      <c r="C49" s="5" t="s">
        <v>39</v>
      </c>
      <c r="D49" s="7">
        <v>243037690</v>
      </c>
      <c r="E49" s="9">
        <v>45962</v>
      </c>
      <c r="F49" s="10">
        <v>45991</v>
      </c>
      <c r="G49" s="6">
        <v>45991</v>
      </c>
      <c r="H49" s="13">
        <v>0.97</v>
      </c>
      <c r="I49" s="13">
        <v>3.0000000000000027E-2</v>
      </c>
      <c r="J49" s="13">
        <v>1</v>
      </c>
      <c r="K49" s="5">
        <v>2</v>
      </c>
      <c r="L49" s="4">
        <f t="shared" si="0"/>
        <v>0.5</v>
      </c>
      <c r="M49" s="16">
        <v>0.75</v>
      </c>
      <c r="N49" s="16">
        <v>0.75</v>
      </c>
      <c r="O49" s="4">
        <f t="shared" si="1"/>
        <v>0</v>
      </c>
      <c r="P49" s="4">
        <f t="shared" si="2"/>
        <v>0</v>
      </c>
      <c r="Q49" s="19">
        <v>182278267.5</v>
      </c>
      <c r="R49" s="19">
        <v>182278267.5</v>
      </c>
      <c r="S49" s="19">
        <v>182278267.5</v>
      </c>
      <c r="T49" s="19">
        <v>0</v>
      </c>
      <c r="U49" s="24">
        <v>1</v>
      </c>
      <c r="V49" s="26">
        <v>1</v>
      </c>
    </row>
    <row r="50" spans="1:22" x14ac:dyDescent="0.45">
      <c r="A50" s="5" t="s">
        <v>9</v>
      </c>
      <c r="B50" s="5" t="s">
        <v>37</v>
      </c>
      <c r="C50" s="5" t="s">
        <v>39</v>
      </c>
      <c r="D50" s="7">
        <v>243037690</v>
      </c>
      <c r="E50" s="9">
        <v>45962</v>
      </c>
      <c r="F50" s="10">
        <v>45991</v>
      </c>
      <c r="G50" s="6">
        <v>46022</v>
      </c>
      <c r="H50" s="13">
        <v>0.97</v>
      </c>
      <c r="I50" s="13">
        <v>1.03</v>
      </c>
      <c r="J50" s="13">
        <v>2</v>
      </c>
      <c r="K50" s="5">
        <v>2</v>
      </c>
      <c r="L50" s="4">
        <f t="shared" si="0"/>
        <v>1</v>
      </c>
      <c r="M50" s="16">
        <v>1</v>
      </c>
      <c r="N50" s="16">
        <v>1</v>
      </c>
      <c r="O50" s="4">
        <f t="shared" si="1"/>
        <v>0</v>
      </c>
      <c r="P50" s="4">
        <f t="shared" si="2"/>
        <v>0</v>
      </c>
      <c r="Q50" s="19">
        <v>243037690</v>
      </c>
      <c r="R50" s="19">
        <v>243037690</v>
      </c>
      <c r="S50" s="19">
        <v>1037680.2299999893</v>
      </c>
      <c r="T50" s="19">
        <v>0</v>
      </c>
      <c r="U50" s="23">
        <v>1.0042879346615987</v>
      </c>
      <c r="V50" s="26">
        <v>1</v>
      </c>
    </row>
    <row r="51" spans="1:22" x14ac:dyDescent="0.45">
      <c r="A51" s="5" t="s">
        <v>8</v>
      </c>
      <c r="B51" s="5" t="s">
        <v>36</v>
      </c>
      <c r="C51" s="5" t="s">
        <v>41</v>
      </c>
      <c r="D51" s="7">
        <v>836827348</v>
      </c>
      <c r="E51" s="9">
        <v>45962</v>
      </c>
      <c r="F51" s="10">
        <v>46111</v>
      </c>
      <c r="G51" s="6">
        <v>45991</v>
      </c>
      <c r="H51" s="13">
        <v>4.97</v>
      </c>
      <c r="I51" s="13">
        <v>-3.9699999999999998</v>
      </c>
      <c r="J51" s="13">
        <v>1</v>
      </c>
      <c r="K51" s="5">
        <v>5</v>
      </c>
      <c r="L51" s="4">
        <f t="shared" si="0"/>
        <v>0.25</v>
      </c>
      <c r="M51" s="16">
        <v>0.25</v>
      </c>
      <c r="N51" s="16">
        <v>0.25</v>
      </c>
      <c r="O51" s="4">
        <f t="shared" si="1"/>
        <v>0</v>
      </c>
      <c r="P51" s="4">
        <f t="shared" si="2"/>
        <v>0</v>
      </c>
      <c r="Q51" s="19">
        <v>209206837</v>
      </c>
      <c r="R51" s="19">
        <v>209206837</v>
      </c>
      <c r="S51" s="19">
        <v>209206837</v>
      </c>
      <c r="T51" s="19">
        <v>0</v>
      </c>
      <c r="U51" s="24">
        <v>1</v>
      </c>
      <c r="V51" s="26">
        <v>1</v>
      </c>
    </row>
    <row r="52" spans="1:22" x14ac:dyDescent="0.45">
      <c r="A52" s="5" t="s">
        <v>8</v>
      </c>
      <c r="B52" s="5" t="s">
        <v>36</v>
      </c>
      <c r="C52" s="5" t="s">
        <v>41</v>
      </c>
      <c r="D52" s="7">
        <v>836827348</v>
      </c>
      <c r="E52" s="9">
        <v>45962</v>
      </c>
      <c r="F52" s="10">
        <v>46111</v>
      </c>
      <c r="G52" s="6">
        <v>46022</v>
      </c>
      <c r="H52" s="13">
        <v>4.97</v>
      </c>
      <c r="I52" s="13">
        <v>-2.9699999999999998</v>
      </c>
      <c r="J52" s="13">
        <v>2</v>
      </c>
      <c r="K52" s="5">
        <v>5</v>
      </c>
      <c r="L52" s="4">
        <f t="shared" si="0"/>
        <v>0.5</v>
      </c>
      <c r="M52" s="16">
        <v>0.45</v>
      </c>
      <c r="N52" s="16">
        <v>0.45</v>
      </c>
      <c r="O52" s="4">
        <f t="shared" si="1"/>
        <v>0</v>
      </c>
      <c r="P52" s="4">
        <f t="shared" si="2"/>
        <v>0</v>
      </c>
      <c r="Q52" s="19">
        <v>376572306.60000002</v>
      </c>
      <c r="R52" s="19">
        <v>376572306.60000002</v>
      </c>
      <c r="S52" s="19">
        <v>255144865.92000002</v>
      </c>
      <c r="T52" s="19">
        <v>0</v>
      </c>
      <c r="U52" s="23">
        <v>3.1012125800492494</v>
      </c>
      <c r="V52" s="26">
        <v>1</v>
      </c>
    </row>
    <row r="53" spans="1:22" x14ac:dyDescent="0.45">
      <c r="A53" s="5" t="s">
        <v>8</v>
      </c>
      <c r="B53" s="5" t="s">
        <v>36</v>
      </c>
      <c r="C53" s="5" t="s">
        <v>41</v>
      </c>
      <c r="D53" s="7">
        <v>836827348</v>
      </c>
      <c r="E53" s="9">
        <v>45962</v>
      </c>
      <c r="F53" s="10">
        <v>46111</v>
      </c>
      <c r="G53" s="6">
        <v>46053</v>
      </c>
      <c r="H53" s="13">
        <v>4.97</v>
      </c>
      <c r="I53" s="13">
        <v>-1.9699999999999998</v>
      </c>
      <c r="J53" s="13">
        <v>3</v>
      </c>
      <c r="K53" s="5">
        <v>5</v>
      </c>
      <c r="L53" s="4">
        <f t="shared" si="0"/>
        <v>0.75</v>
      </c>
      <c r="M53" s="16">
        <v>0.75</v>
      </c>
      <c r="N53" s="16">
        <v>0.75</v>
      </c>
      <c r="O53" s="4">
        <f t="shared" si="1"/>
        <v>0</v>
      </c>
      <c r="P53" s="4">
        <f t="shared" si="2"/>
        <v>0</v>
      </c>
      <c r="Q53" s="19">
        <v>627620511</v>
      </c>
      <c r="R53" s="19">
        <v>627620511</v>
      </c>
      <c r="S53" s="19">
        <v>471518778.31999999</v>
      </c>
      <c r="T53" s="19">
        <v>0</v>
      </c>
      <c r="U53" s="23">
        <v>4.0205864484962994</v>
      </c>
      <c r="V53" s="26">
        <v>1</v>
      </c>
    </row>
    <row r="54" spans="1:22" x14ac:dyDescent="0.45">
      <c r="A54" s="5" t="s">
        <v>8</v>
      </c>
      <c r="B54" s="5" t="s">
        <v>36</v>
      </c>
      <c r="C54" s="5" t="s">
        <v>41</v>
      </c>
      <c r="D54" s="7">
        <v>836827348</v>
      </c>
      <c r="E54" s="9">
        <v>45962</v>
      </c>
      <c r="F54" s="10">
        <v>46111</v>
      </c>
      <c r="G54" s="6">
        <v>46081</v>
      </c>
      <c r="H54" s="13">
        <v>4.97</v>
      </c>
      <c r="I54" s="13">
        <v>-0.96999999999999975</v>
      </c>
      <c r="J54" s="13">
        <v>4</v>
      </c>
      <c r="K54" s="5">
        <v>5</v>
      </c>
      <c r="L54" s="4">
        <f t="shared" si="0"/>
        <v>1</v>
      </c>
      <c r="M54" s="16">
        <v>0.92</v>
      </c>
      <c r="N54" s="16">
        <v>0.8</v>
      </c>
      <c r="O54" s="4">
        <f t="shared" si="1"/>
        <v>-0.12</v>
      </c>
      <c r="P54" s="4">
        <f t="shared" si="2"/>
        <v>-0.13043478260869565</v>
      </c>
      <c r="Q54" s="19">
        <v>669461878.4000001</v>
      </c>
      <c r="R54" s="19">
        <v>769881160.16000009</v>
      </c>
      <c r="S54" s="19">
        <v>513360145.72000009</v>
      </c>
      <c r="T54" s="19">
        <v>-100419281.75999999</v>
      </c>
      <c r="U54" s="23">
        <v>4.28862554506272</v>
      </c>
      <c r="V54" s="26">
        <v>0.86956521739130432</v>
      </c>
    </row>
    <row r="55" spans="1:22" x14ac:dyDescent="0.45">
      <c r="A55" s="5" t="s">
        <v>59</v>
      </c>
      <c r="B55" s="5" t="s">
        <v>35</v>
      </c>
      <c r="C55" s="5" t="s">
        <v>41</v>
      </c>
      <c r="D55" s="7">
        <v>3898829550</v>
      </c>
      <c r="E55" s="9">
        <v>45962</v>
      </c>
      <c r="F55" s="10">
        <v>46264</v>
      </c>
      <c r="G55" s="6">
        <v>45991</v>
      </c>
      <c r="H55" s="13">
        <v>9.9700000000000006</v>
      </c>
      <c r="I55" s="13">
        <v>-5.9700000000000006</v>
      </c>
      <c r="J55" s="13">
        <v>4</v>
      </c>
      <c r="K55" s="5"/>
      <c r="L55" s="4">
        <f t="shared" si="0"/>
        <v>1</v>
      </c>
      <c r="M55" s="16">
        <v>0.1</v>
      </c>
      <c r="N55" s="16">
        <v>0.1</v>
      </c>
      <c r="O55" s="4">
        <f t="shared" si="1"/>
        <v>0</v>
      </c>
      <c r="P55" s="4">
        <f t="shared" si="2"/>
        <v>0</v>
      </c>
      <c r="Q55" s="19">
        <v>389882955</v>
      </c>
      <c r="R55" s="19">
        <v>389882955</v>
      </c>
      <c r="S55" s="19">
        <v>367918994</v>
      </c>
      <c r="T55" s="19">
        <v>0</v>
      </c>
      <c r="U55" s="23">
        <v>17.751031109552599</v>
      </c>
      <c r="V55" s="26">
        <v>1</v>
      </c>
    </row>
    <row r="56" spans="1:22" x14ac:dyDescent="0.45">
      <c r="A56" s="5" t="s">
        <v>59</v>
      </c>
      <c r="B56" s="5" t="s">
        <v>35</v>
      </c>
      <c r="C56" s="5" t="s">
        <v>41</v>
      </c>
      <c r="D56" s="7">
        <v>3898829550</v>
      </c>
      <c r="E56" s="9">
        <v>45962</v>
      </c>
      <c r="F56" s="10">
        <v>46264</v>
      </c>
      <c r="G56" s="6">
        <v>46022</v>
      </c>
      <c r="H56" s="13">
        <v>9.9700000000000006</v>
      </c>
      <c r="I56" s="13">
        <v>-5.9700000000000006</v>
      </c>
      <c r="J56" s="13">
        <v>4</v>
      </c>
      <c r="K56" s="5"/>
      <c r="L56" s="4">
        <f t="shared" si="0"/>
        <v>1</v>
      </c>
      <c r="M56" s="16">
        <v>0.2</v>
      </c>
      <c r="N56" s="16">
        <v>0.2</v>
      </c>
      <c r="O56" s="4">
        <f t="shared" si="1"/>
        <v>0</v>
      </c>
      <c r="P56" s="4">
        <f t="shared" si="2"/>
        <v>0</v>
      </c>
      <c r="Q56" s="19">
        <v>779765910</v>
      </c>
      <c r="R56" s="19">
        <v>779765910</v>
      </c>
      <c r="S56" s="19">
        <v>375802692</v>
      </c>
      <c r="T56" s="19">
        <v>0</v>
      </c>
      <c r="U56" s="23">
        <v>1.9302893809505202</v>
      </c>
      <c r="V56" s="26">
        <v>1</v>
      </c>
    </row>
    <row r="57" spans="1:22" x14ac:dyDescent="0.45">
      <c r="A57" s="5" t="s">
        <v>59</v>
      </c>
      <c r="B57" s="5" t="s">
        <v>35</v>
      </c>
      <c r="C57" s="5" t="s">
        <v>41</v>
      </c>
      <c r="D57" s="7">
        <v>3898829550</v>
      </c>
      <c r="E57" s="9">
        <v>45962</v>
      </c>
      <c r="F57" s="10">
        <v>46264</v>
      </c>
      <c r="G57" s="6">
        <v>46053</v>
      </c>
      <c r="H57" s="13">
        <v>9.9700000000000006</v>
      </c>
      <c r="I57" s="13">
        <v>-5.9700000000000006</v>
      </c>
      <c r="J57" s="13">
        <v>4</v>
      </c>
      <c r="K57" s="5"/>
      <c r="L57" s="4">
        <f t="shared" si="0"/>
        <v>1</v>
      </c>
      <c r="M57" s="16">
        <v>0.3</v>
      </c>
      <c r="N57" s="16">
        <v>0.3</v>
      </c>
      <c r="O57" s="4">
        <f t="shared" si="1"/>
        <v>0</v>
      </c>
      <c r="P57" s="4">
        <f t="shared" si="2"/>
        <v>0</v>
      </c>
      <c r="Q57" s="19">
        <v>1169648865</v>
      </c>
      <c r="R57" s="19">
        <v>1169648865</v>
      </c>
      <c r="S57" s="19">
        <v>659328981</v>
      </c>
      <c r="T57" s="19">
        <v>0</v>
      </c>
      <c r="U57" s="23">
        <v>2.2919915560256712</v>
      </c>
      <c r="V57" s="26">
        <v>1</v>
      </c>
    </row>
    <row r="58" spans="1:22" x14ac:dyDescent="0.45">
      <c r="A58" s="5" t="s">
        <v>59</v>
      </c>
      <c r="B58" s="5" t="s">
        <v>35</v>
      </c>
      <c r="C58" s="5" t="s">
        <v>41</v>
      </c>
      <c r="D58" s="7">
        <v>3898829550</v>
      </c>
      <c r="E58" s="9">
        <v>45962</v>
      </c>
      <c r="F58" s="10">
        <v>46264</v>
      </c>
      <c r="G58" s="6">
        <v>46081</v>
      </c>
      <c r="H58" s="13">
        <v>9.9700000000000006</v>
      </c>
      <c r="I58" s="13">
        <v>-5.9700000000000006</v>
      </c>
      <c r="J58" s="13">
        <v>4</v>
      </c>
      <c r="K58" s="5"/>
      <c r="L58" s="4">
        <f t="shared" si="0"/>
        <v>1</v>
      </c>
      <c r="M58" s="16">
        <v>0.4</v>
      </c>
      <c r="N58" s="16">
        <v>0.4</v>
      </c>
      <c r="O58" s="4">
        <f t="shared" si="1"/>
        <v>0</v>
      </c>
      <c r="P58" s="4">
        <f t="shared" si="2"/>
        <v>0</v>
      </c>
      <c r="Q58" s="19">
        <v>1559531820</v>
      </c>
      <c r="R58" s="19">
        <v>1559531820</v>
      </c>
      <c r="S58" s="19">
        <v>605421936</v>
      </c>
      <c r="T58" s="19">
        <v>0</v>
      </c>
      <c r="U58" s="23">
        <v>1.6345411007187511</v>
      </c>
      <c r="V58" s="26">
        <v>1</v>
      </c>
    </row>
    <row r="59" spans="1:22" x14ac:dyDescent="0.45">
      <c r="A59" s="5" t="s">
        <v>14</v>
      </c>
      <c r="B59" s="5" t="s">
        <v>35</v>
      </c>
      <c r="C59" s="5" t="s">
        <v>41</v>
      </c>
      <c r="D59" s="7">
        <v>4749361914</v>
      </c>
      <c r="E59" s="9">
        <v>45976</v>
      </c>
      <c r="F59" s="10">
        <v>46142</v>
      </c>
      <c r="G59" s="6">
        <v>45961</v>
      </c>
      <c r="H59" s="13">
        <v>5.5</v>
      </c>
      <c r="I59" s="13">
        <v>-4.5</v>
      </c>
      <c r="J59" s="13">
        <v>1</v>
      </c>
      <c r="K59" s="5">
        <v>6</v>
      </c>
      <c r="L59" s="4">
        <f t="shared" si="0"/>
        <v>0.25</v>
      </c>
      <c r="M59" s="16">
        <v>0.01</v>
      </c>
      <c r="N59" s="16">
        <v>0.01</v>
      </c>
      <c r="O59" s="4">
        <f t="shared" si="1"/>
        <v>0</v>
      </c>
      <c r="P59" s="4">
        <f t="shared" si="2"/>
        <v>0</v>
      </c>
      <c r="Q59" s="19">
        <v>47493619.140000001</v>
      </c>
      <c r="R59" s="19">
        <v>47493619.140000001</v>
      </c>
      <c r="S59" s="19">
        <v>47493619.140000001</v>
      </c>
      <c r="T59" s="19">
        <v>0</v>
      </c>
      <c r="U59" s="24">
        <v>1</v>
      </c>
      <c r="V59" s="26">
        <v>1</v>
      </c>
    </row>
    <row r="60" spans="1:22" x14ac:dyDescent="0.45">
      <c r="A60" s="5" t="s">
        <v>14</v>
      </c>
      <c r="B60" s="5" t="s">
        <v>35</v>
      </c>
      <c r="C60" s="5" t="s">
        <v>41</v>
      </c>
      <c r="D60" s="7">
        <v>4749361914</v>
      </c>
      <c r="E60" s="9">
        <v>45976</v>
      </c>
      <c r="F60" s="10">
        <v>46142</v>
      </c>
      <c r="G60" s="6">
        <v>45991</v>
      </c>
      <c r="H60" s="13">
        <v>5.5</v>
      </c>
      <c r="I60" s="13">
        <v>-4.5</v>
      </c>
      <c r="J60" s="13">
        <v>1</v>
      </c>
      <c r="K60" s="5">
        <v>6</v>
      </c>
      <c r="L60" s="4">
        <f t="shared" si="0"/>
        <v>0.25</v>
      </c>
      <c r="M60" s="16">
        <v>0.1</v>
      </c>
      <c r="N60" s="16">
        <v>0.1</v>
      </c>
      <c r="O60" s="4">
        <f t="shared" si="1"/>
        <v>0</v>
      </c>
      <c r="P60" s="4">
        <f t="shared" si="2"/>
        <v>0</v>
      </c>
      <c r="Q60" s="19">
        <v>474936191.40000004</v>
      </c>
      <c r="R60" s="19">
        <v>474936191.40000004</v>
      </c>
      <c r="S60" s="19">
        <v>467602857.40000004</v>
      </c>
      <c r="T60" s="19">
        <v>0</v>
      </c>
      <c r="U60" s="23">
        <v>64.7640202123618</v>
      </c>
      <c r="V60" s="26">
        <v>1</v>
      </c>
    </row>
    <row r="61" spans="1:22" x14ac:dyDescent="0.45">
      <c r="A61" s="5" t="s">
        <v>14</v>
      </c>
      <c r="B61" s="5" t="s">
        <v>35</v>
      </c>
      <c r="C61" s="5" t="s">
        <v>41</v>
      </c>
      <c r="D61" s="7">
        <v>4749361914</v>
      </c>
      <c r="E61" s="9">
        <v>45976</v>
      </c>
      <c r="F61" s="10">
        <v>46142</v>
      </c>
      <c r="G61" s="6">
        <v>46022</v>
      </c>
      <c r="H61" s="13">
        <v>5.5</v>
      </c>
      <c r="I61" s="13">
        <v>-3.5</v>
      </c>
      <c r="J61" s="13">
        <v>2</v>
      </c>
      <c r="K61" s="5">
        <v>6</v>
      </c>
      <c r="L61" s="4">
        <f t="shared" si="0"/>
        <v>0.5</v>
      </c>
      <c r="M61" s="16">
        <v>0.3</v>
      </c>
      <c r="N61" s="16">
        <v>0.25</v>
      </c>
      <c r="O61" s="4">
        <f t="shared" si="1"/>
        <v>-4.9999999999999989E-2</v>
      </c>
      <c r="P61" s="4">
        <f t="shared" si="2"/>
        <v>-0.16666666666666663</v>
      </c>
      <c r="Q61" s="19">
        <v>1187340478.5</v>
      </c>
      <c r="R61" s="19">
        <v>1424808574.2</v>
      </c>
      <c r="S61" s="19">
        <v>-4468811664.1400003</v>
      </c>
      <c r="T61" s="19">
        <v>-237468095.70000005</v>
      </c>
      <c r="U61" s="23">
        <v>0.20992018046137823</v>
      </c>
      <c r="V61" s="26">
        <v>0.83333333333333326</v>
      </c>
    </row>
    <row r="62" spans="1:22" x14ac:dyDescent="0.45">
      <c r="A62" s="5" t="s">
        <v>14</v>
      </c>
      <c r="B62" s="5" t="s">
        <v>35</v>
      </c>
      <c r="C62" s="5" t="s">
        <v>41</v>
      </c>
      <c r="D62" s="7">
        <v>4749361914</v>
      </c>
      <c r="E62" s="9">
        <v>45976</v>
      </c>
      <c r="F62" s="10">
        <v>46142</v>
      </c>
      <c r="G62" s="6">
        <v>46053</v>
      </c>
      <c r="H62" s="13">
        <v>5.5</v>
      </c>
      <c r="I62" s="13">
        <v>-2.5</v>
      </c>
      <c r="J62" s="13">
        <v>3</v>
      </c>
      <c r="K62" s="5">
        <v>6</v>
      </c>
      <c r="L62" s="4">
        <f t="shared" si="0"/>
        <v>0.75</v>
      </c>
      <c r="M62" s="16">
        <v>0.5</v>
      </c>
      <c r="N62" s="16">
        <v>0.45</v>
      </c>
      <c r="O62" s="4">
        <f t="shared" si="1"/>
        <v>-4.9999999999999989E-2</v>
      </c>
      <c r="P62" s="4">
        <f t="shared" si="2"/>
        <v>-9.9999999999999978E-2</v>
      </c>
      <c r="Q62" s="19">
        <v>2137212861.3</v>
      </c>
      <c r="R62" s="19">
        <v>2374680957</v>
      </c>
      <c r="S62" s="19">
        <v>-3747824021.8000002</v>
      </c>
      <c r="T62" s="19">
        <v>-237468095.70000005</v>
      </c>
      <c r="U62" s="23">
        <v>0.36316048713941151</v>
      </c>
      <c r="V62" s="26">
        <v>0.9</v>
      </c>
    </row>
    <row r="63" spans="1:22" x14ac:dyDescent="0.45">
      <c r="A63" s="5" t="s">
        <v>14</v>
      </c>
      <c r="B63" s="5" t="s">
        <v>35</v>
      </c>
      <c r="C63" s="5" t="s">
        <v>41</v>
      </c>
      <c r="D63" s="7">
        <v>4749361914</v>
      </c>
      <c r="E63" s="9">
        <v>45976</v>
      </c>
      <c r="F63" s="10">
        <v>46142</v>
      </c>
      <c r="G63" s="6">
        <v>46081</v>
      </c>
      <c r="H63" s="13">
        <v>5.5</v>
      </c>
      <c r="I63" s="13">
        <v>-1.5</v>
      </c>
      <c r="J63" s="13">
        <v>4</v>
      </c>
      <c r="K63" s="5">
        <v>6</v>
      </c>
      <c r="L63" s="4">
        <f t="shared" si="0"/>
        <v>1</v>
      </c>
      <c r="M63" s="16">
        <v>0.7</v>
      </c>
      <c r="N63" s="16">
        <v>0.68</v>
      </c>
      <c r="O63" s="4">
        <f t="shared" si="1"/>
        <v>-1.9999999999999907E-2</v>
      </c>
      <c r="P63" s="4">
        <f t="shared" si="2"/>
        <v>-2.8571428571428439E-2</v>
      </c>
      <c r="Q63" s="19">
        <v>3229566101.5200005</v>
      </c>
      <c r="R63" s="19">
        <v>3324553339.7999997</v>
      </c>
      <c r="S63" s="19">
        <v>-2701710593.5799999</v>
      </c>
      <c r="T63" s="19">
        <v>-94987238.279999256</v>
      </c>
      <c r="U63" s="23">
        <v>0.5444976296904237</v>
      </c>
      <c r="V63" s="26">
        <v>0.97142857142857164</v>
      </c>
    </row>
    <row r="64" spans="1:22" x14ac:dyDescent="0.45">
      <c r="A64" s="5" t="s">
        <v>60</v>
      </c>
      <c r="B64" s="5" t="s">
        <v>31</v>
      </c>
      <c r="C64" s="5" t="s">
        <v>41</v>
      </c>
      <c r="D64" s="7">
        <v>1117759798</v>
      </c>
      <c r="E64" s="9">
        <v>45962</v>
      </c>
      <c r="F64" s="10">
        <v>46325</v>
      </c>
      <c r="G64" s="6">
        <v>45991</v>
      </c>
      <c r="H64" s="13">
        <v>11.97</v>
      </c>
      <c r="I64" s="13">
        <v>-10.97</v>
      </c>
      <c r="J64" s="13">
        <v>1</v>
      </c>
      <c r="K64" s="5">
        <v>12</v>
      </c>
      <c r="L64" s="4">
        <f t="shared" si="0"/>
        <v>0.25</v>
      </c>
      <c r="M64" s="16">
        <v>0.1</v>
      </c>
      <c r="N64" s="16">
        <v>0.1</v>
      </c>
      <c r="O64" s="4">
        <f t="shared" si="1"/>
        <v>0</v>
      </c>
      <c r="P64" s="4">
        <f t="shared" si="2"/>
        <v>0</v>
      </c>
      <c r="Q64" s="19">
        <v>111775979.80000001</v>
      </c>
      <c r="R64" s="19">
        <v>111775979.80000001</v>
      </c>
      <c r="S64" s="19">
        <v>111775979.80000001</v>
      </c>
      <c r="T64" s="19">
        <v>0</v>
      </c>
      <c r="U64" s="24">
        <v>1</v>
      </c>
      <c r="V64" s="26">
        <v>1</v>
      </c>
    </row>
    <row r="65" spans="1:22" x14ac:dyDescent="0.45">
      <c r="A65" s="5" t="s">
        <v>60</v>
      </c>
      <c r="B65" s="5" t="s">
        <v>31</v>
      </c>
      <c r="C65" s="5" t="s">
        <v>41</v>
      </c>
      <c r="D65" s="7">
        <v>1117759798</v>
      </c>
      <c r="E65" s="9">
        <v>45962</v>
      </c>
      <c r="F65" s="10">
        <v>46325</v>
      </c>
      <c r="G65" s="6">
        <v>46022</v>
      </c>
      <c r="H65" s="13">
        <v>11.97</v>
      </c>
      <c r="I65" s="13">
        <v>-9.9700000000000006</v>
      </c>
      <c r="J65" s="13">
        <v>2</v>
      </c>
      <c r="K65" s="5">
        <v>12</v>
      </c>
      <c r="L65" s="4">
        <f t="shared" si="0"/>
        <v>0.5</v>
      </c>
      <c r="M65" s="16">
        <v>0.2</v>
      </c>
      <c r="N65" s="16">
        <v>0.15</v>
      </c>
      <c r="O65" s="4">
        <f t="shared" si="1"/>
        <v>-5.0000000000000017E-2</v>
      </c>
      <c r="P65" s="4">
        <f t="shared" si="2"/>
        <v>-0.25000000000000006</v>
      </c>
      <c r="Q65" s="19">
        <v>167663969.69999999</v>
      </c>
      <c r="R65" s="19">
        <v>223551959.60000002</v>
      </c>
      <c r="S65" s="19">
        <v>-220791030.30000001</v>
      </c>
      <c r="T65" s="19">
        <v>-55887989.900000036</v>
      </c>
      <c r="U65" s="23">
        <v>0.43161748387844151</v>
      </c>
      <c r="V65" s="26">
        <v>0.74999999999999989</v>
      </c>
    </row>
    <row r="66" spans="1:22" x14ac:dyDescent="0.45">
      <c r="A66" s="5" t="s">
        <v>60</v>
      </c>
      <c r="B66" s="5" t="s">
        <v>31</v>
      </c>
      <c r="C66" s="5" t="s">
        <v>41</v>
      </c>
      <c r="D66" s="7">
        <v>1117759798</v>
      </c>
      <c r="E66" s="9">
        <v>45962</v>
      </c>
      <c r="F66" s="10">
        <v>46325</v>
      </c>
      <c r="G66" s="6">
        <v>46053</v>
      </c>
      <c r="H66" s="13">
        <v>11.97</v>
      </c>
      <c r="I66" s="13">
        <v>-8.9700000000000006</v>
      </c>
      <c r="J66" s="13">
        <v>3</v>
      </c>
      <c r="K66" s="5">
        <v>12</v>
      </c>
      <c r="L66" s="4">
        <f t="shared" ref="L66:L108" si="3">J66/_xlfn.MAXIFS(J66:J456,A66:A456,A66)</f>
        <v>0.75</v>
      </c>
      <c r="M66" s="16">
        <v>0.35</v>
      </c>
      <c r="N66" s="16">
        <v>0.3</v>
      </c>
      <c r="O66" s="4">
        <f t="shared" si="1"/>
        <v>-4.9999999999999989E-2</v>
      </c>
      <c r="P66" s="4">
        <f t="shared" si="2"/>
        <v>-0.14285714285714282</v>
      </c>
      <c r="Q66" s="19">
        <v>335327939.39999998</v>
      </c>
      <c r="R66" s="19">
        <v>391215929.29999995</v>
      </c>
      <c r="S66" s="19">
        <v>-53127060.600000024</v>
      </c>
      <c r="T66" s="19">
        <v>-55887989.899999976</v>
      </c>
      <c r="U66" s="23">
        <v>0.86323496775688302</v>
      </c>
      <c r="V66" s="26">
        <v>0.85714285714285721</v>
      </c>
    </row>
    <row r="67" spans="1:22" x14ac:dyDescent="0.45">
      <c r="A67" s="5" t="s">
        <v>60</v>
      </c>
      <c r="B67" s="5" t="s">
        <v>31</v>
      </c>
      <c r="C67" s="5" t="s">
        <v>41</v>
      </c>
      <c r="D67" s="7">
        <v>1117759798</v>
      </c>
      <c r="E67" s="9">
        <v>45962</v>
      </c>
      <c r="F67" s="10">
        <v>46325</v>
      </c>
      <c r="G67" s="6">
        <v>46081</v>
      </c>
      <c r="H67" s="13">
        <v>11.97</v>
      </c>
      <c r="I67" s="13">
        <v>-7.9700000000000006</v>
      </c>
      <c r="J67" s="13">
        <v>4</v>
      </c>
      <c r="K67" s="5">
        <v>12</v>
      </c>
      <c r="L67" s="4">
        <f t="shared" si="3"/>
        <v>1</v>
      </c>
      <c r="M67" s="16">
        <v>0.4</v>
      </c>
      <c r="N67" s="16">
        <v>0.42</v>
      </c>
      <c r="O67" s="4">
        <f t="shared" ref="O67:O108" si="4">N67-M67</f>
        <v>1.9999999999999962E-2</v>
      </c>
      <c r="P67" s="4">
        <f t="shared" ref="P67:P108" si="5">(N67-M67)/M67</f>
        <v>4.9999999999999906E-2</v>
      </c>
      <c r="Q67" s="19">
        <v>469459115.15999997</v>
      </c>
      <c r="R67" s="19">
        <v>447103919.20000005</v>
      </c>
      <c r="S67" s="19">
        <v>81004115.159999967</v>
      </c>
      <c r="T67" s="19">
        <v>22355195.959999919</v>
      </c>
      <c r="U67" s="23">
        <v>1.2085289548596361</v>
      </c>
      <c r="V67" s="26">
        <v>1.0499999999999998</v>
      </c>
    </row>
    <row r="68" spans="1:22" x14ac:dyDescent="0.45">
      <c r="A68" s="5" t="s">
        <v>61</v>
      </c>
      <c r="B68" s="5" t="s">
        <v>25</v>
      </c>
      <c r="C68" s="5" t="s">
        <v>40</v>
      </c>
      <c r="D68" s="7">
        <v>772840336</v>
      </c>
      <c r="E68" s="9">
        <v>45945</v>
      </c>
      <c r="F68" s="10">
        <v>46022</v>
      </c>
      <c r="G68" s="6">
        <v>45961</v>
      </c>
      <c r="H68" s="13">
        <v>2.5299999999999998</v>
      </c>
      <c r="I68" s="13">
        <v>-1.5299999999999998</v>
      </c>
      <c r="J68" s="13">
        <v>1</v>
      </c>
      <c r="K68" s="5">
        <v>3</v>
      </c>
      <c r="L68" s="4">
        <f t="shared" si="3"/>
        <v>0.2</v>
      </c>
      <c r="M68" s="16">
        <v>0.35</v>
      </c>
      <c r="N68" s="16">
        <v>0.3</v>
      </c>
      <c r="O68" s="4">
        <f t="shared" si="4"/>
        <v>-4.9999999999999989E-2</v>
      </c>
      <c r="P68" s="4">
        <f t="shared" si="5"/>
        <v>-0.14285714285714282</v>
      </c>
      <c r="Q68" s="19">
        <v>231852100.79999998</v>
      </c>
      <c r="R68" s="19">
        <v>270494117.59999996</v>
      </c>
      <c r="S68" s="19">
        <v>231852100.79999998</v>
      </c>
      <c r="T68" s="19">
        <v>-38642016.799999982</v>
      </c>
      <c r="U68" s="24">
        <v>1</v>
      </c>
      <c r="V68" s="26">
        <v>0.85714285714285721</v>
      </c>
    </row>
    <row r="69" spans="1:22" x14ac:dyDescent="0.45">
      <c r="A69" s="5" t="s">
        <v>61</v>
      </c>
      <c r="B69" s="5" t="s">
        <v>25</v>
      </c>
      <c r="C69" s="5" t="s">
        <v>40</v>
      </c>
      <c r="D69" s="7">
        <v>772840336</v>
      </c>
      <c r="E69" s="9">
        <v>45945</v>
      </c>
      <c r="F69" s="10">
        <v>46022</v>
      </c>
      <c r="G69" s="6">
        <v>45991</v>
      </c>
      <c r="H69" s="13">
        <v>2.5299999999999998</v>
      </c>
      <c r="I69" s="13">
        <v>-0.5299999999999998</v>
      </c>
      <c r="J69" s="13">
        <v>2</v>
      </c>
      <c r="K69" s="5">
        <v>3</v>
      </c>
      <c r="L69" s="4">
        <f t="shared" si="3"/>
        <v>0.4</v>
      </c>
      <c r="M69" s="16">
        <v>0.65</v>
      </c>
      <c r="N69" s="16">
        <v>0.57999999999999996</v>
      </c>
      <c r="O69" s="4">
        <f t="shared" si="4"/>
        <v>-7.0000000000000062E-2</v>
      </c>
      <c r="P69" s="4">
        <f t="shared" si="5"/>
        <v>-0.10769230769230778</v>
      </c>
      <c r="Q69" s="19">
        <v>448247394.88</v>
      </c>
      <c r="R69" s="19">
        <v>502346218.40000004</v>
      </c>
      <c r="S69" s="19">
        <v>448247394.88</v>
      </c>
      <c r="T69" s="19">
        <v>-54098823.520000041</v>
      </c>
      <c r="U69" s="24">
        <v>1</v>
      </c>
      <c r="V69" s="26">
        <v>0.89230769230769225</v>
      </c>
    </row>
    <row r="70" spans="1:22" x14ac:dyDescent="0.45">
      <c r="A70" s="5" t="s">
        <v>61</v>
      </c>
      <c r="B70" s="5" t="s">
        <v>25</v>
      </c>
      <c r="C70" s="5" t="s">
        <v>40</v>
      </c>
      <c r="D70" s="7">
        <v>772840336</v>
      </c>
      <c r="E70" s="9">
        <v>45945</v>
      </c>
      <c r="F70" s="10">
        <v>46022</v>
      </c>
      <c r="G70" s="6">
        <v>46022</v>
      </c>
      <c r="H70" s="13">
        <v>2.5299999999999998</v>
      </c>
      <c r="I70" s="13">
        <v>2.4700000000000002</v>
      </c>
      <c r="J70" s="13">
        <v>5</v>
      </c>
      <c r="K70" s="5">
        <v>3</v>
      </c>
      <c r="L70" s="4">
        <f t="shared" si="3"/>
        <v>1</v>
      </c>
      <c r="M70" s="16">
        <v>1</v>
      </c>
      <c r="N70" s="16">
        <v>0.7</v>
      </c>
      <c r="O70" s="4">
        <f t="shared" si="4"/>
        <v>-0.30000000000000004</v>
      </c>
      <c r="P70" s="4">
        <f t="shared" si="5"/>
        <v>-0.30000000000000004</v>
      </c>
      <c r="Q70" s="19">
        <v>540988235.19999993</v>
      </c>
      <c r="R70" s="19">
        <v>772840336</v>
      </c>
      <c r="S70" s="19">
        <v>-96011764.800000072</v>
      </c>
      <c r="T70" s="19">
        <v>-231852100.80000007</v>
      </c>
      <c r="U70" s="23">
        <v>0.84927509450549443</v>
      </c>
      <c r="V70" s="26">
        <v>0.7</v>
      </c>
    </row>
    <row r="71" spans="1:22" x14ac:dyDescent="0.45">
      <c r="A71" s="5" t="s">
        <v>61</v>
      </c>
      <c r="B71" s="5" t="s">
        <v>25</v>
      </c>
      <c r="C71" s="5" t="s">
        <v>40</v>
      </c>
      <c r="D71" s="7">
        <v>772840336</v>
      </c>
      <c r="E71" s="9">
        <v>45945</v>
      </c>
      <c r="F71" s="10">
        <v>46022</v>
      </c>
      <c r="G71" s="6">
        <v>46053</v>
      </c>
      <c r="H71" s="13">
        <v>2.5299999999999998</v>
      </c>
      <c r="I71" s="13">
        <v>1.4700000000000002</v>
      </c>
      <c r="J71" s="13">
        <v>4</v>
      </c>
      <c r="K71" s="5">
        <v>3</v>
      </c>
      <c r="L71" s="4">
        <f t="shared" si="3"/>
        <v>1</v>
      </c>
      <c r="M71" s="16">
        <v>1</v>
      </c>
      <c r="N71" s="16">
        <v>1</v>
      </c>
      <c r="O71" s="4">
        <f t="shared" si="4"/>
        <v>0</v>
      </c>
      <c r="P71" s="4">
        <f t="shared" si="5"/>
        <v>0</v>
      </c>
      <c r="Q71" s="19">
        <v>772840336</v>
      </c>
      <c r="R71" s="19">
        <v>772840336</v>
      </c>
      <c r="S71" s="19">
        <v>120240336</v>
      </c>
      <c r="T71" s="19">
        <v>0</v>
      </c>
      <c r="U71" s="23">
        <v>1.1842481397486975</v>
      </c>
      <c r="V71" s="26">
        <v>1</v>
      </c>
    </row>
    <row r="72" spans="1:22" x14ac:dyDescent="0.45">
      <c r="A72" s="5" t="s">
        <v>62</v>
      </c>
      <c r="B72" s="5" t="s">
        <v>66</v>
      </c>
      <c r="C72" s="5" t="s">
        <v>41</v>
      </c>
      <c r="D72" s="7">
        <v>2207086979</v>
      </c>
      <c r="E72" s="9">
        <v>45940</v>
      </c>
      <c r="F72" s="10">
        <v>46387</v>
      </c>
      <c r="G72" s="6">
        <v>45961</v>
      </c>
      <c r="H72" s="13">
        <v>14.7</v>
      </c>
      <c r="I72" s="13">
        <v>-13.7</v>
      </c>
      <c r="J72" s="13">
        <v>1</v>
      </c>
      <c r="K72" s="5">
        <v>15</v>
      </c>
      <c r="L72" s="4">
        <f t="shared" si="3"/>
        <v>0.2</v>
      </c>
      <c r="M72" s="16">
        <v>0.05</v>
      </c>
      <c r="N72" s="16">
        <v>0.05</v>
      </c>
      <c r="O72" s="4">
        <f t="shared" si="4"/>
        <v>0</v>
      </c>
      <c r="P72" s="4">
        <f t="shared" si="5"/>
        <v>0</v>
      </c>
      <c r="Q72" s="19">
        <v>110354348.95</v>
      </c>
      <c r="R72" s="19">
        <v>110354348.95</v>
      </c>
      <c r="S72" s="19">
        <v>110354348.95</v>
      </c>
      <c r="T72" s="19">
        <v>0</v>
      </c>
      <c r="U72" s="24">
        <v>1</v>
      </c>
      <c r="V72" s="26">
        <v>1</v>
      </c>
    </row>
    <row r="73" spans="1:22" x14ac:dyDescent="0.45">
      <c r="A73" s="5" t="s">
        <v>62</v>
      </c>
      <c r="B73" s="5" t="s">
        <v>66</v>
      </c>
      <c r="C73" s="5" t="s">
        <v>41</v>
      </c>
      <c r="D73" s="7">
        <v>2207086979</v>
      </c>
      <c r="E73" s="9">
        <v>45940</v>
      </c>
      <c r="F73" s="10">
        <v>46387</v>
      </c>
      <c r="G73" s="6">
        <v>45991</v>
      </c>
      <c r="H73" s="13">
        <v>14.7</v>
      </c>
      <c r="I73" s="13">
        <v>-12.7</v>
      </c>
      <c r="J73" s="13">
        <v>2</v>
      </c>
      <c r="K73" s="5">
        <v>15</v>
      </c>
      <c r="L73" s="4">
        <f t="shared" si="3"/>
        <v>0.4</v>
      </c>
      <c r="M73" s="16">
        <v>0.1</v>
      </c>
      <c r="N73" s="16">
        <v>0.1</v>
      </c>
      <c r="O73" s="4">
        <f t="shared" si="4"/>
        <v>0</v>
      </c>
      <c r="P73" s="4">
        <f t="shared" si="5"/>
        <v>0</v>
      </c>
      <c r="Q73" s="19">
        <v>220708697.90000001</v>
      </c>
      <c r="R73" s="19">
        <v>220708697.90000001</v>
      </c>
      <c r="S73" s="19">
        <v>220708697.90000001</v>
      </c>
      <c r="T73" s="19">
        <v>0</v>
      </c>
      <c r="U73" s="24">
        <v>1</v>
      </c>
      <c r="V73" s="26">
        <v>1</v>
      </c>
    </row>
    <row r="74" spans="1:22" x14ac:dyDescent="0.45">
      <c r="A74" s="5" t="s">
        <v>62</v>
      </c>
      <c r="B74" s="5" t="s">
        <v>66</v>
      </c>
      <c r="C74" s="5" t="s">
        <v>41</v>
      </c>
      <c r="D74" s="7">
        <v>2207086979</v>
      </c>
      <c r="E74" s="9">
        <v>45940</v>
      </c>
      <c r="F74" s="10">
        <v>46387</v>
      </c>
      <c r="G74" s="6">
        <v>46022</v>
      </c>
      <c r="H74" s="13">
        <v>14.7</v>
      </c>
      <c r="I74" s="13">
        <v>-11.7</v>
      </c>
      <c r="J74" s="13">
        <v>3</v>
      </c>
      <c r="K74" s="5">
        <v>15</v>
      </c>
      <c r="L74" s="4">
        <f t="shared" si="3"/>
        <v>0.6</v>
      </c>
      <c r="M74" s="16">
        <v>0.15</v>
      </c>
      <c r="N74" s="16">
        <v>0.15</v>
      </c>
      <c r="O74" s="4">
        <f t="shared" si="4"/>
        <v>0</v>
      </c>
      <c r="P74" s="4">
        <f t="shared" si="5"/>
        <v>0</v>
      </c>
      <c r="Q74" s="19">
        <v>331063046.84999996</v>
      </c>
      <c r="R74" s="19">
        <v>331063046.84999996</v>
      </c>
      <c r="S74" s="19">
        <v>241450046.84999996</v>
      </c>
      <c r="T74" s="19">
        <v>0</v>
      </c>
      <c r="U74" s="23">
        <v>3.694364063807706</v>
      </c>
      <c r="V74" s="26">
        <v>1</v>
      </c>
    </row>
    <row r="75" spans="1:22" x14ac:dyDescent="0.45">
      <c r="A75" s="5" t="s">
        <v>62</v>
      </c>
      <c r="B75" s="5" t="s">
        <v>66</v>
      </c>
      <c r="C75" s="5" t="s">
        <v>41</v>
      </c>
      <c r="D75" s="7">
        <v>2207086979</v>
      </c>
      <c r="E75" s="9">
        <v>45940</v>
      </c>
      <c r="F75" s="10">
        <v>46387</v>
      </c>
      <c r="G75" s="6">
        <v>46053</v>
      </c>
      <c r="H75" s="13">
        <v>14.7</v>
      </c>
      <c r="I75" s="13">
        <v>-10.7</v>
      </c>
      <c r="J75" s="13">
        <v>4</v>
      </c>
      <c r="K75" s="5">
        <v>15</v>
      </c>
      <c r="L75" s="4">
        <f t="shared" si="3"/>
        <v>0.8</v>
      </c>
      <c r="M75" s="16">
        <v>0.2</v>
      </c>
      <c r="N75" s="16">
        <v>0.2</v>
      </c>
      <c r="O75" s="4">
        <f t="shared" si="4"/>
        <v>0</v>
      </c>
      <c r="P75" s="4">
        <f t="shared" si="5"/>
        <v>0</v>
      </c>
      <c r="Q75" s="19">
        <v>441417395.80000001</v>
      </c>
      <c r="R75" s="19">
        <v>441417395.80000001</v>
      </c>
      <c r="S75" s="19">
        <v>272872395.80000001</v>
      </c>
      <c r="T75" s="19">
        <v>0</v>
      </c>
      <c r="U75" s="23">
        <v>2.6189883758046815</v>
      </c>
      <c r="V75" s="26">
        <v>1</v>
      </c>
    </row>
    <row r="76" spans="1:22" x14ac:dyDescent="0.45">
      <c r="A76" s="5" t="s">
        <v>62</v>
      </c>
      <c r="B76" s="5" t="s">
        <v>66</v>
      </c>
      <c r="C76" s="5" t="s">
        <v>41</v>
      </c>
      <c r="D76" s="7">
        <v>2207086979</v>
      </c>
      <c r="E76" s="9">
        <v>45940</v>
      </c>
      <c r="F76" s="10">
        <v>46387</v>
      </c>
      <c r="G76" s="6">
        <v>46081</v>
      </c>
      <c r="H76" s="13">
        <v>14.7</v>
      </c>
      <c r="I76" s="13">
        <v>-9.6999999999999993</v>
      </c>
      <c r="J76" s="13">
        <v>5</v>
      </c>
      <c r="K76" s="5">
        <v>15</v>
      </c>
      <c r="L76" s="4">
        <f t="shared" si="3"/>
        <v>1</v>
      </c>
      <c r="M76" s="16">
        <v>0.3</v>
      </c>
      <c r="N76" s="16">
        <v>0.32</v>
      </c>
      <c r="O76" s="4">
        <f t="shared" si="4"/>
        <v>2.0000000000000018E-2</v>
      </c>
      <c r="P76" s="4">
        <f t="shared" si="5"/>
        <v>6.6666666666666735E-2</v>
      </c>
      <c r="Q76" s="19">
        <v>706267833.27999997</v>
      </c>
      <c r="R76" s="19">
        <v>662126093.69999993</v>
      </c>
      <c r="S76" s="19">
        <v>455616958.27999997</v>
      </c>
      <c r="T76" s="19">
        <v>44141739.580000043</v>
      </c>
      <c r="U76" s="23">
        <v>2.8177353591125502</v>
      </c>
      <c r="V76" s="26">
        <v>1.0666666666666667</v>
      </c>
    </row>
    <row r="77" spans="1:22" x14ac:dyDescent="0.45">
      <c r="A77" s="5" t="s">
        <v>15</v>
      </c>
      <c r="B77" s="5" t="s">
        <v>30</v>
      </c>
      <c r="C77" s="5" t="s">
        <v>41</v>
      </c>
      <c r="D77" s="7">
        <v>1597913499</v>
      </c>
      <c r="E77" s="9">
        <v>45989</v>
      </c>
      <c r="F77" s="10">
        <v>46293</v>
      </c>
      <c r="G77" s="6">
        <v>45991</v>
      </c>
      <c r="H77" s="13">
        <v>10</v>
      </c>
      <c r="I77" s="13">
        <v>-9</v>
      </c>
      <c r="J77" s="13">
        <v>1</v>
      </c>
      <c r="K77" s="5">
        <v>10</v>
      </c>
      <c r="L77" s="4">
        <f t="shared" si="3"/>
        <v>0.25</v>
      </c>
      <c r="M77" s="16">
        <v>0.1</v>
      </c>
      <c r="N77" s="16">
        <v>0.1</v>
      </c>
      <c r="O77" s="4">
        <f t="shared" si="4"/>
        <v>0</v>
      </c>
      <c r="P77" s="4">
        <f t="shared" si="5"/>
        <v>0</v>
      </c>
      <c r="Q77" s="19">
        <v>159791349.90000001</v>
      </c>
      <c r="R77" s="19">
        <v>159791349.90000001</v>
      </c>
      <c r="S77" s="19">
        <v>159791349.90000001</v>
      </c>
      <c r="T77" s="19">
        <v>0</v>
      </c>
      <c r="U77" s="24">
        <v>1</v>
      </c>
      <c r="V77" s="26">
        <v>1</v>
      </c>
    </row>
    <row r="78" spans="1:22" x14ac:dyDescent="0.45">
      <c r="A78" s="5" t="s">
        <v>15</v>
      </c>
      <c r="B78" s="5" t="s">
        <v>30</v>
      </c>
      <c r="C78" s="5" t="s">
        <v>41</v>
      </c>
      <c r="D78" s="7">
        <v>1597913499</v>
      </c>
      <c r="E78" s="9">
        <v>45989</v>
      </c>
      <c r="F78" s="10">
        <v>46293</v>
      </c>
      <c r="G78" s="6">
        <v>46022</v>
      </c>
      <c r="H78" s="13">
        <v>10</v>
      </c>
      <c r="I78" s="13">
        <v>-8</v>
      </c>
      <c r="J78" s="13">
        <v>2</v>
      </c>
      <c r="K78" s="5">
        <v>10</v>
      </c>
      <c r="L78" s="4">
        <f t="shared" si="3"/>
        <v>0.5</v>
      </c>
      <c r="M78" s="16">
        <v>0.15</v>
      </c>
      <c r="N78" s="16">
        <v>0.15</v>
      </c>
      <c r="O78" s="4">
        <f t="shared" si="4"/>
        <v>0</v>
      </c>
      <c r="P78" s="4">
        <f t="shared" si="5"/>
        <v>0</v>
      </c>
      <c r="Q78" s="19">
        <v>239687024.84999999</v>
      </c>
      <c r="R78" s="19">
        <v>239687024.84999999</v>
      </c>
      <c r="S78" s="19">
        <v>127587024.84999999</v>
      </c>
      <c r="T78" s="19">
        <v>0</v>
      </c>
      <c r="U78" s="23">
        <v>2.1381536561106156</v>
      </c>
      <c r="V78" s="26">
        <v>1</v>
      </c>
    </row>
    <row r="79" spans="1:22" x14ac:dyDescent="0.45">
      <c r="A79" s="5" t="s">
        <v>15</v>
      </c>
      <c r="B79" s="5" t="s">
        <v>30</v>
      </c>
      <c r="C79" s="5" t="s">
        <v>41</v>
      </c>
      <c r="D79" s="7">
        <v>1597913499</v>
      </c>
      <c r="E79" s="9">
        <v>45989</v>
      </c>
      <c r="F79" s="10">
        <v>46293</v>
      </c>
      <c r="G79" s="6">
        <v>46053</v>
      </c>
      <c r="H79" s="13">
        <v>10</v>
      </c>
      <c r="I79" s="13">
        <v>-7</v>
      </c>
      <c r="J79" s="13">
        <v>3</v>
      </c>
      <c r="K79" s="5">
        <v>10</v>
      </c>
      <c r="L79" s="4">
        <f t="shared" si="3"/>
        <v>0.75</v>
      </c>
      <c r="M79" s="16">
        <v>0.2</v>
      </c>
      <c r="N79" s="16">
        <v>0.2</v>
      </c>
      <c r="O79" s="4">
        <f t="shared" si="4"/>
        <v>0</v>
      </c>
      <c r="P79" s="4">
        <f t="shared" si="5"/>
        <v>0</v>
      </c>
      <c r="Q79" s="19">
        <v>319582699.80000001</v>
      </c>
      <c r="R79" s="19">
        <v>319582699.80000001</v>
      </c>
      <c r="S79" s="19">
        <v>96982699.800000012</v>
      </c>
      <c r="T79" s="19">
        <v>0</v>
      </c>
      <c r="U79" s="23">
        <v>1.4356814905660378</v>
      </c>
      <c r="V79" s="26">
        <v>1</v>
      </c>
    </row>
    <row r="80" spans="1:22" x14ac:dyDescent="0.45">
      <c r="A80" s="5" t="s">
        <v>15</v>
      </c>
      <c r="B80" s="5" t="s">
        <v>30</v>
      </c>
      <c r="C80" s="5" t="s">
        <v>41</v>
      </c>
      <c r="D80" s="7">
        <v>1597913499</v>
      </c>
      <c r="E80" s="9">
        <v>45989</v>
      </c>
      <c r="F80" s="10">
        <v>46293</v>
      </c>
      <c r="G80" s="6">
        <v>46081</v>
      </c>
      <c r="H80" s="13">
        <v>10</v>
      </c>
      <c r="I80" s="13">
        <v>-6</v>
      </c>
      <c r="J80" s="13">
        <v>4</v>
      </c>
      <c r="K80" s="5">
        <v>10</v>
      </c>
      <c r="L80" s="4">
        <f t="shared" si="3"/>
        <v>1</v>
      </c>
      <c r="M80" s="16">
        <v>0.3</v>
      </c>
      <c r="N80" s="16">
        <v>0.32</v>
      </c>
      <c r="O80" s="4">
        <f t="shared" si="4"/>
        <v>2.0000000000000018E-2</v>
      </c>
      <c r="P80" s="4">
        <f t="shared" si="5"/>
        <v>6.6666666666666735E-2</v>
      </c>
      <c r="Q80" s="19">
        <v>511332319.68000001</v>
      </c>
      <c r="R80" s="19">
        <v>479374049.69999999</v>
      </c>
      <c r="S80" s="19">
        <v>147232319.68000001</v>
      </c>
      <c r="T80" s="19">
        <v>31958269.980000019</v>
      </c>
      <c r="U80" s="23">
        <v>1.4043733031584729</v>
      </c>
      <c r="V80" s="26">
        <v>1.0666666666666667</v>
      </c>
    </row>
    <row r="81" spans="1:22" x14ac:dyDescent="0.45">
      <c r="A81" s="5" t="s">
        <v>63</v>
      </c>
      <c r="B81" s="5" t="s">
        <v>67</v>
      </c>
      <c r="C81" s="5" t="s">
        <v>39</v>
      </c>
      <c r="D81" s="7">
        <v>6633609996</v>
      </c>
      <c r="E81" s="9">
        <v>46023</v>
      </c>
      <c r="F81" s="10">
        <v>46387</v>
      </c>
      <c r="G81" s="6">
        <v>46053</v>
      </c>
      <c r="H81" s="13">
        <v>12</v>
      </c>
      <c r="I81" s="13">
        <v>-10</v>
      </c>
      <c r="J81" s="13">
        <v>2</v>
      </c>
      <c r="K81" s="5">
        <v>12</v>
      </c>
      <c r="L81" s="4">
        <f t="shared" si="3"/>
        <v>1</v>
      </c>
      <c r="M81" s="16">
        <v>0.1</v>
      </c>
      <c r="N81" s="16">
        <v>0.1</v>
      </c>
      <c r="O81" s="4">
        <f t="shared" si="4"/>
        <v>0</v>
      </c>
      <c r="P81" s="4">
        <f t="shared" si="5"/>
        <v>0</v>
      </c>
      <c r="Q81" s="19">
        <v>663360999.60000002</v>
      </c>
      <c r="R81" s="19">
        <v>663360999.60000002</v>
      </c>
      <c r="S81" s="19">
        <v>635871781.60000002</v>
      </c>
      <c r="T81" s="19">
        <v>0</v>
      </c>
      <c r="U81" s="23">
        <v>24.131679540683916</v>
      </c>
      <c r="V81" s="26">
        <v>1</v>
      </c>
    </row>
    <row r="82" spans="1:22" x14ac:dyDescent="0.45">
      <c r="A82" s="5" t="s">
        <v>63</v>
      </c>
      <c r="B82" s="5" t="s">
        <v>67</v>
      </c>
      <c r="C82" s="5" t="s">
        <v>39</v>
      </c>
      <c r="D82" s="7">
        <v>6633609996</v>
      </c>
      <c r="E82" s="9">
        <v>46023</v>
      </c>
      <c r="F82" s="10">
        <v>46387</v>
      </c>
      <c r="G82" s="6">
        <v>46081</v>
      </c>
      <c r="H82" s="13">
        <v>12</v>
      </c>
      <c r="I82" s="13">
        <v>-10</v>
      </c>
      <c r="J82" s="13">
        <v>2</v>
      </c>
      <c r="K82" s="5">
        <v>12</v>
      </c>
      <c r="L82" s="4">
        <f t="shared" si="3"/>
        <v>1</v>
      </c>
      <c r="M82" s="16">
        <v>0.2</v>
      </c>
      <c r="N82" s="16">
        <v>0.2</v>
      </c>
      <c r="O82" s="4">
        <f t="shared" si="4"/>
        <v>0</v>
      </c>
      <c r="P82" s="4">
        <f t="shared" si="5"/>
        <v>0</v>
      </c>
      <c r="Q82" s="19">
        <v>1326721999.2</v>
      </c>
      <c r="R82" s="19">
        <v>1326721999.2</v>
      </c>
      <c r="S82" s="19">
        <v>1299232781.2</v>
      </c>
      <c r="T82" s="19">
        <v>0</v>
      </c>
      <c r="U82" s="23">
        <v>48.263359081367831</v>
      </c>
      <c r="V82" s="26">
        <v>1</v>
      </c>
    </row>
    <row r="83" spans="1:22" x14ac:dyDescent="0.45">
      <c r="A83" s="5" t="s">
        <v>17</v>
      </c>
      <c r="B83" s="5" t="s">
        <v>28</v>
      </c>
      <c r="C83" s="5" t="s">
        <v>40</v>
      </c>
      <c r="D83" s="7">
        <v>247635015</v>
      </c>
      <c r="E83" s="9">
        <v>45992</v>
      </c>
      <c r="F83" s="10">
        <v>46022</v>
      </c>
      <c r="G83" s="6">
        <v>46022</v>
      </c>
      <c r="H83" s="13">
        <v>1</v>
      </c>
      <c r="I83" s="13">
        <v>0</v>
      </c>
      <c r="J83" s="13">
        <v>1</v>
      </c>
      <c r="K83" s="5">
        <v>2</v>
      </c>
      <c r="L83" s="4">
        <f t="shared" si="3"/>
        <v>0.5</v>
      </c>
      <c r="M83" s="16">
        <v>0.5</v>
      </c>
      <c r="N83" s="16">
        <v>0.5</v>
      </c>
      <c r="O83" s="4">
        <f t="shared" si="4"/>
        <v>0</v>
      </c>
      <c r="P83" s="4">
        <f t="shared" si="5"/>
        <v>0</v>
      </c>
      <c r="Q83" s="19">
        <v>123817507.5</v>
      </c>
      <c r="R83" s="19">
        <v>123817507.5</v>
      </c>
      <c r="S83" s="19">
        <v>-95587859.24000001</v>
      </c>
      <c r="T83" s="19">
        <v>0</v>
      </c>
      <c r="U83" s="23">
        <v>0.564332173545811</v>
      </c>
      <c r="V83" s="26">
        <v>1</v>
      </c>
    </row>
    <row r="84" spans="1:22" x14ac:dyDescent="0.45">
      <c r="A84" s="5" t="s">
        <v>17</v>
      </c>
      <c r="B84" s="5" t="s">
        <v>28</v>
      </c>
      <c r="C84" s="5" t="s">
        <v>40</v>
      </c>
      <c r="D84" s="7">
        <v>247635015</v>
      </c>
      <c r="E84" s="9">
        <v>45992</v>
      </c>
      <c r="F84" s="10">
        <v>46022</v>
      </c>
      <c r="G84" s="6">
        <v>46053</v>
      </c>
      <c r="H84" s="13">
        <v>1</v>
      </c>
      <c r="I84" s="13">
        <v>1</v>
      </c>
      <c r="J84" s="13">
        <v>2</v>
      </c>
      <c r="K84" s="5">
        <v>2</v>
      </c>
      <c r="L84" s="4">
        <f t="shared" si="3"/>
        <v>1</v>
      </c>
      <c r="M84" s="16">
        <v>1</v>
      </c>
      <c r="N84" s="16">
        <v>1</v>
      </c>
      <c r="O84" s="4">
        <f t="shared" si="4"/>
        <v>0</v>
      </c>
      <c r="P84" s="4">
        <f t="shared" si="5"/>
        <v>0</v>
      </c>
      <c r="Q84" s="19">
        <v>247635015</v>
      </c>
      <c r="R84" s="19">
        <v>247635015</v>
      </c>
      <c r="S84" s="19">
        <v>28229648.25999999</v>
      </c>
      <c r="T84" s="19">
        <v>0</v>
      </c>
      <c r="U84" s="23">
        <v>1.128664347091622</v>
      </c>
      <c r="V84" s="26">
        <v>1</v>
      </c>
    </row>
    <row r="85" spans="1:22" x14ac:dyDescent="0.45">
      <c r="A85" s="5" t="s">
        <v>18</v>
      </c>
      <c r="B85" s="5" t="s">
        <v>28</v>
      </c>
      <c r="C85" s="5" t="s">
        <v>40</v>
      </c>
      <c r="D85" s="7">
        <v>232025819</v>
      </c>
      <c r="E85" s="9">
        <v>46006</v>
      </c>
      <c r="F85" s="10">
        <v>46022</v>
      </c>
      <c r="G85" s="6">
        <v>46022</v>
      </c>
      <c r="H85" s="13">
        <v>0.53</v>
      </c>
      <c r="I85" s="13">
        <v>0.47</v>
      </c>
      <c r="J85" s="13">
        <v>1</v>
      </c>
      <c r="K85" s="5">
        <v>2</v>
      </c>
      <c r="L85" s="4">
        <f t="shared" si="3"/>
        <v>0.5</v>
      </c>
      <c r="M85" s="16">
        <v>0.5</v>
      </c>
      <c r="N85" s="16">
        <v>0.45</v>
      </c>
      <c r="O85" s="4">
        <f t="shared" si="4"/>
        <v>-4.9999999999999989E-2</v>
      </c>
      <c r="P85" s="4">
        <f t="shared" si="5"/>
        <v>-9.9999999999999978E-2</v>
      </c>
      <c r="Q85" s="19">
        <v>104411618.55</v>
      </c>
      <c r="R85" s="19">
        <v>116012909.5</v>
      </c>
      <c r="S85" s="19">
        <v>-75901303.420000002</v>
      </c>
      <c r="T85" s="19">
        <v>-11601290.950000003</v>
      </c>
      <c r="U85" s="23">
        <v>0.57905788120593893</v>
      </c>
      <c r="V85" s="26">
        <v>0.9</v>
      </c>
    </row>
    <row r="86" spans="1:22" x14ac:dyDescent="0.45">
      <c r="A86" s="5" t="s">
        <v>18</v>
      </c>
      <c r="B86" s="5" t="s">
        <v>28</v>
      </c>
      <c r="C86" s="5" t="s">
        <v>40</v>
      </c>
      <c r="D86" s="7">
        <v>232025819</v>
      </c>
      <c r="E86" s="9">
        <v>46006</v>
      </c>
      <c r="F86" s="10">
        <v>46022</v>
      </c>
      <c r="G86" s="6">
        <v>46053</v>
      </c>
      <c r="H86" s="13">
        <v>0.53</v>
      </c>
      <c r="I86" s="13">
        <v>1.47</v>
      </c>
      <c r="J86" s="13">
        <v>2</v>
      </c>
      <c r="K86" s="5">
        <v>2</v>
      </c>
      <c r="L86" s="4">
        <f t="shared" si="3"/>
        <v>1</v>
      </c>
      <c r="M86" s="16">
        <v>1</v>
      </c>
      <c r="N86" s="16">
        <v>1</v>
      </c>
      <c r="O86" s="4">
        <f t="shared" si="4"/>
        <v>0</v>
      </c>
      <c r="P86" s="4">
        <f t="shared" si="5"/>
        <v>0</v>
      </c>
      <c r="Q86" s="19">
        <v>232025819</v>
      </c>
      <c r="R86" s="19">
        <v>232025819</v>
      </c>
      <c r="S86" s="19">
        <v>51712897.030000001</v>
      </c>
      <c r="T86" s="19">
        <v>0</v>
      </c>
      <c r="U86" s="23">
        <v>1.2867952915687533</v>
      </c>
      <c r="V86" s="26">
        <v>1</v>
      </c>
    </row>
    <row r="87" spans="1:22" x14ac:dyDescent="0.45">
      <c r="A87" s="5" t="s">
        <v>19</v>
      </c>
      <c r="B87" s="5" t="s">
        <v>25</v>
      </c>
      <c r="C87" s="5" t="s">
        <v>39</v>
      </c>
      <c r="D87" s="7">
        <v>273950155</v>
      </c>
      <c r="E87" s="9">
        <v>46023</v>
      </c>
      <c r="F87" s="10">
        <v>46387</v>
      </c>
      <c r="G87" s="6">
        <v>46053</v>
      </c>
      <c r="H87" s="13">
        <v>12</v>
      </c>
      <c r="I87" s="13">
        <v>-11</v>
      </c>
      <c r="J87" s="13">
        <v>1</v>
      </c>
      <c r="K87" s="5">
        <v>12</v>
      </c>
      <c r="L87" s="4">
        <f t="shared" si="3"/>
        <v>0.5</v>
      </c>
      <c r="M87" s="16">
        <v>0.1</v>
      </c>
      <c r="N87" s="16">
        <v>0.1</v>
      </c>
      <c r="O87" s="4">
        <f t="shared" si="4"/>
        <v>0</v>
      </c>
      <c r="P87" s="4">
        <f t="shared" si="5"/>
        <v>0</v>
      </c>
      <c r="Q87" s="19">
        <v>27395015.5</v>
      </c>
      <c r="R87" s="19">
        <v>27395015.5</v>
      </c>
      <c r="S87" s="19">
        <v>-132692418.5</v>
      </c>
      <c r="T87" s="19">
        <v>0</v>
      </c>
      <c r="U87" s="23">
        <v>0.17112533329755289</v>
      </c>
      <c r="V87" s="26">
        <v>1</v>
      </c>
    </row>
    <row r="88" spans="1:22" x14ac:dyDescent="0.45">
      <c r="A88" s="5" t="s">
        <v>19</v>
      </c>
      <c r="B88" s="5" t="s">
        <v>25</v>
      </c>
      <c r="C88" s="5" t="s">
        <v>39</v>
      </c>
      <c r="D88" s="7">
        <v>273950155</v>
      </c>
      <c r="E88" s="9">
        <v>46023</v>
      </c>
      <c r="F88" s="10">
        <v>46387</v>
      </c>
      <c r="G88" s="6">
        <v>46081</v>
      </c>
      <c r="H88" s="13">
        <v>12</v>
      </c>
      <c r="I88" s="13">
        <v>-10</v>
      </c>
      <c r="J88" s="13">
        <v>2</v>
      </c>
      <c r="K88" s="5">
        <v>12</v>
      </c>
      <c r="L88" s="4">
        <f t="shared" si="3"/>
        <v>1</v>
      </c>
      <c r="M88" s="16">
        <v>0.15</v>
      </c>
      <c r="N88" s="16">
        <v>0.5</v>
      </c>
      <c r="O88" s="4">
        <f t="shared" si="4"/>
        <v>0.35</v>
      </c>
      <c r="P88" s="4">
        <f t="shared" si="5"/>
        <v>2.3333333333333335</v>
      </c>
      <c r="Q88" s="19">
        <v>136975077.5</v>
      </c>
      <c r="R88" s="19">
        <v>41092523.25</v>
      </c>
      <c r="S88" s="19">
        <v>-23112356.5</v>
      </c>
      <c r="T88" s="19">
        <v>95882554.25</v>
      </c>
      <c r="U88" s="23">
        <v>0.85562666648776442</v>
      </c>
      <c r="V88" s="26">
        <v>3.3333333333333335</v>
      </c>
    </row>
    <row r="89" spans="1:22" x14ac:dyDescent="0.45">
      <c r="A89" s="5" t="s">
        <v>12</v>
      </c>
      <c r="B89" s="5" t="s">
        <v>27</v>
      </c>
      <c r="C89" s="5" t="s">
        <v>40</v>
      </c>
      <c r="D89" s="7">
        <v>484465444</v>
      </c>
      <c r="E89" s="9">
        <v>45965</v>
      </c>
      <c r="F89" s="10">
        <v>46695</v>
      </c>
      <c r="G89" s="6">
        <v>45991</v>
      </c>
      <c r="H89" s="13">
        <v>24</v>
      </c>
      <c r="I89" s="13">
        <v>-23</v>
      </c>
      <c r="J89" s="13">
        <v>1</v>
      </c>
      <c r="K89" s="5">
        <v>25</v>
      </c>
      <c r="L89" s="4">
        <f t="shared" si="3"/>
        <v>0.25</v>
      </c>
      <c r="M89" s="16">
        <v>0.05</v>
      </c>
      <c r="N89" s="16">
        <v>0.05</v>
      </c>
      <c r="O89" s="4">
        <f t="shared" si="4"/>
        <v>0</v>
      </c>
      <c r="P89" s="4">
        <f t="shared" si="5"/>
        <v>0</v>
      </c>
      <c r="Q89" s="19">
        <v>24223272.200000003</v>
      </c>
      <c r="R89" s="19">
        <v>24223272.200000003</v>
      </c>
      <c r="S89" s="19">
        <v>-335015160.47000003</v>
      </c>
      <c r="T89" s="19">
        <v>0</v>
      </c>
      <c r="U89" s="23">
        <v>6.7429511981675253E-2</v>
      </c>
      <c r="V89" s="26">
        <v>1</v>
      </c>
    </row>
    <row r="90" spans="1:22" x14ac:dyDescent="0.45">
      <c r="A90" s="5" t="s">
        <v>12</v>
      </c>
      <c r="B90" s="5" t="s">
        <v>27</v>
      </c>
      <c r="C90" s="5" t="s">
        <v>40</v>
      </c>
      <c r="D90" s="7">
        <v>484465444</v>
      </c>
      <c r="E90" s="9">
        <v>45965</v>
      </c>
      <c r="F90" s="10">
        <v>46695</v>
      </c>
      <c r="G90" s="6">
        <v>46022</v>
      </c>
      <c r="H90" s="13">
        <v>24</v>
      </c>
      <c r="I90" s="13">
        <v>-22</v>
      </c>
      <c r="J90" s="13">
        <v>2</v>
      </c>
      <c r="K90" s="5">
        <v>25</v>
      </c>
      <c r="L90" s="4">
        <f t="shared" si="3"/>
        <v>0.5</v>
      </c>
      <c r="M90" s="16">
        <v>0.1</v>
      </c>
      <c r="N90" s="16">
        <v>0.1</v>
      </c>
      <c r="O90" s="4">
        <f t="shared" si="4"/>
        <v>0</v>
      </c>
      <c r="P90" s="4">
        <f t="shared" si="5"/>
        <v>0</v>
      </c>
      <c r="Q90" s="19">
        <v>48446544.400000006</v>
      </c>
      <c r="R90" s="19">
        <v>48446544.400000006</v>
      </c>
      <c r="S90" s="19">
        <v>-325110538.47000003</v>
      </c>
      <c r="T90" s="19">
        <v>0</v>
      </c>
      <c r="U90" s="23">
        <v>0.12968980276800074</v>
      </c>
      <c r="V90" s="26">
        <v>1</v>
      </c>
    </row>
    <row r="91" spans="1:22" x14ac:dyDescent="0.45">
      <c r="A91" s="5" t="s">
        <v>12</v>
      </c>
      <c r="B91" s="5" t="s">
        <v>27</v>
      </c>
      <c r="C91" s="5" t="s">
        <v>40</v>
      </c>
      <c r="D91" s="7">
        <v>484465444</v>
      </c>
      <c r="E91" s="9">
        <v>45965</v>
      </c>
      <c r="F91" s="10">
        <v>46695</v>
      </c>
      <c r="G91" s="6">
        <v>46053</v>
      </c>
      <c r="H91" s="13">
        <v>24</v>
      </c>
      <c r="I91" s="13">
        <v>-21</v>
      </c>
      <c r="J91" s="13">
        <v>3</v>
      </c>
      <c r="K91" s="5">
        <v>25</v>
      </c>
      <c r="L91" s="4">
        <f t="shared" si="3"/>
        <v>0.75</v>
      </c>
      <c r="M91" s="16">
        <v>0.15</v>
      </c>
      <c r="N91" s="16">
        <v>0.15</v>
      </c>
      <c r="O91" s="4">
        <f t="shared" si="4"/>
        <v>0</v>
      </c>
      <c r="P91" s="4">
        <f t="shared" si="5"/>
        <v>0</v>
      </c>
      <c r="Q91" s="19">
        <v>72669816.599999994</v>
      </c>
      <c r="R91" s="19">
        <v>72669816.599999994</v>
      </c>
      <c r="S91" s="19">
        <v>-300887266.26999998</v>
      </c>
      <c r="T91" s="19">
        <v>0</v>
      </c>
      <c r="U91" s="23">
        <v>0.19453470415200105</v>
      </c>
      <c r="V91" s="26">
        <v>1</v>
      </c>
    </row>
    <row r="92" spans="1:22" x14ac:dyDescent="0.45">
      <c r="A92" s="5" t="s">
        <v>12</v>
      </c>
      <c r="B92" s="5" t="s">
        <v>27</v>
      </c>
      <c r="C92" s="5" t="s">
        <v>40</v>
      </c>
      <c r="D92" s="7">
        <v>484465444</v>
      </c>
      <c r="E92" s="9">
        <v>45965</v>
      </c>
      <c r="F92" s="10">
        <v>46695</v>
      </c>
      <c r="G92" s="6">
        <v>46081</v>
      </c>
      <c r="H92" s="13">
        <v>24</v>
      </c>
      <c r="I92" s="13">
        <v>-20</v>
      </c>
      <c r="J92" s="13">
        <v>4</v>
      </c>
      <c r="K92" s="5">
        <v>25</v>
      </c>
      <c r="L92" s="4">
        <f t="shared" si="3"/>
        <v>1</v>
      </c>
      <c r="M92" s="16">
        <v>0.2</v>
      </c>
      <c r="N92" s="16">
        <v>0.21</v>
      </c>
      <c r="O92" s="4">
        <f t="shared" si="4"/>
        <v>9.9999999999999811E-3</v>
      </c>
      <c r="P92" s="4">
        <f t="shared" si="5"/>
        <v>4.9999999999999906E-2</v>
      </c>
      <c r="Q92" s="19">
        <v>101737743.23999999</v>
      </c>
      <c r="R92" s="19">
        <v>96893088.800000012</v>
      </c>
      <c r="S92" s="19">
        <v>-271819339.63</v>
      </c>
      <c r="T92" s="19">
        <v>4844654.4399999827</v>
      </c>
      <c r="U92" s="23">
        <v>0.27234858581280147</v>
      </c>
      <c r="V92" s="26">
        <v>1.0499999999999998</v>
      </c>
    </row>
    <row r="93" spans="1:22" x14ac:dyDescent="0.45">
      <c r="A93" s="5" t="s">
        <v>64</v>
      </c>
      <c r="B93" s="5" t="s">
        <v>28</v>
      </c>
      <c r="C93" s="5" t="s">
        <v>40</v>
      </c>
      <c r="D93" s="7">
        <v>3013668998</v>
      </c>
      <c r="E93" s="9">
        <v>46006</v>
      </c>
      <c r="F93" s="10">
        <v>46766</v>
      </c>
      <c r="G93" s="6">
        <v>46022</v>
      </c>
      <c r="H93" s="13">
        <v>24.97</v>
      </c>
      <c r="I93" s="13">
        <v>-23.97</v>
      </c>
      <c r="J93" s="13">
        <v>1</v>
      </c>
      <c r="K93" s="5">
        <v>25</v>
      </c>
      <c r="L93" s="4">
        <f t="shared" si="3"/>
        <v>0.33333333333333331</v>
      </c>
      <c r="M93" s="16">
        <v>0.05</v>
      </c>
      <c r="N93" s="16">
        <v>0.05</v>
      </c>
      <c r="O93" s="4">
        <f t="shared" si="4"/>
        <v>0</v>
      </c>
      <c r="P93" s="4">
        <f t="shared" si="5"/>
        <v>0</v>
      </c>
      <c r="Q93" s="19">
        <v>150683449.90000001</v>
      </c>
      <c r="R93" s="19">
        <v>150683449.90000001</v>
      </c>
      <c r="S93" s="19">
        <v>17043474.430000007</v>
      </c>
      <c r="T93" s="19">
        <v>0</v>
      </c>
      <c r="U93" s="23">
        <v>1.127532756348238</v>
      </c>
      <c r="V93" s="26">
        <v>1</v>
      </c>
    </row>
    <row r="94" spans="1:22" x14ac:dyDescent="0.45">
      <c r="A94" s="5" t="s">
        <v>64</v>
      </c>
      <c r="B94" s="5" t="s">
        <v>28</v>
      </c>
      <c r="C94" s="5" t="s">
        <v>40</v>
      </c>
      <c r="D94" s="7">
        <v>3013668998</v>
      </c>
      <c r="E94" s="9">
        <v>46006</v>
      </c>
      <c r="F94" s="10">
        <v>46766</v>
      </c>
      <c r="G94" s="6">
        <v>46053</v>
      </c>
      <c r="H94" s="13">
        <v>24.97</v>
      </c>
      <c r="I94" s="13">
        <v>-21.97</v>
      </c>
      <c r="J94" s="13">
        <v>3</v>
      </c>
      <c r="K94" s="5">
        <v>25</v>
      </c>
      <c r="L94" s="4">
        <f t="shared" si="3"/>
        <v>1</v>
      </c>
      <c r="M94" s="16">
        <v>0.1</v>
      </c>
      <c r="N94" s="16">
        <v>0.1</v>
      </c>
      <c r="O94" s="4">
        <f t="shared" si="4"/>
        <v>0</v>
      </c>
      <c r="P94" s="4">
        <f t="shared" si="5"/>
        <v>0</v>
      </c>
      <c r="Q94" s="19">
        <v>301366899.80000001</v>
      </c>
      <c r="R94" s="19">
        <v>301366899.80000001</v>
      </c>
      <c r="S94" s="19">
        <v>167726924.33000001</v>
      </c>
      <c r="T94" s="19">
        <v>0</v>
      </c>
      <c r="U94" s="23">
        <v>2.255065512696476</v>
      </c>
      <c r="V94" s="26">
        <v>1</v>
      </c>
    </row>
    <row r="95" spans="1:22" x14ac:dyDescent="0.45">
      <c r="A95" s="5" t="s">
        <v>64</v>
      </c>
      <c r="B95" s="5" t="s">
        <v>28</v>
      </c>
      <c r="C95" s="5" t="s">
        <v>40</v>
      </c>
      <c r="D95" s="7">
        <v>3013668998</v>
      </c>
      <c r="E95" s="9">
        <v>46006</v>
      </c>
      <c r="F95" s="10">
        <v>46766</v>
      </c>
      <c r="G95" s="6">
        <v>46081</v>
      </c>
      <c r="H95" s="13">
        <v>24.97</v>
      </c>
      <c r="I95" s="13">
        <v>-21.97</v>
      </c>
      <c r="J95" s="13">
        <v>3</v>
      </c>
      <c r="K95" s="5">
        <v>25</v>
      </c>
      <c r="L95" s="4">
        <f t="shared" si="3"/>
        <v>1</v>
      </c>
      <c r="M95" s="16">
        <v>0.15</v>
      </c>
      <c r="N95" s="16">
        <v>0.15</v>
      </c>
      <c r="O95" s="4">
        <f t="shared" si="4"/>
        <v>0</v>
      </c>
      <c r="P95" s="4">
        <f t="shared" si="5"/>
        <v>0</v>
      </c>
      <c r="Q95" s="19">
        <v>452050349.69999999</v>
      </c>
      <c r="R95" s="19">
        <v>452050349.69999999</v>
      </c>
      <c r="S95" s="19">
        <v>318410374.23000002</v>
      </c>
      <c r="T95" s="19">
        <v>0</v>
      </c>
      <c r="U95" s="23">
        <v>3.3825982690447138</v>
      </c>
      <c r="V95" s="26">
        <v>1</v>
      </c>
    </row>
    <row r="96" spans="1:22" x14ac:dyDescent="0.45">
      <c r="A96" s="5" t="s">
        <v>13</v>
      </c>
      <c r="B96" s="5" t="s">
        <v>24</v>
      </c>
      <c r="C96" s="5" t="s">
        <v>39</v>
      </c>
      <c r="D96" s="7">
        <v>1965212706</v>
      </c>
      <c r="E96" s="9">
        <v>45971</v>
      </c>
      <c r="F96" s="10">
        <v>46022</v>
      </c>
      <c r="G96" s="6">
        <v>45991</v>
      </c>
      <c r="H96" s="13">
        <v>1.7</v>
      </c>
      <c r="I96" s="13">
        <v>-0.7</v>
      </c>
      <c r="J96" s="13">
        <v>1</v>
      </c>
      <c r="K96" s="5">
        <v>2</v>
      </c>
      <c r="L96" s="4">
        <f t="shared" si="3"/>
        <v>0.25</v>
      </c>
      <c r="M96" s="16">
        <v>0.5</v>
      </c>
      <c r="N96" s="16">
        <v>0.5</v>
      </c>
      <c r="O96" s="4">
        <f t="shared" si="4"/>
        <v>0</v>
      </c>
      <c r="P96" s="4">
        <f t="shared" si="5"/>
        <v>0</v>
      </c>
      <c r="Q96" s="19">
        <v>982606353</v>
      </c>
      <c r="R96" s="19">
        <v>982606353</v>
      </c>
      <c r="S96" s="19">
        <v>982606353</v>
      </c>
      <c r="T96" s="19">
        <v>0</v>
      </c>
      <c r="U96" s="24">
        <v>1</v>
      </c>
      <c r="V96" s="26">
        <v>1</v>
      </c>
    </row>
    <row r="97" spans="1:22" x14ac:dyDescent="0.45">
      <c r="A97" s="5" t="s">
        <v>13</v>
      </c>
      <c r="B97" s="5" t="s">
        <v>24</v>
      </c>
      <c r="C97" s="5" t="s">
        <v>39</v>
      </c>
      <c r="D97" s="7">
        <v>1965212706</v>
      </c>
      <c r="E97" s="9">
        <v>45971</v>
      </c>
      <c r="F97" s="10">
        <v>46022</v>
      </c>
      <c r="G97" s="6">
        <v>46022</v>
      </c>
      <c r="H97" s="13">
        <v>1.7</v>
      </c>
      <c r="I97" s="13">
        <v>0.30000000000000004</v>
      </c>
      <c r="J97" s="13">
        <v>2</v>
      </c>
      <c r="K97" s="5">
        <v>2</v>
      </c>
      <c r="L97" s="4">
        <f t="shared" si="3"/>
        <v>0.5</v>
      </c>
      <c r="M97" s="16">
        <v>1</v>
      </c>
      <c r="N97" s="16">
        <v>0.75</v>
      </c>
      <c r="O97" s="4">
        <f t="shared" si="4"/>
        <v>-0.25</v>
      </c>
      <c r="P97" s="4">
        <f t="shared" si="5"/>
        <v>-0.25</v>
      </c>
      <c r="Q97" s="19">
        <v>1473909529.5</v>
      </c>
      <c r="R97" s="19">
        <v>1965212706</v>
      </c>
      <c r="S97" s="19">
        <v>1473909529.5</v>
      </c>
      <c r="T97" s="19">
        <v>-491303176.5</v>
      </c>
      <c r="U97" s="24">
        <v>1</v>
      </c>
      <c r="V97" s="26">
        <v>0.75</v>
      </c>
    </row>
    <row r="98" spans="1:22" x14ac:dyDescent="0.45">
      <c r="A98" s="5" t="s">
        <v>13</v>
      </c>
      <c r="B98" s="5" t="s">
        <v>24</v>
      </c>
      <c r="C98" s="5" t="s">
        <v>39</v>
      </c>
      <c r="D98" s="7">
        <v>1965212706</v>
      </c>
      <c r="E98" s="9">
        <v>45971</v>
      </c>
      <c r="F98" s="10">
        <v>46022</v>
      </c>
      <c r="G98" s="6">
        <v>46053</v>
      </c>
      <c r="H98" s="13">
        <v>1.7</v>
      </c>
      <c r="I98" s="13">
        <v>2.2999999999999998</v>
      </c>
      <c r="J98" s="13">
        <v>4</v>
      </c>
      <c r="K98" s="5">
        <v>2</v>
      </c>
      <c r="L98" s="4">
        <f t="shared" si="3"/>
        <v>1</v>
      </c>
      <c r="M98" s="16">
        <v>1</v>
      </c>
      <c r="N98" s="16">
        <v>1</v>
      </c>
      <c r="O98" s="4">
        <f t="shared" si="4"/>
        <v>0</v>
      </c>
      <c r="P98" s="4">
        <f t="shared" si="5"/>
        <v>0</v>
      </c>
      <c r="Q98" s="19">
        <v>1965212706</v>
      </c>
      <c r="R98" s="19">
        <v>1965212706</v>
      </c>
      <c r="S98" s="19">
        <v>212991807.9000001</v>
      </c>
      <c r="T98" s="19">
        <v>0</v>
      </c>
      <c r="U98" s="23">
        <v>1.1215553405001364</v>
      </c>
      <c r="V98" s="26">
        <v>1</v>
      </c>
    </row>
    <row r="99" spans="1:22" x14ac:dyDescent="0.45">
      <c r="A99" s="5" t="s">
        <v>16</v>
      </c>
      <c r="B99" s="5" t="s">
        <v>25</v>
      </c>
      <c r="C99" s="5" t="s">
        <v>39</v>
      </c>
      <c r="D99" s="7">
        <v>164669199</v>
      </c>
      <c r="E99" s="9">
        <v>45992</v>
      </c>
      <c r="F99" s="10">
        <v>46233</v>
      </c>
      <c r="G99" s="6">
        <v>46022</v>
      </c>
      <c r="H99" s="13">
        <v>7.97</v>
      </c>
      <c r="I99" s="13">
        <v>-6.97</v>
      </c>
      <c r="J99" s="13">
        <v>1</v>
      </c>
      <c r="K99" s="5">
        <v>8</v>
      </c>
      <c r="L99" s="4">
        <f t="shared" si="3"/>
        <v>0.33333333333333331</v>
      </c>
      <c r="M99" s="16">
        <v>0.1</v>
      </c>
      <c r="N99" s="16">
        <v>0.1</v>
      </c>
      <c r="O99" s="4">
        <f t="shared" si="4"/>
        <v>0</v>
      </c>
      <c r="P99" s="4">
        <f t="shared" si="5"/>
        <v>0</v>
      </c>
      <c r="Q99" s="19">
        <v>16466919.9</v>
      </c>
      <c r="R99" s="19">
        <v>16466919.9</v>
      </c>
      <c r="S99" s="19">
        <v>16466919.9</v>
      </c>
      <c r="T99" s="19">
        <v>0</v>
      </c>
      <c r="U99" s="24">
        <v>1</v>
      </c>
      <c r="V99" s="26">
        <v>1</v>
      </c>
    </row>
    <row r="100" spans="1:22" x14ac:dyDescent="0.45">
      <c r="A100" s="5" t="s">
        <v>16</v>
      </c>
      <c r="B100" s="5" t="s">
        <v>25</v>
      </c>
      <c r="C100" s="5" t="s">
        <v>39</v>
      </c>
      <c r="D100" s="7">
        <v>164669199</v>
      </c>
      <c r="E100" s="9">
        <v>45992</v>
      </c>
      <c r="F100" s="10">
        <v>46233</v>
      </c>
      <c r="G100" s="6">
        <v>46053</v>
      </c>
      <c r="H100" s="13">
        <v>7.97</v>
      </c>
      <c r="I100" s="13">
        <v>-5.97</v>
      </c>
      <c r="J100" s="13">
        <v>2</v>
      </c>
      <c r="K100" s="5">
        <v>8</v>
      </c>
      <c r="L100" s="4">
        <f t="shared" si="3"/>
        <v>0.66666666666666663</v>
      </c>
      <c r="M100" s="16">
        <v>0.2</v>
      </c>
      <c r="N100" s="16">
        <v>0.2</v>
      </c>
      <c r="O100" s="4">
        <f t="shared" si="4"/>
        <v>0</v>
      </c>
      <c r="P100" s="4">
        <f t="shared" si="5"/>
        <v>0</v>
      </c>
      <c r="Q100" s="19">
        <v>32933839.800000001</v>
      </c>
      <c r="R100" s="19">
        <v>32933839.800000001</v>
      </c>
      <c r="S100" s="19">
        <v>28548193.800000001</v>
      </c>
      <c r="T100" s="19">
        <v>0</v>
      </c>
      <c r="U100" s="23">
        <v>7.5094615023647604</v>
      </c>
      <c r="V100" s="26">
        <v>1</v>
      </c>
    </row>
    <row r="101" spans="1:22" x14ac:dyDescent="0.45">
      <c r="A101" s="5" t="s">
        <v>16</v>
      </c>
      <c r="B101" s="5" t="s">
        <v>25</v>
      </c>
      <c r="C101" s="5" t="s">
        <v>39</v>
      </c>
      <c r="D101" s="7">
        <v>164669199</v>
      </c>
      <c r="E101" s="9">
        <v>45992</v>
      </c>
      <c r="F101" s="10">
        <v>46233</v>
      </c>
      <c r="G101" s="6">
        <v>46081</v>
      </c>
      <c r="H101" s="13">
        <v>7.97</v>
      </c>
      <c r="I101" s="13">
        <v>-4.97</v>
      </c>
      <c r="J101" s="13">
        <v>3</v>
      </c>
      <c r="K101" s="5">
        <v>8</v>
      </c>
      <c r="L101" s="4">
        <f t="shared" si="3"/>
        <v>1</v>
      </c>
      <c r="M101" s="16">
        <v>0.3</v>
      </c>
      <c r="N101" s="16">
        <v>0.32</v>
      </c>
      <c r="O101" s="4">
        <f t="shared" si="4"/>
        <v>2.0000000000000018E-2</v>
      </c>
      <c r="P101" s="4">
        <f t="shared" si="5"/>
        <v>6.6666666666666735E-2</v>
      </c>
      <c r="Q101" s="19">
        <v>52694143.68</v>
      </c>
      <c r="R101" s="19">
        <v>49400759.699999996</v>
      </c>
      <c r="S101" s="19">
        <v>46002526.68</v>
      </c>
      <c r="T101" s="19">
        <v>3293383.9800000042</v>
      </c>
      <c r="U101" s="23">
        <v>7.8746502795960973</v>
      </c>
      <c r="V101" s="26">
        <v>1.0666666666666667</v>
      </c>
    </row>
    <row r="102" spans="1:22" x14ac:dyDescent="0.45">
      <c r="A102" s="5" t="s">
        <v>22</v>
      </c>
      <c r="B102" s="5" t="s">
        <v>27</v>
      </c>
      <c r="C102" s="5" t="s">
        <v>39</v>
      </c>
      <c r="D102" s="7">
        <v>1203158624</v>
      </c>
      <c r="E102" s="9">
        <v>46054</v>
      </c>
      <c r="F102" s="10">
        <v>46112</v>
      </c>
      <c r="G102" s="6">
        <v>46081</v>
      </c>
      <c r="H102" s="13">
        <v>2</v>
      </c>
      <c r="I102" s="13">
        <v>-1</v>
      </c>
      <c r="J102" s="13">
        <v>1</v>
      </c>
      <c r="K102" s="5">
        <v>2</v>
      </c>
      <c r="L102" s="4">
        <f t="shared" si="3"/>
        <v>1</v>
      </c>
      <c r="M102" s="16">
        <v>0.5</v>
      </c>
      <c r="N102" s="16">
        <v>0.5</v>
      </c>
      <c r="O102" s="4">
        <f t="shared" si="4"/>
        <v>0</v>
      </c>
      <c r="P102" s="4">
        <f t="shared" si="5"/>
        <v>0</v>
      </c>
      <c r="Q102" s="19">
        <v>601579312</v>
      </c>
      <c r="R102" s="19">
        <v>601579312</v>
      </c>
      <c r="S102" s="19">
        <v>-177057474.94999993</v>
      </c>
      <c r="T102" s="19">
        <v>0</v>
      </c>
      <c r="U102" s="23">
        <v>0.77260581837707387</v>
      </c>
      <c r="V102" s="26">
        <v>1</v>
      </c>
    </row>
    <row r="103" spans="1:22" x14ac:dyDescent="0.45">
      <c r="A103" s="5" t="s">
        <v>21</v>
      </c>
      <c r="B103" s="5" t="s">
        <v>25</v>
      </c>
      <c r="C103" s="5" t="s">
        <v>41</v>
      </c>
      <c r="D103" s="7">
        <v>950366338</v>
      </c>
      <c r="E103" s="9">
        <v>46045</v>
      </c>
      <c r="F103" s="10">
        <v>46591</v>
      </c>
      <c r="G103" s="6">
        <v>46053</v>
      </c>
      <c r="H103" s="13">
        <v>18</v>
      </c>
      <c r="I103" s="13">
        <v>-17</v>
      </c>
      <c r="J103" s="13">
        <v>1</v>
      </c>
      <c r="K103" s="5">
        <v>18</v>
      </c>
      <c r="L103" s="4">
        <f t="shared" si="3"/>
        <v>0.5</v>
      </c>
      <c r="M103" s="16">
        <v>0.1</v>
      </c>
      <c r="N103" s="16">
        <v>0.1</v>
      </c>
      <c r="O103" s="4">
        <f t="shared" si="4"/>
        <v>0</v>
      </c>
      <c r="P103" s="4">
        <f t="shared" si="5"/>
        <v>0</v>
      </c>
      <c r="Q103" s="19">
        <v>95036633.800000012</v>
      </c>
      <c r="R103" s="19">
        <v>95036633.800000012</v>
      </c>
      <c r="S103" s="19">
        <v>95036633.800000012</v>
      </c>
      <c r="T103" s="19">
        <v>0</v>
      </c>
      <c r="U103" s="24">
        <v>1</v>
      </c>
      <c r="V103" s="26">
        <v>1</v>
      </c>
    </row>
    <row r="104" spans="1:22" x14ac:dyDescent="0.45">
      <c r="A104" s="5" t="s">
        <v>21</v>
      </c>
      <c r="B104" s="5" t="s">
        <v>25</v>
      </c>
      <c r="C104" s="5" t="s">
        <v>41</v>
      </c>
      <c r="D104" s="7">
        <v>950366338</v>
      </c>
      <c r="E104" s="9">
        <v>46045</v>
      </c>
      <c r="F104" s="10">
        <v>46591</v>
      </c>
      <c r="G104" s="6">
        <v>46081</v>
      </c>
      <c r="H104" s="13">
        <v>18</v>
      </c>
      <c r="I104" s="13">
        <v>-16</v>
      </c>
      <c r="J104" s="13">
        <v>2</v>
      </c>
      <c r="K104" s="5">
        <v>18</v>
      </c>
      <c r="L104" s="4">
        <f t="shared" si="3"/>
        <v>1</v>
      </c>
      <c r="M104" s="16">
        <v>0.15</v>
      </c>
      <c r="N104" s="16">
        <v>0.15</v>
      </c>
      <c r="O104" s="4">
        <f t="shared" si="4"/>
        <v>0</v>
      </c>
      <c r="P104" s="4">
        <f t="shared" si="5"/>
        <v>0</v>
      </c>
      <c r="Q104" s="19">
        <v>142554950.69999999</v>
      </c>
      <c r="R104" s="19">
        <v>142554950.69999999</v>
      </c>
      <c r="S104" s="19">
        <v>142554950.69999999</v>
      </c>
      <c r="T104" s="19">
        <v>0</v>
      </c>
      <c r="U104" s="24">
        <v>1</v>
      </c>
      <c r="V104" s="26">
        <v>1</v>
      </c>
    </row>
    <row r="105" spans="1:22" x14ac:dyDescent="0.45">
      <c r="A105" s="5" t="s">
        <v>65</v>
      </c>
      <c r="B105" s="6" t="s">
        <v>68</v>
      </c>
      <c r="C105" s="6" t="s">
        <v>39</v>
      </c>
      <c r="D105" s="8">
        <v>315533593</v>
      </c>
      <c r="E105" s="11">
        <v>45976</v>
      </c>
      <c r="F105" s="12">
        <v>46387</v>
      </c>
      <c r="G105" s="6">
        <v>45991</v>
      </c>
      <c r="H105" s="14">
        <v>13.53</v>
      </c>
      <c r="I105" s="14">
        <v>-12.53</v>
      </c>
      <c r="J105" s="14">
        <v>1</v>
      </c>
      <c r="K105" s="15">
        <v>14</v>
      </c>
      <c r="L105" s="4">
        <f t="shared" si="3"/>
        <v>0.25</v>
      </c>
      <c r="M105" s="17">
        <v>0.05</v>
      </c>
      <c r="N105" s="17">
        <v>0.02</v>
      </c>
      <c r="O105" s="4">
        <f t="shared" si="4"/>
        <v>-3.0000000000000002E-2</v>
      </c>
      <c r="P105" s="4">
        <f t="shared" si="5"/>
        <v>-0.6</v>
      </c>
      <c r="Q105" s="21">
        <v>6310671.8600000003</v>
      </c>
      <c r="R105" s="22">
        <v>15776679.65</v>
      </c>
      <c r="S105" s="21">
        <v>6310671.8600000003</v>
      </c>
      <c r="T105" s="21">
        <v>-9466007.7899999991</v>
      </c>
      <c r="U105" s="24">
        <v>1</v>
      </c>
      <c r="V105" s="27">
        <v>0.4</v>
      </c>
    </row>
    <row r="106" spans="1:22" x14ac:dyDescent="0.45">
      <c r="A106" s="5" t="s">
        <v>65</v>
      </c>
      <c r="B106" s="6" t="s">
        <v>68</v>
      </c>
      <c r="C106" s="6" t="s">
        <v>39</v>
      </c>
      <c r="D106" s="8">
        <v>315533593</v>
      </c>
      <c r="E106" s="11">
        <v>45976</v>
      </c>
      <c r="F106" s="12">
        <v>46387</v>
      </c>
      <c r="G106" s="6">
        <v>46022</v>
      </c>
      <c r="H106" s="14">
        <v>13.53</v>
      </c>
      <c r="I106" s="14">
        <v>-11.53</v>
      </c>
      <c r="J106" s="14">
        <v>2</v>
      </c>
      <c r="K106" s="15">
        <v>14</v>
      </c>
      <c r="L106" s="4">
        <f t="shared" si="3"/>
        <v>0.5</v>
      </c>
      <c r="M106" s="17">
        <v>0.1</v>
      </c>
      <c r="N106" s="17">
        <v>0.03</v>
      </c>
      <c r="O106" s="4">
        <f t="shared" si="4"/>
        <v>-7.0000000000000007E-2</v>
      </c>
      <c r="P106" s="4">
        <f t="shared" si="5"/>
        <v>-0.70000000000000007</v>
      </c>
      <c r="Q106" s="21">
        <v>9466007.7899999991</v>
      </c>
      <c r="R106" s="21">
        <v>31553359.300000001</v>
      </c>
      <c r="S106" s="21">
        <v>9466007.7899999991</v>
      </c>
      <c r="T106" s="21">
        <v>-22087351.510000002</v>
      </c>
      <c r="U106" s="24">
        <v>1</v>
      </c>
      <c r="V106" s="27">
        <v>0.3</v>
      </c>
    </row>
    <row r="107" spans="1:22" x14ac:dyDescent="0.45">
      <c r="A107" s="5" t="s">
        <v>65</v>
      </c>
      <c r="B107" s="6" t="s">
        <v>68</v>
      </c>
      <c r="C107" s="6" t="s">
        <v>39</v>
      </c>
      <c r="D107" s="8">
        <v>315533593</v>
      </c>
      <c r="E107" s="11">
        <v>45976</v>
      </c>
      <c r="F107" s="12">
        <v>46387</v>
      </c>
      <c r="G107" s="6">
        <v>45688</v>
      </c>
      <c r="H107" s="14">
        <v>13.53</v>
      </c>
      <c r="I107" s="14">
        <v>-10.53</v>
      </c>
      <c r="J107" s="14">
        <v>3</v>
      </c>
      <c r="K107" s="15">
        <v>14</v>
      </c>
      <c r="L107" s="4">
        <f t="shared" si="3"/>
        <v>0.75</v>
      </c>
      <c r="M107" s="17">
        <v>0.15</v>
      </c>
      <c r="N107" s="17">
        <v>0.1</v>
      </c>
      <c r="O107" s="4">
        <f t="shared" si="4"/>
        <v>-4.9999999999999989E-2</v>
      </c>
      <c r="P107" s="4">
        <f t="shared" si="5"/>
        <v>-0.33333333333333326</v>
      </c>
      <c r="Q107" s="21">
        <v>31553359.300000001</v>
      </c>
      <c r="R107" s="21">
        <v>47330038.949999996</v>
      </c>
      <c r="S107" s="21">
        <v>31553359.300000001</v>
      </c>
      <c r="T107" s="21">
        <v>-15776679.649999995</v>
      </c>
      <c r="U107" s="24">
        <v>1</v>
      </c>
      <c r="V107" s="27">
        <v>0.66666666666666674</v>
      </c>
    </row>
    <row r="108" spans="1:22" x14ac:dyDescent="0.45">
      <c r="A108" s="5" t="s">
        <v>65</v>
      </c>
      <c r="B108" s="6" t="s">
        <v>68</v>
      </c>
      <c r="C108" s="6" t="s">
        <v>39</v>
      </c>
      <c r="D108" s="8">
        <v>315533593</v>
      </c>
      <c r="E108" s="11">
        <v>45976</v>
      </c>
      <c r="F108" s="12">
        <v>46387</v>
      </c>
      <c r="G108" s="6">
        <v>45716</v>
      </c>
      <c r="H108" s="14">
        <v>13.53</v>
      </c>
      <c r="I108" s="14">
        <v>-9.5299999999999994</v>
      </c>
      <c r="J108" s="14">
        <v>4</v>
      </c>
      <c r="K108" s="15">
        <v>14</v>
      </c>
      <c r="L108" s="4">
        <f t="shared" si="3"/>
        <v>1</v>
      </c>
      <c r="M108" s="17">
        <v>0.6</v>
      </c>
      <c r="N108" s="17">
        <v>0.65</v>
      </c>
      <c r="O108" s="4">
        <f t="shared" si="4"/>
        <v>5.0000000000000044E-2</v>
      </c>
      <c r="P108" s="4">
        <f t="shared" si="5"/>
        <v>8.3333333333333412E-2</v>
      </c>
      <c r="Q108" s="21">
        <v>205096835.45000002</v>
      </c>
      <c r="R108" s="21">
        <v>189320155.79999998</v>
      </c>
      <c r="S108" s="21">
        <v>-35794162.539999992</v>
      </c>
      <c r="T108" s="21">
        <v>15776679.650000036</v>
      </c>
      <c r="U108" s="25">
        <v>0.85140929782072683</v>
      </c>
      <c r="V108" s="27">
        <v>1.0833333333333335</v>
      </c>
    </row>
  </sheetData>
  <autoFilter ref="A1:V1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B12E-8487-4CC0-8210-7C3556ED403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Ontibon</dc:creator>
  <cp:lastModifiedBy>Yuri Ontibon</cp:lastModifiedBy>
  <dcterms:created xsi:type="dcterms:W3CDTF">2015-06-05T18:19:34Z</dcterms:created>
  <dcterms:modified xsi:type="dcterms:W3CDTF">2026-03-31T15:08:27Z</dcterms:modified>
</cp:coreProperties>
</file>