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gile\Documents\yontibon\ACM Consulting\Proyectos\Growdata\Nivel 5\Datos\CMMI_Yuri\PPBsPPMs\Proyectos\Análisis 2\"/>
    </mc:Choice>
  </mc:AlternateContent>
  <xr:revisionPtr revIDLastSave="0" documentId="13_ncr:1_{98F760F0-B1F8-400C-8DF0-B4577CFFE1FB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Hoja1!$A$1:$Q$1</definedName>
    <definedName name="_xlnm.Extract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K2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tc={83923610-40E7-4090-B410-5A9EBECECC69}</author>
    <author>tc={0D2E8984-5A92-4C81-ADCA-79240077A043}</author>
  </authors>
  <commentList>
    <comment ref="N1" authorId="0" shapeId="0" xr:uid="{83923610-40E7-4090-B410-5A9EBECECC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Mide la diferencia entre el valor del trabajo completado (EV) y el costo real incurrido (AC). Indica si hay ahorro o sobrecosto.</t>
      </text>
    </comment>
    <comment ref="P1" authorId="1" shapeId="0" xr:uid="{0D2E8984-5A92-4C81-ADCA-79240077A0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Evalúa la eficiencia del uso del presupuesto. Indica cuánto valor se obtiene por cada unidad monetaria gastada.</t>
      </text>
    </comment>
  </commentList>
</comments>
</file>

<file path=xl/sharedStrings.xml><?xml version="1.0" encoding="utf-8"?>
<sst xmlns="http://schemas.openxmlformats.org/spreadsheetml/2006/main" count="51" uniqueCount="31">
  <si>
    <t>ProjectId</t>
  </si>
  <si>
    <t>ProjectOwnerName</t>
  </si>
  <si>
    <t>Mario Andres Pirachican Gil</t>
  </si>
  <si>
    <t>Presupuesto</t>
  </si>
  <si>
    <t>Inicio</t>
  </si>
  <si>
    <t>Fin</t>
  </si>
  <si>
    <t>% Planeado</t>
  </si>
  <si>
    <t>Completado Real</t>
  </si>
  <si>
    <t>EV (Earned Value)</t>
  </si>
  <si>
    <t>PV (Planned Value)</t>
  </si>
  <si>
    <t>SV (Schedule Variance)</t>
  </si>
  <si>
    <t>SPI (Schedule Performance Index)</t>
  </si>
  <si>
    <t>Fecha Análisis</t>
  </si>
  <si>
    <t>Variación Relativa Avance</t>
  </si>
  <si>
    <t>CV (Cost Variance)</t>
  </si>
  <si>
    <t>CPI (Cost Performance Index)</t>
  </si>
  <si>
    <t>Johan Sebastian Rodriguez Niño</t>
  </si>
  <si>
    <t>Lida Milena Rodriguez</t>
  </si>
  <si>
    <t>Leidy Susana Ramirez Herrera</t>
  </si>
  <si>
    <t>Diego Armando Giraldo Pachecho</t>
  </si>
  <si>
    <t>Carlos Alberto Osorio Ortiz</t>
  </si>
  <si>
    <t>Rodrigo Alexander Ramirez Ospina</t>
  </si>
  <si>
    <t>Marlon Fabian Moreno Buitrago</t>
  </si>
  <si>
    <t>Janeth Annelise Araujo Ramos</t>
  </si>
  <si>
    <t>Luis Gabriel Rojas Angarita</t>
  </si>
  <si>
    <t>Liliana Isabel Paba Alvear</t>
  </si>
  <si>
    <t>Laura Johanna Jaramillo Soto</t>
  </si>
  <si>
    <t>Carlos Fernando Gomez Rodriguez</t>
  </si>
  <si>
    <t>Guiovanni Andres Serrano Serna</t>
  </si>
  <si>
    <t>Variación Alcance</t>
  </si>
  <si>
    <t>Duración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</si>
</sst>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;[Red]\-&quot;$&quot;\ #,##0"/>
    <numFmt numFmtId="165" formatCode="_-&quot;$&quot;\ * #,##0.00_-;\-&quot;$&quot;\ * #,##0.00_-;_-&quot;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1"/>
      <name val="Calibri"/>
      <family val="2"/>
      <scheme val="minor"/>
    </font>
    <font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9" fontId="0" fillId="0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4" fontId="0" fillId="0" borderId="1" xfId="2" applyNumberFormat="1" applyFont="1" applyFill="1" applyBorder="1" applyAlignment="1">
      <alignment horizontal="center" vertical="center"/>
    </xf>
    <xf numFmtId="14" fontId="3" fillId="0" borderId="1" xfId="2" applyNumberFormat="1" applyFont="1" applyFill="1" applyBorder="1" applyAlignment="1">
      <alignment horizontal="center" vertical="center"/>
    </xf>
    <xf numFmtId="164" fontId="0" fillId="0" borderId="1" xfId="2" applyNumberFormat="1" applyFont="1" applyFill="1" applyBorder="1" applyAlignment="1">
      <alignment horizontal="center" vertical="center"/>
    </xf>
    <xf numFmtId="164" fontId="5" fillId="0" borderId="1" xfId="2" applyNumberFormat="1" applyFont="1" applyFill="1" applyBorder="1" applyAlignment="1">
      <alignment horizontal="center" vertical="center"/>
    </xf>
    <xf numFmtId="14" fontId="5" fillId="0" borderId="1" xfId="2" applyNumberFormat="1" applyFont="1" applyFill="1" applyBorder="1" applyAlignment="1">
      <alignment horizontal="center" vertical="center"/>
    </xf>
    <xf numFmtId="14" fontId="6" fillId="0" borderId="1" xfId="2" applyNumberFormat="1" applyFont="1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3" fillId="0" borderId="1" xfId="2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3">
    <cellStyle name="Moneda 2" xfId="2" xr:uid="{B6758D2E-3817-4B9C-9032-5F09EBBC30FA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berto Ramirez Nuñez" id="{2FBB80F5-6F62-481E-83D8-4BF5890C7F7B}" userId="S::alberto.ramirez@growdata.com.co::37732fc7-4407-4008-9311-337a1ab4846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5-07-16T13:34:32.36" personId="{2FBB80F5-6F62-481E-83D8-4BF5890C7F7B}" id="{83923610-40E7-4090-B410-5A9EBECECC69}">
    <text>Mide la diferencia entre el valor del trabajo completado (EV) y el costo real incurrido (AC). Indica si hay ahorro o sobrecosto.</text>
  </threadedComment>
  <threadedComment ref="P1" dT="2025-07-16T13:33:10.88" personId="{2FBB80F5-6F62-481E-83D8-4BF5890C7F7B}" id="{0D2E8984-5A92-4C81-ADCA-79240077A043}">
    <text>Evalúa la eficiencia del uso del presupuesto. Indica cuánto valor se obtiene por cada unidad monetaria gastada.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F5" sqref="F5"/>
    </sheetView>
  </sheetViews>
  <sheetFormatPr baseColWidth="10" defaultColWidth="9.06640625" defaultRowHeight="14.25" x14ac:dyDescent="0.45"/>
  <cols>
    <col min="1" max="1" width="27.53125" style="2" customWidth="1"/>
    <col min="2" max="2" width="32.1328125" style="2" customWidth="1"/>
    <col min="3" max="3" width="53.59765625" style="2" customWidth="1"/>
    <col min="4" max="4" width="16.73046875" style="2" customWidth="1"/>
    <col min="5" max="5" width="12.1328125" style="2" customWidth="1"/>
    <col min="6" max="6" width="12.1328125" style="21" customWidth="1"/>
    <col min="7" max="7" width="12.1328125" style="2" customWidth="1"/>
    <col min="8" max="8" width="15.73046875" style="3" customWidth="1"/>
    <col min="9" max="11" width="21.86328125" style="3" customWidth="1"/>
    <col min="12" max="12" width="22.3984375" style="2" customWidth="1"/>
    <col min="13" max="14" width="23.59765625" style="2" customWidth="1"/>
    <col min="15" max="16" width="28.59765625" style="2" customWidth="1"/>
    <col min="17" max="17" width="38.86328125" style="2" customWidth="1"/>
  </cols>
  <sheetData>
    <row r="1" spans="1:17" ht="28.5" x14ac:dyDescent="0.4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9" t="s">
        <v>30</v>
      </c>
      <c r="G1" s="1" t="s">
        <v>12</v>
      </c>
      <c r="H1" s="1" t="s">
        <v>6</v>
      </c>
      <c r="I1" s="1" t="s">
        <v>7</v>
      </c>
      <c r="J1" s="1" t="s">
        <v>29</v>
      </c>
      <c r="K1" s="1" t="s">
        <v>13</v>
      </c>
      <c r="L1" s="1" t="s">
        <v>8</v>
      </c>
      <c r="M1" s="1" t="s">
        <v>9</v>
      </c>
      <c r="N1" s="7" t="s">
        <v>14</v>
      </c>
      <c r="O1" s="1" t="s">
        <v>10</v>
      </c>
      <c r="P1" s="7" t="s">
        <v>15</v>
      </c>
      <c r="Q1" s="1" t="s">
        <v>11</v>
      </c>
    </row>
    <row r="2" spans="1:17" x14ac:dyDescent="0.45">
      <c r="A2" s="5">
        <v>1</v>
      </c>
      <c r="B2" s="8" t="s">
        <v>16</v>
      </c>
      <c r="C2" s="11">
        <v>772840336</v>
      </c>
      <c r="D2" s="9">
        <v>45945</v>
      </c>
      <c r="E2" s="10">
        <v>46022</v>
      </c>
      <c r="F2" s="20">
        <f>E2-D2</f>
        <v>77</v>
      </c>
      <c r="G2" s="6">
        <f>EOMONTH(E2,0)</f>
        <v>46022</v>
      </c>
      <c r="H2" s="4">
        <v>1</v>
      </c>
      <c r="I2" s="4">
        <v>1</v>
      </c>
      <c r="J2" s="4">
        <f>I2-H2</f>
        <v>0</v>
      </c>
      <c r="K2" s="4">
        <f>(I2-H2)/H2</f>
        <v>0</v>
      </c>
      <c r="L2" s="16">
        <v>772840336</v>
      </c>
      <c r="M2" s="16">
        <v>772840336</v>
      </c>
      <c r="N2" s="16">
        <v>-564160588</v>
      </c>
      <c r="O2" s="16">
        <v>0</v>
      </c>
      <c r="P2" s="17">
        <v>0.57804024075603411</v>
      </c>
      <c r="Q2" s="18">
        <v>1</v>
      </c>
    </row>
    <row r="3" spans="1:17" x14ac:dyDescent="0.45">
      <c r="A3" s="5">
        <v>2</v>
      </c>
      <c r="B3" s="8" t="s">
        <v>17</v>
      </c>
      <c r="C3" s="11">
        <v>243037690</v>
      </c>
      <c r="D3" s="9">
        <v>45962</v>
      </c>
      <c r="E3" s="10">
        <v>45991</v>
      </c>
      <c r="F3" s="20">
        <f t="shared" ref="F3:F35" si="0">E3-D3</f>
        <v>29</v>
      </c>
      <c r="G3" s="6">
        <f t="shared" ref="G3:G35" si="1">EOMONTH(E3,0)</f>
        <v>45991</v>
      </c>
      <c r="H3" s="4">
        <v>1</v>
      </c>
      <c r="I3" s="4">
        <v>1</v>
      </c>
      <c r="J3" s="4">
        <f t="shared" ref="J3:J35" si="2">I3-H3</f>
        <v>0</v>
      </c>
      <c r="K3" s="4">
        <f t="shared" ref="K3:K35" si="3">(I3-H3)/H3</f>
        <v>0</v>
      </c>
      <c r="L3" s="16">
        <v>243037690</v>
      </c>
      <c r="M3" s="16">
        <v>243037690</v>
      </c>
      <c r="N3" s="16">
        <v>-248001551.54000002</v>
      </c>
      <c r="O3" s="16">
        <v>0</v>
      </c>
      <c r="P3" s="17">
        <v>0.49494555514093708</v>
      </c>
      <c r="Q3" s="18">
        <v>1</v>
      </c>
    </row>
    <row r="4" spans="1:17" x14ac:dyDescent="0.45">
      <c r="A4" s="5">
        <v>3</v>
      </c>
      <c r="B4" s="8" t="s">
        <v>16</v>
      </c>
      <c r="C4" s="11">
        <v>162301726</v>
      </c>
      <c r="D4" s="9">
        <v>45901</v>
      </c>
      <c r="E4" s="10">
        <v>46022</v>
      </c>
      <c r="F4" s="20">
        <f t="shared" si="0"/>
        <v>121</v>
      </c>
      <c r="G4" s="6">
        <f t="shared" si="1"/>
        <v>46022</v>
      </c>
      <c r="H4" s="4">
        <v>1</v>
      </c>
      <c r="I4" s="4">
        <v>1</v>
      </c>
      <c r="J4" s="4">
        <f t="shared" si="2"/>
        <v>0</v>
      </c>
      <c r="K4" s="4">
        <f t="shared" si="3"/>
        <v>0</v>
      </c>
      <c r="L4" s="16">
        <v>162301726</v>
      </c>
      <c r="M4" s="16">
        <v>162301726</v>
      </c>
      <c r="N4" s="16">
        <v>-115843700</v>
      </c>
      <c r="O4" s="16">
        <v>0</v>
      </c>
      <c r="P4" s="17">
        <v>0.58351391332964075</v>
      </c>
      <c r="Q4" s="18">
        <v>1</v>
      </c>
    </row>
    <row r="5" spans="1:17" x14ac:dyDescent="0.45">
      <c r="A5" s="5">
        <v>4</v>
      </c>
      <c r="B5" s="8" t="s">
        <v>2</v>
      </c>
      <c r="C5" s="11">
        <v>5018888965</v>
      </c>
      <c r="D5" s="9">
        <v>45870</v>
      </c>
      <c r="E5" s="10">
        <v>46022</v>
      </c>
      <c r="F5" s="20">
        <f t="shared" si="0"/>
        <v>152</v>
      </c>
      <c r="G5" s="6">
        <f t="shared" si="1"/>
        <v>46022</v>
      </c>
      <c r="H5" s="4">
        <v>1</v>
      </c>
      <c r="I5" s="4">
        <v>0.99</v>
      </c>
      <c r="J5" s="4">
        <f t="shared" si="2"/>
        <v>-1.0000000000000009E-2</v>
      </c>
      <c r="K5" s="4">
        <f t="shared" si="3"/>
        <v>-1.0000000000000009E-2</v>
      </c>
      <c r="L5" s="16">
        <v>4968700075.3500004</v>
      </c>
      <c r="M5" s="16">
        <v>5018888965</v>
      </c>
      <c r="N5" s="16">
        <v>-10308418384.610001</v>
      </c>
      <c r="O5" s="16">
        <v>-50188889.649999619</v>
      </c>
      <c r="P5" s="17">
        <v>0.32523804069285261</v>
      </c>
      <c r="Q5" s="18">
        <v>0.9900000000000001</v>
      </c>
    </row>
    <row r="6" spans="1:17" x14ac:dyDescent="0.45">
      <c r="A6" s="5">
        <v>5</v>
      </c>
      <c r="B6" s="8" t="s">
        <v>18</v>
      </c>
      <c r="C6" s="11">
        <v>589176956</v>
      </c>
      <c r="D6" s="9">
        <v>45834</v>
      </c>
      <c r="E6" s="10">
        <v>46006</v>
      </c>
      <c r="F6" s="20">
        <f t="shared" si="0"/>
        <v>172</v>
      </c>
      <c r="G6" s="6">
        <f t="shared" si="1"/>
        <v>46022</v>
      </c>
      <c r="H6" s="4">
        <v>1</v>
      </c>
      <c r="I6" s="4">
        <v>1</v>
      </c>
      <c r="J6" s="4">
        <f t="shared" si="2"/>
        <v>0</v>
      </c>
      <c r="K6" s="4">
        <f t="shared" si="3"/>
        <v>0</v>
      </c>
      <c r="L6" s="16">
        <v>589176956</v>
      </c>
      <c r="M6" s="16">
        <v>589176956</v>
      </c>
      <c r="N6" s="16">
        <v>-354776120.31999993</v>
      </c>
      <c r="O6" s="16">
        <v>0</v>
      </c>
      <c r="P6" s="17">
        <v>0.62415915661497257</v>
      </c>
      <c r="Q6" s="18">
        <v>1</v>
      </c>
    </row>
    <row r="7" spans="1:17" x14ac:dyDescent="0.45">
      <c r="A7" s="5">
        <v>6</v>
      </c>
      <c r="B7" s="8" t="s">
        <v>19</v>
      </c>
      <c r="C7" s="11">
        <v>2873641115</v>
      </c>
      <c r="D7" s="9">
        <v>45705</v>
      </c>
      <c r="E7" s="10">
        <v>46129</v>
      </c>
      <c r="F7" s="20">
        <f t="shared" si="0"/>
        <v>424</v>
      </c>
      <c r="G7" s="6">
        <f t="shared" si="1"/>
        <v>46142</v>
      </c>
      <c r="H7" s="4">
        <v>1</v>
      </c>
      <c r="I7" s="4">
        <v>0.99</v>
      </c>
      <c r="J7" s="4">
        <f t="shared" si="2"/>
        <v>-1.0000000000000009E-2</v>
      </c>
      <c r="K7" s="4">
        <f t="shared" si="3"/>
        <v>-1.0000000000000009E-2</v>
      </c>
      <c r="L7" s="16">
        <v>2844904703.8499999</v>
      </c>
      <c r="M7" s="16">
        <v>2873641115</v>
      </c>
      <c r="N7" s="16">
        <v>4315889632.1500006</v>
      </c>
      <c r="O7" s="16">
        <v>-28736411.150000095</v>
      </c>
      <c r="P7" s="17">
        <v>-1.9340134960715214</v>
      </c>
      <c r="Q7" s="18">
        <v>0.99</v>
      </c>
    </row>
    <row r="8" spans="1:17" x14ac:dyDescent="0.45">
      <c r="A8" s="5">
        <v>7</v>
      </c>
      <c r="B8" s="8" t="s">
        <v>20</v>
      </c>
      <c r="C8" s="11">
        <v>40504918</v>
      </c>
      <c r="D8" s="9">
        <v>45689</v>
      </c>
      <c r="E8" s="10">
        <v>45716</v>
      </c>
      <c r="F8" s="20">
        <f t="shared" si="0"/>
        <v>27</v>
      </c>
      <c r="G8" s="6">
        <f t="shared" si="1"/>
        <v>45716</v>
      </c>
      <c r="H8" s="4">
        <v>1</v>
      </c>
      <c r="I8" s="4">
        <v>1</v>
      </c>
      <c r="J8" s="4">
        <f t="shared" si="2"/>
        <v>0</v>
      </c>
      <c r="K8" s="4">
        <f t="shared" si="3"/>
        <v>0</v>
      </c>
      <c r="L8" s="16">
        <v>40504918</v>
      </c>
      <c r="M8" s="16">
        <v>40504918</v>
      </c>
      <c r="N8" s="16">
        <v>8319854.8500000015</v>
      </c>
      <c r="O8" s="16">
        <v>0</v>
      </c>
      <c r="P8" s="17">
        <v>1.2585004979242989</v>
      </c>
      <c r="Q8" s="18">
        <v>1</v>
      </c>
    </row>
    <row r="9" spans="1:17" x14ac:dyDescent="0.45">
      <c r="A9" s="5">
        <v>8</v>
      </c>
      <c r="B9" s="8" t="s">
        <v>20</v>
      </c>
      <c r="C9" s="11">
        <v>503460622</v>
      </c>
      <c r="D9" s="9">
        <v>45689</v>
      </c>
      <c r="E9" s="10">
        <v>45716</v>
      </c>
      <c r="F9" s="20">
        <f t="shared" si="0"/>
        <v>27</v>
      </c>
      <c r="G9" s="6">
        <f t="shared" si="1"/>
        <v>45716</v>
      </c>
      <c r="H9" s="4">
        <v>1</v>
      </c>
      <c r="I9" s="4">
        <v>1</v>
      </c>
      <c r="J9" s="4">
        <f t="shared" si="2"/>
        <v>0</v>
      </c>
      <c r="K9" s="4">
        <f t="shared" si="3"/>
        <v>0</v>
      </c>
      <c r="L9" s="16">
        <v>503460622</v>
      </c>
      <c r="M9" s="16">
        <v>503460622</v>
      </c>
      <c r="N9" s="16">
        <v>64724550.180000007</v>
      </c>
      <c r="O9" s="16">
        <v>0</v>
      </c>
      <c r="P9" s="17">
        <v>1.1475250254931273</v>
      </c>
      <c r="Q9" s="18">
        <v>1</v>
      </c>
    </row>
    <row r="10" spans="1:17" x14ac:dyDescent="0.45">
      <c r="A10" s="5">
        <v>9</v>
      </c>
      <c r="B10" s="8" t="s">
        <v>20</v>
      </c>
      <c r="C10" s="11">
        <v>40327077</v>
      </c>
      <c r="D10" s="9">
        <v>45627</v>
      </c>
      <c r="E10" s="10">
        <v>45657</v>
      </c>
      <c r="F10" s="20">
        <f t="shared" si="0"/>
        <v>30</v>
      </c>
      <c r="G10" s="6">
        <f t="shared" si="1"/>
        <v>45657</v>
      </c>
      <c r="H10" s="4">
        <v>1</v>
      </c>
      <c r="I10" s="4">
        <v>1</v>
      </c>
      <c r="J10" s="4">
        <f t="shared" si="2"/>
        <v>0</v>
      </c>
      <c r="K10" s="4">
        <f t="shared" si="3"/>
        <v>0</v>
      </c>
      <c r="L10" s="16">
        <v>40327077</v>
      </c>
      <c r="M10" s="16">
        <v>40327077</v>
      </c>
      <c r="N10" s="16">
        <v>30987106.350000001</v>
      </c>
      <c r="O10" s="16">
        <v>0</v>
      </c>
      <c r="P10" s="17">
        <v>4.3176877648967773</v>
      </c>
      <c r="Q10" s="18">
        <v>1</v>
      </c>
    </row>
    <row r="11" spans="1:17" x14ac:dyDescent="0.45">
      <c r="A11" s="5">
        <v>10</v>
      </c>
      <c r="B11" s="8" t="s">
        <v>18</v>
      </c>
      <c r="C11" s="11">
        <v>55501215</v>
      </c>
      <c r="D11" s="9">
        <v>45642</v>
      </c>
      <c r="E11" s="10">
        <v>45657</v>
      </c>
      <c r="F11" s="20">
        <f t="shared" si="0"/>
        <v>15</v>
      </c>
      <c r="G11" s="6">
        <f t="shared" si="1"/>
        <v>45657</v>
      </c>
      <c r="H11" s="4">
        <v>1</v>
      </c>
      <c r="I11" s="4">
        <v>1</v>
      </c>
      <c r="J11" s="4">
        <f t="shared" si="2"/>
        <v>0</v>
      </c>
      <c r="K11" s="4">
        <f t="shared" si="3"/>
        <v>0</v>
      </c>
      <c r="L11" s="16">
        <v>55501215</v>
      </c>
      <c r="M11" s="16">
        <v>55501215</v>
      </c>
      <c r="N11" s="16">
        <v>55127420.049999997</v>
      </c>
      <c r="O11" s="16">
        <v>0</v>
      </c>
      <c r="P11" s="17">
        <v>148.48037674131231</v>
      </c>
      <c r="Q11" s="18">
        <v>1</v>
      </c>
    </row>
    <row r="12" spans="1:17" x14ac:dyDescent="0.45">
      <c r="A12" s="5">
        <v>11</v>
      </c>
      <c r="B12" s="8" t="s">
        <v>21</v>
      </c>
      <c r="C12" s="11">
        <v>410789543</v>
      </c>
      <c r="D12" s="9">
        <v>45536</v>
      </c>
      <c r="E12" s="10">
        <v>45597</v>
      </c>
      <c r="F12" s="20">
        <f t="shared" si="0"/>
        <v>61</v>
      </c>
      <c r="G12" s="6">
        <f t="shared" si="1"/>
        <v>45626</v>
      </c>
      <c r="H12" s="4">
        <v>1</v>
      </c>
      <c r="I12" s="4">
        <v>1</v>
      </c>
      <c r="J12" s="4">
        <f t="shared" si="2"/>
        <v>0</v>
      </c>
      <c r="K12" s="4">
        <f t="shared" si="3"/>
        <v>0</v>
      </c>
      <c r="L12" s="16">
        <v>410789543</v>
      </c>
      <c r="M12" s="16">
        <v>410789543</v>
      </c>
      <c r="N12" s="16">
        <v>370409818.65999997</v>
      </c>
      <c r="O12" s="16">
        <v>0</v>
      </c>
      <c r="P12" s="17">
        <v>10.173163628882762</v>
      </c>
      <c r="Q12" s="18">
        <v>1</v>
      </c>
    </row>
    <row r="13" spans="1:17" x14ac:dyDescent="0.45">
      <c r="A13" s="5">
        <v>12</v>
      </c>
      <c r="B13" s="8" t="s">
        <v>21</v>
      </c>
      <c r="C13" s="12">
        <v>7049000</v>
      </c>
      <c r="D13" s="13">
        <v>45536</v>
      </c>
      <c r="E13" s="14">
        <v>45565</v>
      </c>
      <c r="F13" s="20">
        <f t="shared" si="0"/>
        <v>29</v>
      </c>
      <c r="G13" s="6">
        <f t="shared" si="1"/>
        <v>45565</v>
      </c>
      <c r="H13" s="4">
        <v>1</v>
      </c>
      <c r="I13" s="15">
        <v>1</v>
      </c>
      <c r="J13" s="4">
        <f t="shared" si="2"/>
        <v>0</v>
      </c>
      <c r="K13" s="4">
        <f t="shared" si="3"/>
        <v>0</v>
      </c>
      <c r="L13" s="16">
        <v>7049000</v>
      </c>
      <c r="M13" s="16">
        <v>7049000</v>
      </c>
      <c r="N13" s="16">
        <v>7041703</v>
      </c>
      <c r="O13" s="16">
        <v>0</v>
      </c>
      <c r="P13" s="17">
        <v>966.01343017678494</v>
      </c>
      <c r="Q13" s="18">
        <v>1</v>
      </c>
    </row>
    <row r="14" spans="1:17" x14ac:dyDescent="0.45">
      <c r="A14" s="5">
        <v>13</v>
      </c>
      <c r="B14" s="8" t="s">
        <v>16</v>
      </c>
      <c r="C14" s="11">
        <v>1392930821</v>
      </c>
      <c r="D14" s="9">
        <v>45597</v>
      </c>
      <c r="E14" s="10">
        <v>46295</v>
      </c>
      <c r="F14" s="20">
        <f t="shared" si="0"/>
        <v>698</v>
      </c>
      <c r="G14" s="6">
        <f t="shared" si="1"/>
        <v>46295</v>
      </c>
      <c r="H14" s="4">
        <v>1</v>
      </c>
      <c r="I14" s="4">
        <v>0.81</v>
      </c>
      <c r="J14" s="4">
        <f t="shared" si="2"/>
        <v>-0.18999999999999995</v>
      </c>
      <c r="K14" s="4">
        <f t="shared" si="3"/>
        <v>-0.18999999999999995</v>
      </c>
      <c r="L14" s="16">
        <v>1128273965.01</v>
      </c>
      <c r="M14" s="16">
        <v>1392930821</v>
      </c>
      <c r="N14" s="16">
        <v>-433047221.18000007</v>
      </c>
      <c r="O14" s="16">
        <v>-264656855.99000001</v>
      </c>
      <c r="P14" s="17">
        <v>0.72264052713155091</v>
      </c>
      <c r="Q14" s="18">
        <v>0.80999999999999994</v>
      </c>
    </row>
    <row r="15" spans="1:17" x14ac:dyDescent="0.45">
      <c r="A15" s="5">
        <v>14</v>
      </c>
      <c r="B15" s="8" t="s">
        <v>2</v>
      </c>
      <c r="C15" s="11">
        <v>219060050</v>
      </c>
      <c r="D15" s="9">
        <v>45597</v>
      </c>
      <c r="E15" s="10">
        <v>45657</v>
      </c>
      <c r="F15" s="20">
        <f t="shared" si="0"/>
        <v>60</v>
      </c>
      <c r="G15" s="6">
        <f t="shared" si="1"/>
        <v>45657</v>
      </c>
      <c r="H15" s="4">
        <v>1</v>
      </c>
      <c r="I15" s="4">
        <v>1</v>
      </c>
      <c r="J15" s="4">
        <f t="shared" si="2"/>
        <v>0</v>
      </c>
      <c r="K15" s="4">
        <f t="shared" si="3"/>
        <v>0</v>
      </c>
      <c r="L15" s="16">
        <v>219060050</v>
      </c>
      <c r="M15" s="16">
        <v>219060050</v>
      </c>
      <c r="N15" s="16">
        <v>213433123</v>
      </c>
      <c r="O15" s="16">
        <v>0</v>
      </c>
      <c r="P15" s="17">
        <v>38.930672105751505</v>
      </c>
      <c r="Q15" s="18">
        <v>1</v>
      </c>
    </row>
    <row r="16" spans="1:17" x14ac:dyDescent="0.45">
      <c r="A16" s="5">
        <v>15</v>
      </c>
      <c r="B16" s="8" t="s">
        <v>22</v>
      </c>
      <c r="C16" s="11">
        <v>3744721319</v>
      </c>
      <c r="D16" s="9">
        <v>45581</v>
      </c>
      <c r="E16" s="10">
        <v>45672</v>
      </c>
      <c r="F16" s="20">
        <f t="shared" si="0"/>
        <v>91</v>
      </c>
      <c r="G16" s="6">
        <f t="shared" si="1"/>
        <v>45688</v>
      </c>
      <c r="H16" s="4">
        <v>1</v>
      </c>
      <c r="I16" s="4">
        <v>0.98</v>
      </c>
      <c r="J16" s="4">
        <f t="shared" si="2"/>
        <v>-2.0000000000000018E-2</v>
      </c>
      <c r="K16" s="4">
        <f t="shared" si="3"/>
        <v>-2.0000000000000018E-2</v>
      </c>
      <c r="L16" s="16">
        <v>3669826892.6199999</v>
      </c>
      <c r="M16" s="16">
        <v>3744721319</v>
      </c>
      <c r="N16" s="16">
        <v>1426700954.4599996</v>
      </c>
      <c r="O16" s="16">
        <v>-74894426.380000114</v>
      </c>
      <c r="P16" s="17">
        <v>1.6360324804724513</v>
      </c>
      <c r="Q16" s="18">
        <v>0.98</v>
      </c>
    </row>
    <row r="17" spans="1:17" x14ac:dyDescent="0.45">
      <c r="A17" s="5">
        <v>16</v>
      </c>
      <c r="B17" s="8" t="s">
        <v>23</v>
      </c>
      <c r="C17" s="11">
        <v>183312819</v>
      </c>
      <c r="D17" s="9">
        <v>45581</v>
      </c>
      <c r="E17" s="10">
        <v>45626</v>
      </c>
      <c r="F17" s="20">
        <f t="shared" si="0"/>
        <v>45</v>
      </c>
      <c r="G17" s="6">
        <f t="shared" si="1"/>
        <v>45626</v>
      </c>
      <c r="H17" s="4">
        <v>1</v>
      </c>
      <c r="I17" s="4">
        <v>1</v>
      </c>
      <c r="J17" s="4">
        <f t="shared" si="2"/>
        <v>0</v>
      </c>
      <c r="K17" s="4">
        <f t="shared" si="3"/>
        <v>0</v>
      </c>
      <c r="L17" s="16">
        <v>183312819</v>
      </c>
      <c r="M17" s="16">
        <v>183312819</v>
      </c>
      <c r="N17" s="16">
        <v>171495232.90000001</v>
      </c>
      <c r="O17" s="16">
        <v>0</v>
      </c>
      <c r="P17" s="17">
        <v>15.511866590081372</v>
      </c>
      <c r="Q17" s="18">
        <v>1</v>
      </c>
    </row>
    <row r="18" spans="1:17" x14ac:dyDescent="0.45">
      <c r="A18" s="5">
        <v>17</v>
      </c>
      <c r="B18" s="8" t="s">
        <v>18</v>
      </c>
      <c r="C18" s="11">
        <v>319021846</v>
      </c>
      <c r="D18" s="9">
        <v>45566</v>
      </c>
      <c r="E18" s="10">
        <v>45641</v>
      </c>
      <c r="F18" s="20">
        <f t="shared" si="0"/>
        <v>75</v>
      </c>
      <c r="G18" s="6">
        <f t="shared" si="1"/>
        <v>45657</v>
      </c>
      <c r="H18" s="4">
        <v>1</v>
      </c>
      <c r="I18" s="4">
        <v>1</v>
      </c>
      <c r="J18" s="4">
        <f t="shared" si="2"/>
        <v>0</v>
      </c>
      <c r="K18" s="4">
        <f t="shared" si="3"/>
        <v>0</v>
      </c>
      <c r="L18" s="16">
        <v>319021846</v>
      </c>
      <c r="M18" s="16">
        <v>319021846</v>
      </c>
      <c r="N18" s="16">
        <v>182233983.91000003</v>
      </c>
      <c r="O18" s="16">
        <v>0</v>
      </c>
      <c r="P18" s="17">
        <v>2.3322379714517258</v>
      </c>
      <c r="Q18" s="18">
        <v>1</v>
      </c>
    </row>
    <row r="19" spans="1:17" x14ac:dyDescent="0.45">
      <c r="A19" s="5">
        <v>18</v>
      </c>
      <c r="B19" s="8" t="s">
        <v>19</v>
      </c>
      <c r="C19" s="11">
        <v>792295683</v>
      </c>
      <c r="D19" s="9">
        <v>45537</v>
      </c>
      <c r="E19" s="10">
        <v>45838</v>
      </c>
      <c r="F19" s="20">
        <f t="shared" si="0"/>
        <v>301</v>
      </c>
      <c r="G19" s="6">
        <f t="shared" si="1"/>
        <v>45838</v>
      </c>
      <c r="H19" s="4">
        <v>1</v>
      </c>
      <c r="I19" s="4">
        <v>1</v>
      </c>
      <c r="J19" s="4">
        <f t="shared" si="2"/>
        <v>0</v>
      </c>
      <c r="K19" s="4">
        <f t="shared" si="3"/>
        <v>0</v>
      </c>
      <c r="L19" s="16">
        <v>792295683</v>
      </c>
      <c r="M19" s="16">
        <v>792295683</v>
      </c>
      <c r="N19" s="16">
        <v>597801274.63999999</v>
      </c>
      <c r="O19" s="16">
        <v>0</v>
      </c>
      <c r="P19" s="17">
        <v>4.073616767087195</v>
      </c>
      <c r="Q19" s="18">
        <v>1</v>
      </c>
    </row>
    <row r="20" spans="1:17" x14ac:dyDescent="0.45">
      <c r="A20" s="5">
        <v>19</v>
      </c>
      <c r="B20" s="8" t="s">
        <v>20</v>
      </c>
      <c r="C20" s="11">
        <v>370376769</v>
      </c>
      <c r="D20" s="9">
        <v>45536</v>
      </c>
      <c r="E20" s="10">
        <v>45596</v>
      </c>
      <c r="F20" s="20">
        <f t="shared" si="0"/>
        <v>60</v>
      </c>
      <c r="G20" s="6">
        <f t="shared" si="1"/>
        <v>45596</v>
      </c>
      <c r="H20" s="4">
        <v>1</v>
      </c>
      <c r="I20" s="4">
        <v>1</v>
      </c>
      <c r="J20" s="4">
        <f t="shared" si="2"/>
        <v>0</v>
      </c>
      <c r="K20" s="4">
        <f t="shared" si="3"/>
        <v>0</v>
      </c>
      <c r="L20" s="16">
        <v>370376769</v>
      </c>
      <c r="M20" s="16">
        <v>370376769</v>
      </c>
      <c r="N20" s="16">
        <v>149352564.11000001</v>
      </c>
      <c r="O20" s="16">
        <v>0</v>
      </c>
      <c r="P20" s="17">
        <v>1.6757294486562242</v>
      </c>
      <c r="Q20" s="18">
        <v>1</v>
      </c>
    </row>
    <row r="21" spans="1:17" x14ac:dyDescent="0.45">
      <c r="A21" s="5">
        <v>20</v>
      </c>
      <c r="B21" s="8" t="s">
        <v>2</v>
      </c>
      <c r="C21" s="11">
        <v>7397230574</v>
      </c>
      <c r="D21" s="9">
        <v>45505</v>
      </c>
      <c r="E21" s="10">
        <v>45807</v>
      </c>
      <c r="F21" s="20">
        <f t="shared" si="0"/>
        <v>302</v>
      </c>
      <c r="G21" s="6">
        <f t="shared" si="1"/>
        <v>45808</v>
      </c>
      <c r="H21" s="4">
        <v>1</v>
      </c>
      <c r="I21" s="4">
        <v>0.99</v>
      </c>
      <c r="J21" s="4">
        <f t="shared" si="2"/>
        <v>-1.0000000000000009E-2</v>
      </c>
      <c r="K21" s="4">
        <f t="shared" si="3"/>
        <v>-1.0000000000000009E-2</v>
      </c>
      <c r="L21" s="16">
        <v>7323258268.2600002</v>
      </c>
      <c r="M21" s="16">
        <v>7397230574</v>
      </c>
      <c r="N21" s="16">
        <v>-313777003.34000111</v>
      </c>
      <c r="O21" s="16">
        <v>-73972305.739999771</v>
      </c>
      <c r="P21" s="17">
        <v>0.95891376795039174</v>
      </c>
      <c r="Q21" s="18">
        <v>0.99</v>
      </c>
    </row>
    <row r="22" spans="1:17" x14ac:dyDescent="0.45">
      <c r="A22" s="5">
        <v>21</v>
      </c>
      <c r="B22" s="8" t="s">
        <v>24</v>
      </c>
      <c r="C22" s="11">
        <v>523479413</v>
      </c>
      <c r="D22" s="9">
        <v>45516</v>
      </c>
      <c r="E22" s="10">
        <v>45595</v>
      </c>
      <c r="F22" s="20">
        <f t="shared" si="0"/>
        <v>79</v>
      </c>
      <c r="G22" s="6">
        <f t="shared" si="1"/>
        <v>45596</v>
      </c>
      <c r="H22" s="4">
        <v>1</v>
      </c>
      <c r="I22" s="4">
        <v>1</v>
      </c>
      <c r="J22" s="4">
        <f t="shared" si="2"/>
        <v>0</v>
      </c>
      <c r="K22" s="4">
        <f t="shared" si="3"/>
        <v>0</v>
      </c>
      <c r="L22" s="16">
        <v>523479413</v>
      </c>
      <c r="M22" s="16">
        <v>523479413</v>
      </c>
      <c r="N22" s="16">
        <v>501830254.88</v>
      </c>
      <c r="O22" s="16">
        <v>0</v>
      </c>
      <c r="P22" s="17">
        <v>24.180127933769278</v>
      </c>
      <c r="Q22" s="18">
        <v>1</v>
      </c>
    </row>
    <row r="23" spans="1:17" x14ac:dyDescent="0.45">
      <c r="A23" s="5">
        <v>22</v>
      </c>
      <c r="B23" s="8" t="s">
        <v>2</v>
      </c>
      <c r="C23" s="11">
        <v>1821030084</v>
      </c>
      <c r="D23" s="9">
        <v>45473</v>
      </c>
      <c r="E23" s="10">
        <v>45655</v>
      </c>
      <c r="F23" s="20">
        <f t="shared" si="0"/>
        <v>182</v>
      </c>
      <c r="G23" s="6">
        <f t="shared" si="1"/>
        <v>45657</v>
      </c>
      <c r="H23" s="4">
        <v>1</v>
      </c>
      <c r="I23" s="4">
        <v>1</v>
      </c>
      <c r="J23" s="4">
        <f t="shared" si="2"/>
        <v>0</v>
      </c>
      <c r="K23" s="4">
        <f t="shared" si="3"/>
        <v>0</v>
      </c>
      <c r="L23" s="16">
        <v>1821030084</v>
      </c>
      <c r="M23" s="16">
        <v>1821030084</v>
      </c>
      <c r="N23" s="16">
        <v>1802730024.27</v>
      </c>
      <c r="O23" s="16">
        <v>0</v>
      </c>
      <c r="P23" s="17">
        <v>99.509515863203134</v>
      </c>
      <c r="Q23" s="18">
        <v>1</v>
      </c>
    </row>
    <row r="24" spans="1:17" x14ac:dyDescent="0.45">
      <c r="A24" s="5">
        <v>23</v>
      </c>
      <c r="B24" s="8" t="s">
        <v>18</v>
      </c>
      <c r="C24" s="11">
        <v>218649688</v>
      </c>
      <c r="D24" s="9">
        <v>45413</v>
      </c>
      <c r="E24" s="10">
        <v>45534</v>
      </c>
      <c r="F24" s="20">
        <f t="shared" si="0"/>
        <v>121</v>
      </c>
      <c r="G24" s="6">
        <f t="shared" si="1"/>
        <v>45535</v>
      </c>
      <c r="H24" s="4">
        <v>1</v>
      </c>
      <c r="I24" s="4">
        <v>0.99</v>
      </c>
      <c r="J24" s="4">
        <f t="shared" si="2"/>
        <v>-1.0000000000000009E-2</v>
      </c>
      <c r="K24" s="4">
        <f t="shared" si="3"/>
        <v>-1.0000000000000009E-2</v>
      </c>
      <c r="L24" s="16">
        <v>216463191.12</v>
      </c>
      <c r="M24" s="16">
        <v>218649688</v>
      </c>
      <c r="N24" s="16">
        <v>215879297.12</v>
      </c>
      <c r="O24" s="16">
        <v>-2186496.8799999952</v>
      </c>
      <c r="P24" s="17">
        <v>370.72343802128472</v>
      </c>
      <c r="Q24" s="18">
        <v>0.99</v>
      </c>
    </row>
    <row r="25" spans="1:17" x14ac:dyDescent="0.45">
      <c r="A25" s="5">
        <v>24</v>
      </c>
      <c r="B25" s="8" t="s">
        <v>21</v>
      </c>
      <c r="C25" s="11">
        <v>81162217</v>
      </c>
      <c r="D25" s="9">
        <v>45444</v>
      </c>
      <c r="E25" s="10">
        <v>45595</v>
      </c>
      <c r="F25" s="20">
        <f t="shared" si="0"/>
        <v>151</v>
      </c>
      <c r="G25" s="6">
        <f t="shared" si="1"/>
        <v>45596</v>
      </c>
      <c r="H25" s="4">
        <v>1</v>
      </c>
      <c r="I25" s="4">
        <v>1</v>
      </c>
      <c r="J25" s="4">
        <f t="shared" si="2"/>
        <v>0</v>
      </c>
      <c r="K25" s="4">
        <f t="shared" si="3"/>
        <v>0</v>
      </c>
      <c r="L25" s="16">
        <v>81162217</v>
      </c>
      <c r="M25" s="16">
        <v>81162217</v>
      </c>
      <c r="N25" s="16">
        <v>81084944</v>
      </c>
      <c r="O25" s="16">
        <v>0</v>
      </c>
      <c r="P25" s="17">
        <v>1050.3308658910616</v>
      </c>
      <c r="Q25" s="18">
        <v>1</v>
      </c>
    </row>
    <row r="26" spans="1:17" x14ac:dyDescent="0.45">
      <c r="A26" s="5">
        <v>25</v>
      </c>
      <c r="B26" s="8" t="s">
        <v>25</v>
      </c>
      <c r="C26" s="11">
        <v>234252949</v>
      </c>
      <c r="D26" s="9">
        <v>45456</v>
      </c>
      <c r="E26" s="10">
        <v>45503</v>
      </c>
      <c r="F26" s="20">
        <f t="shared" si="0"/>
        <v>47</v>
      </c>
      <c r="G26" s="6">
        <f t="shared" si="1"/>
        <v>45504</v>
      </c>
      <c r="H26" s="4">
        <v>1</v>
      </c>
      <c r="I26" s="4">
        <v>1</v>
      </c>
      <c r="J26" s="4">
        <f t="shared" si="2"/>
        <v>0</v>
      </c>
      <c r="K26" s="4">
        <f t="shared" si="3"/>
        <v>0</v>
      </c>
      <c r="L26" s="16">
        <v>234252949</v>
      </c>
      <c r="M26" s="16">
        <v>234252949</v>
      </c>
      <c r="N26" s="16">
        <v>233959099</v>
      </c>
      <c r="O26" s="16">
        <v>0</v>
      </c>
      <c r="P26" s="17">
        <v>797.18546537348982</v>
      </c>
      <c r="Q26" s="18">
        <v>1</v>
      </c>
    </row>
    <row r="27" spans="1:17" x14ac:dyDescent="0.45">
      <c r="A27" s="5">
        <v>26</v>
      </c>
      <c r="B27" s="8" t="s">
        <v>23</v>
      </c>
      <c r="C27" s="11">
        <v>830180856</v>
      </c>
      <c r="D27" s="9">
        <v>45414</v>
      </c>
      <c r="E27" s="10">
        <v>45596</v>
      </c>
      <c r="F27" s="20">
        <f t="shared" si="0"/>
        <v>182</v>
      </c>
      <c r="G27" s="6">
        <f t="shared" si="1"/>
        <v>45596</v>
      </c>
      <c r="H27" s="4">
        <v>1</v>
      </c>
      <c r="I27" s="4">
        <v>1</v>
      </c>
      <c r="J27" s="4">
        <f t="shared" si="2"/>
        <v>0</v>
      </c>
      <c r="K27" s="4">
        <f t="shared" si="3"/>
        <v>0</v>
      </c>
      <c r="L27" s="16">
        <v>830180856</v>
      </c>
      <c r="M27" s="16">
        <v>830180856</v>
      </c>
      <c r="N27" s="16">
        <v>792173756</v>
      </c>
      <c r="O27" s="16">
        <v>0</v>
      </c>
      <c r="P27" s="17">
        <v>21.842783479928752</v>
      </c>
      <c r="Q27" s="18">
        <v>1</v>
      </c>
    </row>
    <row r="28" spans="1:17" x14ac:dyDescent="0.45">
      <c r="A28" s="5">
        <v>27</v>
      </c>
      <c r="B28" s="8" t="s">
        <v>18</v>
      </c>
      <c r="C28" s="11">
        <v>1566562163</v>
      </c>
      <c r="D28" s="9">
        <v>45402</v>
      </c>
      <c r="E28" s="10">
        <v>45656</v>
      </c>
      <c r="F28" s="20">
        <f t="shared" si="0"/>
        <v>254</v>
      </c>
      <c r="G28" s="6">
        <f t="shared" si="1"/>
        <v>45657</v>
      </c>
      <c r="H28" s="4">
        <v>1</v>
      </c>
      <c r="I28" s="4">
        <v>0.99</v>
      </c>
      <c r="J28" s="4">
        <f t="shared" si="2"/>
        <v>-1.0000000000000009E-2</v>
      </c>
      <c r="K28" s="4">
        <f t="shared" si="3"/>
        <v>-1.0000000000000009E-2</v>
      </c>
      <c r="L28" s="16">
        <v>1550896541.3699999</v>
      </c>
      <c r="M28" s="16">
        <v>1566562163</v>
      </c>
      <c r="N28" s="16">
        <v>1437774869.3699999</v>
      </c>
      <c r="O28" s="16">
        <v>-15665621.630000114</v>
      </c>
      <c r="P28" s="17">
        <v>13.709986017268202</v>
      </c>
      <c r="Q28" s="18">
        <v>0.98999999999999988</v>
      </c>
    </row>
    <row r="29" spans="1:17" x14ac:dyDescent="0.45">
      <c r="A29" s="5">
        <v>28</v>
      </c>
      <c r="B29" s="8" t="s">
        <v>26</v>
      </c>
      <c r="C29" s="11">
        <v>1087776079</v>
      </c>
      <c r="D29" s="9">
        <v>45369</v>
      </c>
      <c r="E29" s="10">
        <v>45552</v>
      </c>
      <c r="F29" s="20">
        <f t="shared" si="0"/>
        <v>183</v>
      </c>
      <c r="G29" s="6">
        <f t="shared" si="1"/>
        <v>45565</v>
      </c>
      <c r="H29" s="4">
        <v>1</v>
      </c>
      <c r="I29" s="4">
        <v>1</v>
      </c>
      <c r="J29" s="4">
        <f t="shared" si="2"/>
        <v>0</v>
      </c>
      <c r="K29" s="4">
        <f t="shared" si="3"/>
        <v>0</v>
      </c>
      <c r="L29" s="16">
        <v>1087776079</v>
      </c>
      <c r="M29" s="16">
        <v>1087776079</v>
      </c>
      <c r="N29" s="16">
        <v>1049773141</v>
      </c>
      <c r="O29" s="16">
        <v>0</v>
      </c>
      <c r="P29" s="17">
        <v>28.623473243042419</v>
      </c>
      <c r="Q29" s="18">
        <v>1</v>
      </c>
    </row>
    <row r="30" spans="1:17" x14ac:dyDescent="0.45">
      <c r="A30" s="5">
        <v>29</v>
      </c>
      <c r="B30" s="8" t="s">
        <v>2</v>
      </c>
      <c r="C30" s="11">
        <v>4004446789</v>
      </c>
      <c r="D30" s="9">
        <v>45345</v>
      </c>
      <c r="E30" s="10">
        <v>45587</v>
      </c>
      <c r="F30" s="20">
        <f t="shared" si="0"/>
        <v>242</v>
      </c>
      <c r="G30" s="6">
        <f t="shared" si="1"/>
        <v>45596</v>
      </c>
      <c r="H30" s="4">
        <v>1</v>
      </c>
      <c r="I30" s="4">
        <v>0.99</v>
      </c>
      <c r="J30" s="4">
        <f t="shared" si="2"/>
        <v>-1.0000000000000009E-2</v>
      </c>
      <c r="K30" s="4">
        <f t="shared" si="3"/>
        <v>-1.0000000000000009E-2</v>
      </c>
      <c r="L30" s="16">
        <v>3964402321.1100001</v>
      </c>
      <c r="M30" s="16">
        <v>4004446789</v>
      </c>
      <c r="N30" s="16">
        <v>3132146973.1100001</v>
      </c>
      <c r="O30" s="16">
        <v>-40044467.889999866</v>
      </c>
      <c r="P30" s="17">
        <v>4.7634446935509507</v>
      </c>
      <c r="Q30" s="18">
        <v>0.99</v>
      </c>
    </row>
    <row r="31" spans="1:17" x14ac:dyDescent="0.45">
      <c r="A31" s="5">
        <v>30</v>
      </c>
      <c r="B31" s="8" t="s">
        <v>27</v>
      </c>
      <c r="C31" s="11">
        <v>7806909725</v>
      </c>
      <c r="D31" s="9">
        <v>45292</v>
      </c>
      <c r="E31" s="10">
        <v>45381</v>
      </c>
      <c r="F31" s="20">
        <f t="shared" si="0"/>
        <v>89</v>
      </c>
      <c r="G31" s="6">
        <f t="shared" si="1"/>
        <v>45382</v>
      </c>
      <c r="H31" s="4">
        <v>1</v>
      </c>
      <c r="I31" s="4">
        <v>1</v>
      </c>
      <c r="J31" s="4">
        <f t="shared" si="2"/>
        <v>0</v>
      </c>
      <c r="K31" s="4">
        <f t="shared" si="3"/>
        <v>0</v>
      </c>
      <c r="L31" s="16">
        <v>7806909725</v>
      </c>
      <c r="M31" s="16">
        <v>7806909725</v>
      </c>
      <c r="N31" s="16">
        <v>7805766600.0100002</v>
      </c>
      <c r="O31" s="16">
        <v>0</v>
      </c>
      <c r="P31" s="17">
        <v>6829.4454178628357</v>
      </c>
      <c r="Q31" s="18">
        <v>1</v>
      </c>
    </row>
    <row r="32" spans="1:17" x14ac:dyDescent="0.45">
      <c r="A32" s="5">
        <v>31</v>
      </c>
      <c r="B32" s="8" t="s">
        <v>16</v>
      </c>
      <c r="C32" s="11">
        <v>1422409157</v>
      </c>
      <c r="D32" s="9">
        <v>45292</v>
      </c>
      <c r="E32" s="10">
        <v>45534</v>
      </c>
      <c r="F32" s="20">
        <f t="shared" si="0"/>
        <v>242</v>
      </c>
      <c r="G32" s="6">
        <f t="shared" si="1"/>
        <v>45535</v>
      </c>
      <c r="H32" s="4">
        <v>1</v>
      </c>
      <c r="I32" s="4">
        <v>1</v>
      </c>
      <c r="J32" s="4">
        <f t="shared" si="2"/>
        <v>0</v>
      </c>
      <c r="K32" s="4">
        <f t="shared" si="3"/>
        <v>0</v>
      </c>
      <c r="L32" s="16">
        <v>1422409157</v>
      </c>
      <c r="M32" s="16">
        <v>1422409157</v>
      </c>
      <c r="N32" s="16">
        <v>1235694600.8299999</v>
      </c>
      <c r="O32" s="16">
        <v>0</v>
      </c>
      <c r="P32" s="17">
        <v>7.6180946262428728</v>
      </c>
      <c r="Q32" s="18">
        <v>1</v>
      </c>
    </row>
    <row r="33" spans="1:17" x14ac:dyDescent="0.45">
      <c r="A33" s="5">
        <v>32</v>
      </c>
      <c r="B33" s="8" t="s">
        <v>24</v>
      </c>
      <c r="C33" s="11">
        <v>7778633799</v>
      </c>
      <c r="D33" s="9">
        <v>45300</v>
      </c>
      <c r="E33" s="10">
        <v>45473</v>
      </c>
      <c r="F33" s="20">
        <f t="shared" si="0"/>
        <v>173</v>
      </c>
      <c r="G33" s="6">
        <f t="shared" si="1"/>
        <v>45473</v>
      </c>
      <c r="H33" s="4">
        <v>1</v>
      </c>
      <c r="I33" s="4">
        <v>0.98</v>
      </c>
      <c r="J33" s="4">
        <f t="shared" si="2"/>
        <v>-2.0000000000000018E-2</v>
      </c>
      <c r="K33" s="4">
        <f t="shared" si="3"/>
        <v>-2.0000000000000018E-2</v>
      </c>
      <c r="L33" s="16">
        <v>7623061123.0199995</v>
      </c>
      <c r="M33" s="16">
        <v>7778633799</v>
      </c>
      <c r="N33" s="16">
        <v>7306965333.8599997</v>
      </c>
      <c r="O33" s="16">
        <v>-155572675.9800005</v>
      </c>
      <c r="P33" s="17">
        <v>24.116300768440141</v>
      </c>
      <c r="Q33" s="18">
        <v>0.98</v>
      </c>
    </row>
    <row r="34" spans="1:17" x14ac:dyDescent="0.45">
      <c r="A34" s="5">
        <v>33</v>
      </c>
      <c r="B34" s="8" t="s">
        <v>23</v>
      </c>
      <c r="C34" s="11">
        <v>5280083724</v>
      </c>
      <c r="D34" s="9">
        <v>45300</v>
      </c>
      <c r="E34" s="10">
        <v>45473</v>
      </c>
      <c r="F34" s="20">
        <f t="shared" si="0"/>
        <v>173</v>
      </c>
      <c r="G34" s="6">
        <f t="shared" si="1"/>
        <v>45473</v>
      </c>
      <c r="H34" s="4">
        <v>1</v>
      </c>
      <c r="I34" s="4">
        <v>1</v>
      </c>
      <c r="J34" s="4">
        <f t="shared" si="2"/>
        <v>0</v>
      </c>
      <c r="K34" s="4">
        <f t="shared" si="3"/>
        <v>0</v>
      </c>
      <c r="L34" s="16">
        <v>5280083724</v>
      </c>
      <c r="M34" s="16">
        <v>5280083724</v>
      </c>
      <c r="N34" s="16">
        <v>5279147357</v>
      </c>
      <c r="O34" s="16">
        <v>0</v>
      </c>
      <c r="P34" s="17">
        <v>5638.9041091794134</v>
      </c>
      <c r="Q34" s="18">
        <v>1</v>
      </c>
    </row>
    <row r="35" spans="1:17" x14ac:dyDescent="0.45">
      <c r="A35" s="5">
        <v>34</v>
      </c>
      <c r="B35" s="8" t="s">
        <v>28</v>
      </c>
      <c r="C35" s="11">
        <v>970233948</v>
      </c>
      <c r="D35" s="9">
        <v>45306</v>
      </c>
      <c r="E35" s="10">
        <v>45412</v>
      </c>
      <c r="F35" s="20">
        <f t="shared" si="0"/>
        <v>106</v>
      </c>
      <c r="G35" s="6">
        <f t="shared" si="1"/>
        <v>45412</v>
      </c>
      <c r="H35" s="4">
        <v>1</v>
      </c>
      <c r="I35" s="4">
        <v>1</v>
      </c>
      <c r="J35" s="4">
        <f t="shared" si="2"/>
        <v>0</v>
      </c>
      <c r="K35" s="4">
        <f t="shared" si="3"/>
        <v>0</v>
      </c>
      <c r="L35" s="16">
        <v>970233948</v>
      </c>
      <c r="M35" s="16">
        <v>970233948</v>
      </c>
      <c r="N35" s="16">
        <v>967291522.72000003</v>
      </c>
      <c r="O35" s="16">
        <v>0</v>
      </c>
      <c r="P35" s="17">
        <v>329.73953649555381</v>
      </c>
      <c r="Q35" s="18">
        <v>1</v>
      </c>
    </row>
  </sheetData>
  <autoFilter ref="A1:Q1" xr:uid="{00000000-0001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B12E-8487-4CC0-8210-7C3556ED4030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Ontibon</dc:creator>
  <cp:lastModifiedBy>Yuri Ontibon</cp:lastModifiedBy>
  <dcterms:created xsi:type="dcterms:W3CDTF">2015-06-05T18:19:34Z</dcterms:created>
  <dcterms:modified xsi:type="dcterms:W3CDTF">2026-04-14T15:46:49Z</dcterms:modified>
</cp:coreProperties>
</file>