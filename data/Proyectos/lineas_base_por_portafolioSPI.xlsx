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 Portafolios" sheetId="1" state="visible" r:id="rId3"/>
    <sheet name="DATOS Y SI" sheetId="2" state="visible" r:id="rId4"/>
    <sheet name="Graf_DATOS " sheetId="3" state="visible" r:id="rId5"/>
    <sheet name="TI" sheetId="4" state="visible" r:id="rId6"/>
    <sheet name="Graf_TI" sheetId="5" state="visible" r:id="rId7"/>
    <sheet name="CONSULTORÍA" sheetId="6" state="visible" r:id="rId8"/>
    <sheet name="Graf_CONSU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<sst xmlns="http://schemas.openxmlformats.org/spreadsheetml/2006/main" count="246" uniqueCount="87">
  <si>
    <t xml:space="preserve">COMPARATIVO DE LÍNEAS BASE SPI POR PORTAFOLIO</t>
  </si>
  <si>
    <t xml:space="preserve">74 proyectos | 390 observaciones | Análisis por mes relativo (deciles 0–100%)</t>
  </si>
  <si>
    <t xml:space="preserve">Portafolio</t>
  </si>
  <si>
    <t xml:space="preserve">Proyectos</t>
  </si>
  <si>
    <t xml:space="preserve">Obs.</t>
  </si>
  <si>
    <t xml:space="preserve">CL (media)</t>
  </si>
  <si>
    <t xml:space="preserve">UCL +3σ</t>
  </si>
  <si>
    <t xml:space="preserve">LCL -3σ</t>
  </si>
  <si>
    <t xml:space="preserve">Desv. Est. (σ)</t>
  </si>
  <si>
    <t xml:space="preserve">CV</t>
  </si>
  <si>
    <t xml:space="preserve">Mediana</t>
  </si>
  <si>
    <t xml:space="preserve">SPI mín. fase</t>
  </si>
  <si>
    <t xml:space="preserve">Proceso controlado</t>
  </si>
  <si>
    <t xml:space="preserve">Reglas activas</t>
  </si>
  <si>
    <t xml:space="preserve">DATOS Y SISTEMAS DE INFORMACIÓN</t>
  </si>
  <si>
    <t xml:space="preserve">MARGINAL</t>
  </si>
  <si>
    <t xml:space="preserve">R1(2), R5(3)</t>
  </si>
  <si>
    <t xml:space="preserve">TI</t>
  </si>
  <si>
    <t xml:space="preserve">NO CONTROLADO</t>
  </si>
  <si>
    <t xml:space="preserve">R1(3), R2(19), R5(4)</t>
  </si>
  <si>
    <t xml:space="preserve">CONSULTORÍA</t>
  </si>
  <si>
    <t xml:space="preserve">R1(3), R2(8)</t>
  </si>
  <si>
    <t xml:space="preserve">DETALLE REGLAS DE NELSON POR PORTAFOLIO</t>
  </si>
  <si>
    <t xml:space="preserve">Regla</t>
  </si>
  <si>
    <t xml:space="preserve">Descripción</t>
  </si>
  <si>
    <t xml:space="preserve">DATOS Y SI</t>
  </si>
  <si>
    <t xml:space="preserve">Interpretación</t>
  </si>
  <si>
    <t xml:space="preserve">R1</t>
  </si>
  <si>
    <t xml:space="preserve">Punto fuera de 3σ</t>
  </si>
  <si>
    <t xml:space="preserve">Causas especiales puntuales. Todos los portafolios afectados.</t>
  </si>
  <si>
    <t xml:space="preserve">R2</t>
  </si>
  <si>
    <t xml:space="preserve">9 consecutivos mismo lado</t>
  </si>
  <si>
    <t xml:space="preserve">Deriva sistemática. TI es el más afectado (19 secuencias).</t>
  </si>
  <si>
    <t xml:space="preserve">R3</t>
  </si>
  <si>
    <t xml:space="preserve">6 consecutivos monotónos</t>
  </si>
  <si>
    <t xml:space="preserve">Sin violaciones en ningún portafolio.</t>
  </si>
  <si>
    <t xml:space="preserve">R5</t>
  </si>
  <si>
    <t xml:space="preserve">2 de 3 fuera de 2σ</t>
  </si>
  <si>
    <t xml:space="preserve">Incremento puntual de variabilidad.</t>
  </si>
  <si>
    <t xml:space="preserve">R6</t>
  </si>
  <si>
    <t xml:space="preserve">4 de 5 fuera de 1σ</t>
  </si>
  <si>
    <t xml:space="preserve">CONCLUSIÓN COMPARATIVA</t>
  </si>
  <si>
    <t xml:space="preserve">TI — Más problemático</t>
  </si>
  <si>
    <t xml:space="preserve">R2 con 19 secuencias: fuerte deriva sistemática del SPI + mayor CV en fase inicial (39.9%). CL mínima en 30-40% llega a 0.84. Requiere monitoreo por fase.</t>
  </si>
  <si>
    <t xml:space="preserve">CONSULTORÍA — Más estable</t>
  </si>
  <si>
    <t xml:space="preserve">Menor CV global (19.4%) y σ más baja (0.178). R2 con solo 8 secuencias. Sin R5 activo. Es el portafolio con comportamiento más predecible.</t>
  </si>
  <si>
    <t xml:space="preserve">DATOS Y SI — Riesgo en cierre</t>
  </si>
  <si>
    <t xml:space="preserve">CL sube bien en fases medias pero cae a 0.90 en la fase 90-100% con CV alto (30.9%) — sugiere que muchos proyectos "arrancan" bien pero tienen problemas al cerrar.</t>
  </si>
  <si>
    <t xml:space="preserve">Uso operativo</t>
  </si>
  <si>
    <t xml:space="preserve">Usar líneas base independientes por portafolio para alertas. Los límites globales sub-representan el riesgo de TI y sobre-alarman en CONSULTORÍA.</t>
  </si>
  <si>
    <t xml:space="preserve">LÍNEA BASE SPI — DATOS Y SISTEMAS DE INFORMACIÓN</t>
  </si>
  <si>
    <t xml:space="preserve">CL (Media global)</t>
  </si>
  <si>
    <t xml:space="preserve">Fase</t>
  </si>
  <si>
    <t xml:space="preserve">N</t>
  </si>
  <si>
    <t xml:space="preserve">CL</t>
  </si>
  <si>
    <t xml:space="preserve">σ</t>
  </si>
  <si>
    <t xml:space="preserve">Outliers</t>
  </si>
  <si>
    <t xml:space="preserve">UCL (+3σ)</t>
  </si>
  <si>
    <t xml:space="preserve">0-10%</t>
  </si>
  <si>
    <t xml:space="preserve">LCL (-3σ)</t>
  </si>
  <si>
    <t xml:space="preserve">10-20%</t>
  </si>
  <si>
    <t xml:space="preserve">Desv. Estándar (σ)</t>
  </si>
  <si>
    <t xml:space="preserve">20-30%</t>
  </si>
  <si>
    <t xml:space="preserve">30-40%</t>
  </si>
  <si>
    <t xml:space="preserve">40-50%</t>
  </si>
  <si>
    <t xml:space="preserve">N Proyectos</t>
  </si>
  <si>
    <t xml:space="preserve">50-60%</t>
  </si>
  <si>
    <t xml:space="preserve">N Observaciones</t>
  </si>
  <si>
    <t xml:space="preserve">60-70%</t>
  </si>
  <si>
    <t xml:space="preserve">70-80%</t>
  </si>
  <si>
    <t xml:space="preserve">80-90%</t>
  </si>
  <si>
    <t xml:space="preserve">90-100%</t>
  </si>
  <si>
    <t xml:space="preserve">REGLAS DE NELSON — DATOS Y SISTEMAS DE INFORMACIÓN</t>
  </si>
  <si>
    <t xml:space="preserve">Violaciones</t>
  </si>
  <si>
    <t xml:space="preserve">Estado</t>
  </si>
  <si>
    <t xml:space="preserve">⚠ ACTIVA</t>
  </si>
  <si>
    <t xml:space="preserve">✓ OK</t>
  </si>
  <si>
    <t xml:space="preserve">→ Ver hoja 'Graf_DATOS ' para gráfica de control</t>
  </si>
  <si>
    <t xml:space="preserve">UCL</t>
  </si>
  <si>
    <t xml:space="preserve">LCL</t>
  </si>
  <si>
    <t xml:space="preserve">Ref=1</t>
  </si>
  <si>
    <t xml:space="preserve">LÍNEA BASE SPI — TI</t>
  </si>
  <si>
    <t xml:space="preserve">REGLAS DE NELSON — TI</t>
  </si>
  <si>
    <t xml:space="preserve">→ Ver hoja 'Graf_TI' para gráfica de control</t>
  </si>
  <si>
    <t xml:space="preserve">LÍNEA BASE SPI — CONSULTORÍA</t>
  </si>
  <si>
    <t xml:space="preserve">REGLAS DE NELSON — CONSULTORÍA</t>
  </si>
  <si>
    <t xml:space="preserve">→ Ver hoja 'Graf_CONSUL' para gráfica de control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</si>
</sst>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"/>
    <numFmt numFmtId="167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43F60"/>
        <bgColor rgb="FF1F4E79"/>
      </patternFill>
    </fill>
    <fill>
      <patternFill patternType="solid">
        <fgColor rgb="FFD6E4F0"/>
        <bgColor rgb="FFD9D9D9"/>
      </patternFill>
    </fill>
    <fill>
      <patternFill patternType="solid">
        <fgColor rgb="FFFADBD8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ADBD8"/>
      </patternFill>
    </fill>
    <fill>
      <patternFill patternType="solid">
        <fgColor rgb="FFEAF3DE"/>
        <bgColor rgb="FFE8F8E8"/>
      </patternFill>
    </fill>
    <fill>
      <patternFill patternType="solid">
        <fgColor rgb="FFEDE7F6"/>
        <bgColor rgb="FFF2F2F2"/>
      </patternFill>
    </fill>
    <fill>
      <patternFill patternType="solid">
        <fgColor rgb="FF7030A0"/>
        <bgColor rgb="FF5B2C8D"/>
      </patternFill>
    </fill>
    <fill>
      <patternFill patternType="solid">
        <fgColor rgb="FF5B2C8D"/>
        <bgColor rgb="FF7030A0"/>
      </patternFill>
    </fill>
    <fill>
      <patternFill patternType="solid">
        <fgColor rgb="FFE8F8E8"/>
        <bgColor rgb="FFEAF3DE"/>
      </patternFill>
    </fill>
    <fill>
      <patternFill patternType="solid">
        <fgColor rgb="FF843C0C"/>
        <bgColor rgb="FF993366"/>
      </patternFill>
    </fill>
    <fill>
      <patternFill patternType="solid">
        <fgColor rgb="FFF2F2F2"/>
        <bgColor rgb="FFE8F8E8"/>
      </patternFill>
    </fill>
    <fill>
      <patternFill patternType="solid">
        <fgColor rgb="FF1F4E79"/>
        <bgColor rgb="FF243F60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E8F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AF3DE"/>
      <rgbColor rgb="FFFCE4D6"/>
      <rgbColor rgb="FFEDE7F6"/>
      <rgbColor rgb="FFF2F2F2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75623"/>
      <rgbColor rgb="FF843C0C"/>
      <rgbColor rgb="FF993366"/>
      <rgbColor rgb="FF5B2C8D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Base SPI — DATOS Y 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'Graf_DATOS '!B1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'Graf_DATOS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'Graf_DATOS '!$B$2:$B$11</c:f>
              <c:numCache>
                <c:formatCode>General</c:formatCode>
                <c:ptCount val="10"/>
                <c:pt idx="0">
                  <c:v>0.9857</c:v>
                </c:pt>
                <c:pt idx="1">
                  <c:v>0.8473</c:v>
                </c:pt>
                <c:pt idx="2">
                  <c:v>0.9073</c:v>
                </c:pt>
                <c:pt idx="3">
                  <c:v>0.9149</c:v>
                </c:pt>
                <c:pt idx="4">
                  <c:v>0.8824</c:v>
                </c:pt>
                <c:pt idx="5">
                  <c:v>0.892</c:v>
                </c:pt>
                <c:pt idx="6">
                  <c:v>0.9423</c:v>
                </c:pt>
                <c:pt idx="7">
                  <c:v>0.9436</c:v>
                </c:pt>
                <c:pt idx="8">
                  <c:v>0.9611</c:v>
                </c:pt>
                <c:pt idx="9">
                  <c:v>0.9012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'Graf_DATOS '!C1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'Graf_DATOS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'Graf_DATOS '!$C$2:$C$11</c:f>
              <c:numCache>
                <c:formatCode>General</c:formatCode>
                <c:ptCount val="10"/>
                <c:pt idx="0">
                  <c:v>1.3502</c:v>
                </c:pt>
                <c:pt idx="1">
                  <c:v>1.5138</c:v>
                </c:pt>
                <c:pt idx="2">
                  <c:v>1.7562</c:v>
                </c:pt>
                <c:pt idx="3">
                  <c:v>1.5279</c:v>
                </c:pt>
                <c:pt idx="4">
                  <c:v>1.4769</c:v>
                </c:pt>
                <c:pt idx="5">
                  <c:v>1.4145</c:v>
                </c:pt>
                <c:pt idx="6">
                  <c:v>1.3955</c:v>
                </c:pt>
                <c:pt idx="7">
                  <c:v>1.3083</c:v>
                </c:pt>
                <c:pt idx="8">
                  <c:v>1.2894</c:v>
                </c:pt>
                <c:pt idx="9">
                  <c:v>1.7355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'Graf_DATOS '!D1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'Graf_DATOS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'Graf_DATOS '!$D$2:$D$11</c:f>
              <c:numCache>
                <c:formatCode>General</c:formatCode>
                <c:ptCount val="10"/>
                <c:pt idx="0">
                  <c:v>0.6212</c:v>
                </c:pt>
                <c:pt idx="1">
                  <c:v>0.1807</c:v>
                </c:pt>
                <c:pt idx="2">
                  <c:v>0.0583</c:v>
                </c:pt>
                <c:pt idx="3">
                  <c:v>0.3019</c:v>
                </c:pt>
                <c:pt idx="4">
                  <c:v>0.2879</c:v>
                </c:pt>
                <c:pt idx="5">
                  <c:v>0.3695</c:v>
                </c:pt>
                <c:pt idx="6">
                  <c:v>0.489</c:v>
                </c:pt>
                <c:pt idx="7">
                  <c:v>0.579</c:v>
                </c:pt>
                <c:pt idx="8">
                  <c:v>0.6328</c:v>
                </c:pt>
                <c:pt idx="9">
                  <c:v>0.0669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'Graf_DATOS '!E1</c:f>
              <c:strCache>
                <c:ptCount val="1"/>
                <c:pt idx="0">
                  <c:v>Ref=1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'Graf_DATOS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'Graf_DATOS '!$E$2:$E$11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144751"/>
        <c:axId val="55294927"/>
      </c:lineChart>
      <c:catAx>
        <c:axId val="85144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94927"/>
        <c:crosses val="autoZero"/>
        <c:auto val="1"/>
        <c:lblAlgn val="ctr"/>
        <c:lblOffset val="100"/>
        <c:noMultiLvlLbl val="0"/>
      </c:catAx>
      <c:valAx>
        <c:axId val="55294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44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Base SPI — TI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Graf_TI!B1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Graf_TI!$B$2:$B$11</c:f>
              <c:numCache>
                <c:formatCode>General</c:formatCode>
                <c:ptCount val="10"/>
                <c:pt idx="0">
                  <c:v>1.2389</c:v>
                </c:pt>
                <c:pt idx="1">
                  <c:v>0.9405</c:v>
                </c:pt>
                <c:pt idx="2">
                  <c:v>0.9965</c:v>
                </c:pt>
                <c:pt idx="3">
                  <c:v>0.8421</c:v>
                </c:pt>
                <c:pt idx="4">
                  <c:v>0.9168</c:v>
                </c:pt>
                <c:pt idx="5">
                  <c:v>0.9556</c:v>
                </c:pt>
                <c:pt idx="6">
                  <c:v>0.8526</c:v>
                </c:pt>
                <c:pt idx="7">
                  <c:v>0.984</c:v>
                </c:pt>
                <c:pt idx="8">
                  <c:v>0.9766</c:v>
                </c:pt>
                <c:pt idx="9">
                  <c:v>0.9882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Graf_TI!C1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Graf_TI!$C$2:$C$11</c:f>
              <c:numCache>
                <c:formatCode>General</c:formatCode>
                <c:ptCount val="10"/>
                <c:pt idx="0">
                  <c:v>2.2</c:v>
                </c:pt>
                <c:pt idx="1">
                  <c:v>1.2539</c:v>
                </c:pt>
                <c:pt idx="2">
                  <c:v>1.3123</c:v>
                </c:pt>
                <c:pt idx="3">
                  <c:v>1.6928</c:v>
                </c:pt>
                <c:pt idx="4">
                  <c:v>1.4117</c:v>
                </c:pt>
                <c:pt idx="5">
                  <c:v>1.4346</c:v>
                </c:pt>
                <c:pt idx="6">
                  <c:v>1.6752</c:v>
                </c:pt>
                <c:pt idx="7">
                  <c:v>1.345</c:v>
                </c:pt>
                <c:pt idx="8">
                  <c:v>1.2066</c:v>
                </c:pt>
                <c:pt idx="9">
                  <c:v>1.1573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Graf_TI!D1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Graf_TI!$D$2:$D$11</c:f>
              <c:numCache>
                <c:formatCode>General</c:formatCode>
                <c:ptCount val="10"/>
                <c:pt idx="0">
                  <c:v>0</c:v>
                </c:pt>
                <c:pt idx="1">
                  <c:v>0.6271</c:v>
                </c:pt>
                <c:pt idx="2">
                  <c:v>0.6807</c:v>
                </c:pt>
                <c:pt idx="3">
                  <c:v>0</c:v>
                </c:pt>
                <c:pt idx="4">
                  <c:v>0.422</c:v>
                </c:pt>
                <c:pt idx="5">
                  <c:v>0.4766</c:v>
                </c:pt>
                <c:pt idx="6">
                  <c:v>0.0299</c:v>
                </c:pt>
                <c:pt idx="7">
                  <c:v>0.6231</c:v>
                </c:pt>
                <c:pt idx="8">
                  <c:v>0.7466</c:v>
                </c:pt>
                <c:pt idx="9">
                  <c:v>0.819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Graf_TI!E1</c:f>
              <c:strCache>
                <c:ptCount val="1"/>
                <c:pt idx="0">
                  <c:v>Ref=1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Graf_TI!$E$2:$E$11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05221"/>
        <c:axId val="13712829"/>
      </c:lineChart>
      <c:catAx>
        <c:axId val="15005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12829"/>
        <c:crosses val="autoZero"/>
        <c:auto val="1"/>
        <c:lblAlgn val="ctr"/>
        <c:lblOffset val="100"/>
        <c:noMultiLvlLbl val="0"/>
      </c:catAx>
      <c:valAx>
        <c:axId val="13712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05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Base SPI — CONSULTORÍA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Graf_CONSUL!B1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7030a0"/>
            </a:solidFill>
            <a:ln w="248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Graf_CONSUL!$A$2:$A$11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Graf_CONSUL!$B$2:$B$11</c:f>
              <c:numCache>
                <c:formatCode>General</c:formatCode>
                <c:ptCount val="10"/>
                <c:pt idx="0">
                  <c:v>0.85</c:v>
                </c:pt>
                <c:pt idx="1">
                  <c:v>0.9306</c:v>
                </c:pt>
                <c:pt idx="2">
                  <c:v>0.8973</c:v>
                </c:pt>
                <c:pt idx="3">
                  <c:v>0.865</c:v>
                </c:pt>
                <c:pt idx="4">
                  <c:v>0.9162</c:v>
                </c:pt>
                <c:pt idx="5">
                  <c:v>0.8941</c:v>
                </c:pt>
                <c:pt idx="6">
                  <c:v>0.9414</c:v>
                </c:pt>
                <c:pt idx="7">
                  <c:v>0.874</c:v>
                </c:pt>
                <c:pt idx="8">
                  <c:v>0.9448</c:v>
                </c:pt>
                <c:pt idx="9">
                  <c:v>0.9455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Graf_CONSUL!C1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Graf_CONSUL!$A$2:$A$11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Graf_CONSUL!$C$2:$C$11</c:f>
              <c:numCache>
                <c:formatCode>General</c:formatCode>
                <c:ptCount val="10"/>
                <c:pt idx="0">
                  <c:v>1.4245</c:v>
                </c:pt>
                <c:pt idx="1">
                  <c:v>1.2628</c:v>
                </c:pt>
                <c:pt idx="2">
                  <c:v>1.337</c:v>
                </c:pt>
                <c:pt idx="3">
                  <c:v>1.6921</c:v>
                </c:pt>
                <c:pt idx="4">
                  <c:v>1.4159</c:v>
                </c:pt>
                <c:pt idx="5">
                  <c:v>1.3433</c:v>
                </c:pt>
                <c:pt idx="6">
                  <c:v>1.2838</c:v>
                </c:pt>
                <c:pt idx="7">
                  <c:v>1.372</c:v>
                </c:pt>
                <c:pt idx="8">
                  <c:v>1.3163</c:v>
                </c:pt>
                <c:pt idx="9">
                  <c:v>1.5558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Graf_CONSUL!D1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Graf_CONSUL!$A$2:$A$11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Graf_CONSUL!$D$2:$D$11</c:f>
              <c:numCache>
                <c:formatCode>General</c:formatCode>
                <c:ptCount val="10"/>
                <c:pt idx="0">
                  <c:v>0.2755</c:v>
                </c:pt>
                <c:pt idx="1">
                  <c:v>0.5983</c:v>
                </c:pt>
                <c:pt idx="2">
                  <c:v>0.4576</c:v>
                </c:pt>
                <c:pt idx="3">
                  <c:v>0.0379</c:v>
                </c:pt>
                <c:pt idx="4">
                  <c:v>0.4166</c:v>
                </c:pt>
                <c:pt idx="5">
                  <c:v>0.4449</c:v>
                </c:pt>
                <c:pt idx="6">
                  <c:v>0.599</c:v>
                </c:pt>
                <c:pt idx="7">
                  <c:v>0.3759</c:v>
                </c:pt>
                <c:pt idx="8">
                  <c:v>0.5732</c:v>
                </c:pt>
                <c:pt idx="9">
                  <c:v>0.3353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Graf_CONSUL!E1</c:f>
              <c:strCache>
                <c:ptCount val="1"/>
                <c:pt idx="0">
                  <c:v>Ref=1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Graf_CONSUL!$A$2:$A$11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Graf_CONSUL!$E$2:$E$11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30420"/>
        <c:axId val="46225806"/>
      </c:lineChart>
      <c:catAx>
        <c:axId val="65630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25806"/>
        <c:crosses val="autoZero"/>
        <c:auto val="1"/>
        <c:lblAlgn val="ctr"/>
        <c:lblOffset val="100"/>
        <c:noMultiLvlLbl val="0"/>
      </c:catAx>
      <c:valAx>
        <c:axId val="46225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30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22</xdr:row>
      <xdr:rowOff>128520</xdr:rowOff>
    </xdr:to>
    <xdr:graphicFrame>
      <xdr:nvGraphicFramePr>
        <xdr:cNvPr id="0" name="Chart 1"/>
        <xdr:cNvGraphicFramePr/>
      </xdr:nvGraphicFramePr>
      <xdr:xfrm>
        <a:off x="3669120" y="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22</xdr:row>
      <xdr:rowOff>128520</xdr:rowOff>
    </xdr:to>
    <xdr:graphicFrame>
      <xdr:nvGraphicFramePr>
        <xdr:cNvPr id="1" name="Chart 1"/>
        <xdr:cNvGraphicFramePr/>
      </xdr:nvGraphicFramePr>
      <xdr:xfrm>
        <a:off x="3669120" y="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22</xdr:row>
      <xdr:rowOff>128520</xdr:rowOff>
    </xdr:to>
    <xdr:graphicFrame>
      <xdr:nvGraphicFramePr>
        <xdr:cNvPr id="2" name="Chart 1"/>
        <xdr:cNvGraphicFramePr/>
      </xdr:nvGraphicFramePr>
      <xdr:xfrm>
        <a:off x="3669120" y="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22</v>
      </c>
      <c r="C5" s="5" t="n">
        <v>129</v>
      </c>
      <c r="D5" s="6" t="n">
        <v>0.913395257779663</v>
      </c>
      <c r="E5" s="7" t="n">
        <v>1.52336929668534</v>
      </c>
      <c r="F5" s="7" t="n">
        <v>0.303421218873985</v>
      </c>
      <c r="G5" s="6" t="n">
        <v>0.203324679635226</v>
      </c>
      <c r="H5" s="8" t="n">
        <v>0.222603169770643</v>
      </c>
      <c r="I5" s="6" t="n">
        <v>1</v>
      </c>
      <c r="J5" s="9" t="n">
        <v>0.847272727272727</v>
      </c>
      <c r="K5" s="10" t="s">
        <v>15</v>
      </c>
      <c r="L5" s="11" t="s">
        <v>16</v>
      </c>
    </row>
    <row r="6" customFormat="false" ht="15" hidden="false" customHeight="false" outlineLevel="0" collapsed="false">
      <c r="A6" s="12" t="s">
        <v>17</v>
      </c>
      <c r="B6" s="13" t="n">
        <v>30</v>
      </c>
      <c r="C6" s="13" t="n">
        <v>162</v>
      </c>
      <c r="D6" s="6" t="n">
        <v>0.952455274073322</v>
      </c>
      <c r="E6" s="7" t="n">
        <v>1.59848903635641</v>
      </c>
      <c r="F6" s="7" t="n">
        <v>0.306421511790234</v>
      </c>
      <c r="G6" s="6" t="n">
        <v>0.215344587427696</v>
      </c>
      <c r="H6" s="8" t="n">
        <v>0.226094172912437</v>
      </c>
      <c r="I6" s="6" t="n">
        <v>1</v>
      </c>
      <c r="J6" s="9" t="n">
        <v>0.842120181405896</v>
      </c>
      <c r="K6" s="10" t="s">
        <v>18</v>
      </c>
      <c r="L6" s="11" t="s">
        <v>19</v>
      </c>
    </row>
    <row r="7" customFormat="false" ht="15" hidden="false" customHeight="false" outlineLevel="0" collapsed="false">
      <c r="A7" s="14" t="s">
        <v>20</v>
      </c>
      <c r="B7" s="15" t="n">
        <v>22</v>
      </c>
      <c r="C7" s="15" t="n">
        <v>99</v>
      </c>
      <c r="D7" s="6" t="n">
        <v>0.91533412405182</v>
      </c>
      <c r="E7" s="7" t="n">
        <v>1.44565111419219</v>
      </c>
      <c r="F7" s="7" t="n">
        <v>0.385017133911446</v>
      </c>
      <c r="G7" s="6" t="n">
        <v>0.176772330046791</v>
      </c>
      <c r="H7" s="8" t="n">
        <v>0.193123281872515</v>
      </c>
      <c r="I7" s="6" t="n">
        <v>1</v>
      </c>
      <c r="J7" s="9" t="n">
        <v>0.85</v>
      </c>
      <c r="K7" s="10" t="s">
        <v>15</v>
      </c>
      <c r="L7" s="11" t="s">
        <v>21</v>
      </c>
    </row>
    <row r="9" customFormat="false" ht="21.75" hidden="false" customHeight="true" outlineLevel="0" collapsed="false">
      <c r="A9" s="16" t="s">
        <v>22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customFormat="false" ht="23.85" hidden="false" customHeight="false" outlineLevel="0" collapsed="false">
      <c r="A10" s="17" t="s">
        <v>23</v>
      </c>
      <c r="B10" s="17" t="s">
        <v>24</v>
      </c>
      <c r="C10" s="17" t="s">
        <v>25</v>
      </c>
      <c r="D10" s="17" t="s">
        <v>17</v>
      </c>
      <c r="E10" s="17" t="s">
        <v>20</v>
      </c>
      <c r="F10" s="17" t="s">
        <v>26</v>
      </c>
    </row>
    <row r="11" customFormat="false" ht="15" hidden="false" customHeight="false" outlineLevel="0" collapsed="false">
      <c r="A11" s="18" t="s">
        <v>27</v>
      </c>
      <c r="B11" s="19" t="s">
        <v>28</v>
      </c>
      <c r="C11" s="20" t="n">
        <v>2</v>
      </c>
      <c r="D11" s="20" t="n">
        <v>3</v>
      </c>
      <c r="E11" s="20" t="n">
        <v>3</v>
      </c>
      <c r="F11" s="19" t="s">
        <v>29</v>
      </c>
    </row>
    <row r="12" customFormat="false" ht="15" hidden="false" customHeight="false" outlineLevel="0" collapsed="false">
      <c r="A12" s="18" t="s">
        <v>30</v>
      </c>
      <c r="B12" s="19" t="s">
        <v>31</v>
      </c>
      <c r="C12" s="20" t="n">
        <v>1</v>
      </c>
      <c r="D12" s="20" t="n">
        <v>19</v>
      </c>
      <c r="E12" s="20" t="n">
        <v>8</v>
      </c>
      <c r="F12" s="19" t="s">
        <v>32</v>
      </c>
    </row>
    <row r="13" customFormat="false" ht="15" hidden="false" customHeight="false" outlineLevel="0" collapsed="false">
      <c r="A13" s="21" t="s">
        <v>33</v>
      </c>
      <c r="B13" s="22" t="s">
        <v>34</v>
      </c>
      <c r="C13" s="23" t="n">
        <v>0</v>
      </c>
      <c r="D13" s="23" t="n">
        <v>0</v>
      </c>
      <c r="E13" s="23" t="n">
        <v>0</v>
      </c>
      <c r="F13" s="22" t="s">
        <v>35</v>
      </c>
    </row>
    <row r="14" customFormat="false" ht="15" hidden="false" customHeight="false" outlineLevel="0" collapsed="false">
      <c r="A14" s="18" t="s">
        <v>36</v>
      </c>
      <c r="B14" s="19" t="s">
        <v>37</v>
      </c>
      <c r="C14" s="20" t="n">
        <v>3</v>
      </c>
      <c r="D14" s="20" t="n">
        <v>4</v>
      </c>
      <c r="E14" s="24" t="n">
        <v>0</v>
      </c>
      <c r="F14" s="19" t="s">
        <v>38</v>
      </c>
    </row>
    <row r="15" customFormat="false" ht="15" hidden="false" customHeight="false" outlineLevel="0" collapsed="false">
      <c r="A15" s="21" t="s">
        <v>39</v>
      </c>
      <c r="B15" s="22" t="s">
        <v>40</v>
      </c>
      <c r="C15" s="23" t="n">
        <v>0</v>
      </c>
      <c r="D15" s="23" t="n">
        <v>0</v>
      </c>
      <c r="E15" s="23" t="n">
        <v>0</v>
      </c>
      <c r="F15" s="22" t="s">
        <v>35</v>
      </c>
    </row>
    <row r="17" customFormat="false" ht="15" hidden="false" customHeight="true" outlineLevel="0" collapsed="false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customFormat="false" ht="27.75" hidden="false" customHeight="true" outlineLevel="0" collapsed="false">
      <c r="A18" s="26" t="s">
        <v>42</v>
      </c>
      <c r="B18" s="27" t="s">
        <v>43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customFormat="false" ht="27.75" hidden="false" customHeight="true" outlineLevel="0" collapsed="false">
      <c r="A19" s="28" t="s">
        <v>44</v>
      </c>
      <c r="B19" s="29" t="s">
        <v>45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customFormat="false" ht="27.75" hidden="false" customHeight="true" outlineLevel="0" collapsed="false">
      <c r="A20" s="30" t="s">
        <v>46</v>
      </c>
      <c r="B20" s="31" t="s">
        <v>47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customFormat="false" ht="27.75" hidden="false" customHeight="true" outlineLevel="0" collapsed="false">
      <c r="A21" s="32" t="s">
        <v>48</v>
      </c>
      <c r="B21" s="33" t="s">
        <v>49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</row>
  </sheetData>
  <mergeCells count="8">
    <mergeCell ref="A1:L1"/>
    <mergeCell ref="A2:L2"/>
    <mergeCell ref="A9:L9"/>
    <mergeCell ref="A17:L17"/>
    <mergeCell ref="B18:L18"/>
    <mergeCell ref="B19:L19"/>
    <mergeCell ref="B20:L20"/>
    <mergeCell ref="B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0" min="6" style="0" width="12"/>
    <col collapsed="false" customWidth="true" hidden="false" outlineLevel="0" max="11" min="11" style="0" width="16"/>
  </cols>
  <sheetData>
    <row r="1" customFormat="false" ht="27.75" hidden="false" customHeight="true" outlineLevel="0" collapsed="false">
      <c r="A1" s="34" t="s">
        <v>50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customFormat="false" ht="21.75" hidden="false" customHeight="true" outlineLevel="0" collapsed="false">
      <c r="A3" s="35" t="s">
        <v>51</v>
      </c>
      <c r="B3" s="6" t="n">
        <v>0.913395257779663</v>
      </c>
      <c r="D3" s="36" t="s">
        <v>52</v>
      </c>
      <c r="E3" s="36" t="s">
        <v>53</v>
      </c>
      <c r="F3" s="36" t="s">
        <v>54</v>
      </c>
      <c r="G3" s="36" t="s">
        <v>55</v>
      </c>
      <c r="H3" s="36" t="s">
        <v>6</v>
      </c>
      <c r="I3" s="36" t="s">
        <v>7</v>
      </c>
      <c r="J3" s="36" t="s">
        <v>9</v>
      </c>
      <c r="K3" s="36" t="s">
        <v>10</v>
      </c>
      <c r="L3" s="36" t="s">
        <v>56</v>
      </c>
    </row>
    <row r="4" customFormat="false" ht="15" hidden="false" customHeight="false" outlineLevel="0" collapsed="false">
      <c r="A4" s="35" t="s">
        <v>57</v>
      </c>
      <c r="B4" s="7" t="n">
        <v>1.52336929668534</v>
      </c>
      <c r="D4" s="37" t="s">
        <v>58</v>
      </c>
      <c r="E4" s="5" t="n">
        <v>7</v>
      </c>
      <c r="F4" s="38" t="n">
        <v>0.985714285714286</v>
      </c>
      <c r="G4" s="38" t="n">
        <v>0.121498579258791</v>
      </c>
      <c r="H4" s="7" t="n">
        <v>1.35021002349066</v>
      </c>
      <c r="I4" s="7" t="n">
        <v>0.621218547937912</v>
      </c>
      <c r="J4" s="39" t="n">
        <v>0.123259428233556</v>
      </c>
      <c r="K4" s="38" t="n">
        <v>1</v>
      </c>
      <c r="L4" s="5" t="n">
        <v>0</v>
      </c>
    </row>
    <row r="5" customFormat="false" ht="15" hidden="false" customHeight="false" outlineLevel="0" collapsed="false">
      <c r="A5" s="35" t="s">
        <v>59</v>
      </c>
      <c r="B5" s="7" t="n">
        <v>0.303421218873985</v>
      </c>
      <c r="D5" s="40" t="s">
        <v>60</v>
      </c>
      <c r="E5" s="41" t="n">
        <v>11</v>
      </c>
      <c r="F5" s="42" t="n">
        <v>0.847272727272727</v>
      </c>
      <c r="G5" s="42" t="n">
        <v>0.222175197044626</v>
      </c>
      <c r="H5" s="7" t="n">
        <v>1.5137983184066</v>
      </c>
      <c r="I5" s="7" t="n">
        <v>0.180747136138851</v>
      </c>
      <c r="J5" s="43" t="n">
        <v>0.262223945009751</v>
      </c>
      <c r="K5" s="42" t="n">
        <v>1</v>
      </c>
      <c r="L5" s="41" t="n">
        <v>0</v>
      </c>
    </row>
    <row r="6" customFormat="false" ht="15" hidden="false" customHeight="false" outlineLevel="0" collapsed="false">
      <c r="A6" s="35" t="s">
        <v>61</v>
      </c>
      <c r="B6" s="6" t="n">
        <v>0.203324679635226</v>
      </c>
      <c r="D6" s="37" t="s">
        <v>62</v>
      </c>
      <c r="E6" s="5" t="n">
        <v>11</v>
      </c>
      <c r="F6" s="38" t="n">
        <v>0.907272727272727</v>
      </c>
      <c r="G6" s="38" t="n">
        <v>0.282987310990826</v>
      </c>
      <c r="H6" s="7" t="n">
        <v>1.7562346602452</v>
      </c>
      <c r="I6" s="7" t="n">
        <v>0.0583107943002509</v>
      </c>
      <c r="J6" s="39" t="n">
        <v>0.311909861813535</v>
      </c>
      <c r="K6" s="38" t="n">
        <v>1</v>
      </c>
      <c r="L6" s="5" t="n">
        <v>0</v>
      </c>
    </row>
    <row r="7" customFormat="false" ht="15" hidden="false" customHeight="false" outlineLevel="0" collapsed="false">
      <c r="A7" s="35" t="s">
        <v>9</v>
      </c>
      <c r="B7" s="8" t="n">
        <v>0.222603169770643</v>
      </c>
      <c r="D7" s="40" t="s">
        <v>63</v>
      </c>
      <c r="E7" s="41" t="n">
        <v>17</v>
      </c>
      <c r="F7" s="42" t="n">
        <v>0.914901960784314</v>
      </c>
      <c r="G7" s="42" t="n">
        <v>0.204335364478278</v>
      </c>
      <c r="H7" s="7" t="n">
        <v>1.52790805421915</v>
      </c>
      <c r="I7" s="7" t="n">
        <v>0.301895867349481</v>
      </c>
      <c r="J7" s="43" t="n">
        <v>0.223341268503904</v>
      </c>
      <c r="K7" s="42" t="n">
        <v>1</v>
      </c>
      <c r="L7" s="41" t="n">
        <v>0</v>
      </c>
    </row>
    <row r="8" customFormat="false" ht="15" hidden="false" customHeight="false" outlineLevel="0" collapsed="false">
      <c r="A8" s="35" t="s">
        <v>10</v>
      </c>
      <c r="B8" s="6" t="n">
        <v>1</v>
      </c>
      <c r="D8" s="37" t="s">
        <v>64</v>
      </c>
      <c r="E8" s="5" t="n">
        <v>13</v>
      </c>
      <c r="F8" s="38" t="n">
        <v>0.882435897435898</v>
      </c>
      <c r="G8" s="38" t="n">
        <v>0.198165913680253</v>
      </c>
      <c r="H8" s="7" t="n">
        <v>1.47693363847666</v>
      </c>
      <c r="I8" s="7" t="n">
        <v>0.28793815639514</v>
      </c>
      <c r="J8" s="39" t="n">
        <v>0.224566922374832</v>
      </c>
      <c r="K8" s="38" t="n">
        <v>1</v>
      </c>
      <c r="L8" s="5" t="n">
        <v>0</v>
      </c>
    </row>
    <row r="9" customFormat="false" ht="15" hidden="false" customHeight="false" outlineLevel="0" collapsed="false">
      <c r="A9" s="35" t="s">
        <v>65</v>
      </c>
      <c r="B9" s="44" t="n">
        <v>22</v>
      </c>
      <c r="D9" s="40" t="s">
        <v>66</v>
      </c>
      <c r="E9" s="41" t="n">
        <v>10</v>
      </c>
      <c r="F9" s="42" t="n">
        <v>0.892</v>
      </c>
      <c r="G9" s="42" t="n">
        <v>0.174151913250727</v>
      </c>
      <c r="H9" s="7" t="n">
        <v>1.41445573975218</v>
      </c>
      <c r="I9" s="7" t="n">
        <v>0.369544260247818</v>
      </c>
      <c r="J9" s="43" t="n">
        <v>0.195237570908887</v>
      </c>
      <c r="K9" s="42" t="n">
        <v>1</v>
      </c>
      <c r="L9" s="41" t="n">
        <v>0</v>
      </c>
    </row>
    <row r="10" customFormat="false" ht="15" hidden="false" customHeight="false" outlineLevel="0" collapsed="false">
      <c r="A10" s="35" t="s">
        <v>67</v>
      </c>
      <c r="B10" s="44" t="n">
        <v>129</v>
      </c>
      <c r="D10" s="37" t="s">
        <v>68</v>
      </c>
      <c r="E10" s="5" t="n">
        <v>11</v>
      </c>
      <c r="F10" s="38" t="n">
        <v>0.942258953168044</v>
      </c>
      <c r="G10" s="38" t="n">
        <v>0.15108887694098</v>
      </c>
      <c r="H10" s="7" t="n">
        <v>1.39552558399099</v>
      </c>
      <c r="I10" s="7" t="n">
        <v>0.488992322345103</v>
      </c>
      <c r="J10" s="39" t="n">
        <v>0.160347510026827</v>
      </c>
      <c r="K10" s="38" t="n">
        <v>1</v>
      </c>
      <c r="L10" s="5" t="n">
        <v>0</v>
      </c>
    </row>
    <row r="11" customFormat="false" ht="15" hidden="false" customHeight="false" outlineLevel="0" collapsed="false">
      <c r="D11" s="40" t="s">
        <v>69</v>
      </c>
      <c r="E11" s="41" t="n">
        <v>16</v>
      </c>
      <c r="F11" s="42" t="n">
        <v>0.943637820512821</v>
      </c>
      <c r="G11" s="42" t="n">
        <v>0.121548566738837</v>
      </c>
      <c r="H11" s="7" t="n">
        <v>1.30828352072933</v>
      </c>
      <c r="I11" s="7" t="n">
        <v>0.578992120296309</v>
      </c>
      <c r="J11" s="43" t="n">
        <v>0.128808494208913</v>
      </c>
      <c r="K11" s="42" t="n">
        <v>1</v>
      </c>
      <c r="L11" s="41" t="n">
        <v>0</v>
      </c>
    </row>
    <row r="12" customFormat="false" ht="15" hidden="false" customHeight="false" outlineLevel="0" collapsed="false">
      <c r="D12" s="37" t="s">
        <v>70</v>
      </c>
      <c r="E12" s="5" t="n">
        <v>8</v>
      </c>
      <c r="F12" s="38" t="n">
        <v>0.961102941176471</v>
      </c>
      <c r="G12" s="38" t="n">
        <v>0.109426334080113</v>
      </c>
      <c r="H12" s="7" t="n">
        <v>1.28938194341681</v>
      </c>
      <c r="I12" s="7" t="n">
        <v>0.632823938936131</v>
      </c>
      <c r="J12" s="39" t="n">
        <v>0.113854957041507</v>
      </c>
      <c r="K12" s="38" t="n">
        <v>1</v>
      </c>
      <c r="L12" s="5" t="n">
        <v>0</v>
      </c>
    </row>
    <row r="13" customFormat="false" ht="15" hidden="false" customHeight="false" outlineLevel="0" collapsed="false">
      <c r="D13" s="40" t="s">
        <v>71</v>
      </c>
      <c r="E13" s="41" t="n">
        <v>25</v>
      </c>
      <c r="F13" s="42" t="n">
        <v>0.901244444444445</v>
      </c>
      <c r="G13" s="42" t="n">
        <v>0.278098392748651</v>
      </c>
      <c r="H13" s="7" t="n">
        <v>1.7355396226904</v>
      </c>
      <c r="I13" s="7" t="n">
        <v>0.0669492661984928</v>
      </c>
      <c r="J13" s="43" t="n">
        <v>0.308571547334285</v>
      </c>
      <c r="K13" s="42" t="n">
        <v>1</v>
      </c>
      <c r="L13" s="45" t="n">
        <v>2</v>
      </c>
    </row>
    <row r="15" customFormat="false" ht="15" hidden="false" customHeight="true" outlineLevel="0" collapsed="false">
      <c r="A15" s="16" t="s">
        <v>72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23.85" hidden="false" customHeight="false" outlineLevel="0" collapsed="false">
      <c r="A16" s="17" t="s">
        <v>23</v>
      </c>
      <c r="B16" s="17" t="s">
        <v>24</v>
      </c>
      <c r="C16" s="17" t="s">
        <v>73</v>
      </c>
      <c r="D16" s="17" t="s">
        <v>74</v>
      </c>
    </row>
    <row r="17" customFormat="false" ht="15" hidden="false" customHeight="false" outlineLevel="0" collapsed="false">
      <c r="A17" s="18" t="s">
        <v>27</v>
      </c>
      <c r="B17" s="19" t="s">
        <v>28</v>
      </c>
      <c r="C17" s="20" t="n">
        <v>2</v>
      </c>
      <c r="D17" s="10" t="s">
        <v>75</v>
      </c>
    </row>
    <row r="18" customFormat="false" ht="15" hidden="false" customHeight="false" outlineLevel="0" collapsed="false">
      <c r="A18" s="18" t="s">
        <v>30</v>
      </c>
      <c r="B18" s="19" t="s">
        <v>31</v>
      </c>
      <c r="C18" s="20" t="n">
        <v>1</v>
      </c>
      <c r="D18" s="10" t="s">
        <v>75</v>
      </c>
    </row>
    <row r="19" customFormat="false" ht="15" hidden="false" customHeight="false" outlineLevel="0" collapsed="false">
      <c r="A19" s="21" t="s">
        <v>33</v>
      </c>
      <c r="B19" s="22" t="s">
        <v>34</v>
      </c>
      <c r="C19" s="23" t="n">
        <v>0</v>
      </c>
      <c r="D19" s="46" t="s">
        <v>76</v>
      </c>
    </row>
    <row r="20" customFormat="false" ht="15" hidden="false" customHeight="false" outlineLevel="0" collapsed="false">
      <c r="A20" s="18" t="s">
        <v>36</v>
      </c>
      <c r="B20" s="19" t="s">
        <v>37</v>
      </c>
      <c r="C20" s="20" t="n">
        <v>3</v>
      </c>
      <c r="D20" s="10" t="s">
        <v>75</v>
      </c>
    </row>
    <row r="21" customFormat="false" ht="15" hidden="false" customHeight="false" outlineLevel="0" collapsed="false">
      <c r="A21" s="21" t="s">
        <v>39</v>
      </c>
      <c r="B21" s="22" t="s">
        <v>40</v>
      </c>
      <c r="C21" s="23" t="n">
        <v>0</v>
      </c>
      <c r="D21" s="46" t="s">
        <v>76</v>
      </c>
    </row>
    <row r="23" customFormat="false" ht="15" hidden="false" customHeight="true" outlineLevel="0" collapsed="false">
      <c r="A23" s="47" t="s">
        <v>77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</row>
  </sheetData>
  <mergeCells count="3">
    <mergeCell ref="A1:K1"/>
    <mergeCell ref="A15:K15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52</v>
      </c>
      <c r="B1" s="0" t="s">
        <v>54</v>
      </c>
      <c r="C1" s="0" t="s">
        <v>78</v>
      </c>
      <c r="D1" s="0" t="s">
        <v>79</v>
      </c>
      <c r="E1" s="0" t="s">
        <v>80</v>
      </c>
    </row>
    <row r="2" customFormat="false" ht="15" hidden="false" customHeight="false" outlineLevel="0" collapsed="false">
      <c r="A2" s="0" t="s">
        <v>58</v>
      </c>
      <c r="B2" s="0" t="n">
        <v>0.9857</v>
      </c>
      <c r="C2" s="0" t="n">
        <v>1.3502</v>
      </c>
      <c r="D2" s="0" t="n">
        <v>0.6212</v>
      </c>
      <c r="E2" s="0" t="n">
        <v>1</v>
      </c>
    </row>
    <row r="3" customFormat="false" ht="15" hidden="false" customHeight="false" outlineLevel="0" collapsed="false">
      <c r="A3" s="0" t="s">
        <v>60</v>
      </c>
      <c r="B3" s="0" t="n">
        <v>0.8473</v>
      </c>
      <c r="C3" s="0" t="n">
        <v>1.5138</v>
      </c>
      <c r="D3" s="0" t="n">
        <v>0.1807</v>
      </c>
      <c r="E3" s="0" t="n">
        <v>1</v>
      </c>
    </row>
    <row r="4" customFormat="false" ht="15" hidden="false" customHeight="false" outlineLevel="0" collapsed="false">
      <c r="A4" s="0" t="s">
        <v>62</v>
      </c>
      <c r="B4" s="0" t="n">
        <v>0.9073</v>
      </c>
      <c r="C4" s="0" t="n">
        <v>1.7562</v>
      </c>
      <c r="D4" s="0" t="n">
        <v>0.0583</v>
      </c>
      <c r="E4" s="0" t="n">
        <v>1</v>
      </c>
    </row>
    <row r="5" customFormat="false" ht="15" hidden="false" customHeight="false" outlineLevel="0" collapsed="false">
      <c r="A5" s="0" t="s">
        <v>63</v>
      </c>
      <c r="B5" s="0" t="n">
        <v>0.9149</v>
      </c>
      <c r="C5" s="0" t="n">
        <v>1.5279</v>
      </c>
      <c r="D5" s="0" t="n">
        <v>0.3019</v>
      </c>
      <c r="E5" s="0" t="n">
        <v>1</v>
      </c>
    </row>
    <row r="6" customFormat="false" ht="15" hidden="false" customHeight="false" outlineLevel="0" collapsed="false">
      <c r="A6" s="0" t="s">
        <v>64</v>
      </c>
      <c r="B6" s="0" t="n">
        <v>0.8824</v>
      </c>
      <c r="C6" s="0" t="n">
        <v>1.4769</v>
      </c>
      <c r="D6" s="0" t="n">
        <v>0.2879</v>
      </c>
      <c r="E6" s="0" t="n">
        <v>1</v>
      </c>
    </row>
    <row r="7" customFormat="false" ht="15" hidden="false" customHeight="false" outlineLevel="0" collapsed="false">
      <c r="A7" s="0" t="s">
        <v>66</v>
      </c>
      <c r="B7" s="0" t="n">
        <v>0.892</v>
      </c>
      <c r="C7" s="0" t="n">
        <v>1.4145</v>
      </c>
      <c r="D7" s="0" t="n">
        <v>0.3695</v>
      </c>
      <c r="E7" s="0" t="n">
        <v>1</v>
      </c>
    </row>
    <row r="8" customFormat="false" ht="15" hidden="false" customHeight="false" outlineLevel="0" collapsed="false">
      <c r="A8" s="0" t="s">
        <v>68</v>
      </c>
      <c r="B8" s="0" t="n">
        <v>0.9423</v>
      </c>
      <c r="C8" s="0" t="n">
        <v>1.3955</v>
      </c>
      <c r="D8" s="0" t="n">
        <v>0.489</v>
      </c>
      <c r="E8" s="0" t="n">
        <v>1</v>
      </c>
    </row>
    <row r="9" customFormat="false" ht="15" hidden="false" customHeight="false" outlineLevel="0" collapsed="false">
      <c r="A9" s="0" t="s">
        <v>69</v>
      </c>
      <c r="B9" s="0" t="n">
        <v>0.9436</v>
      </c>
      <c r="C9" s="0" t="n">
        <v>1.3083</v>
      </c>
      <c r="D9" s="0" t="n">
        <v>0.579</v>
      </c>
      <c r="E9" s="0" t="n">
        <v>1</v>
      </c>
    </row>
    <row r="10" customFormat="false" ht="15" hidden="false" customHeight="false" outlineLevel="0" collapsed="false">
      <c r="A10" s="0" t="s">
        <v>70</v>
      </c>
      <c r="B10" s="0" t="n">
        <v>0.9611</v>
      </c>
      <c r="C10" s="0" t="n">
        <v>1.2894</v>
      </c>
      <c r="D10" s="0" t="n">
        <v>0.6328</v>
      </c>
      <c r="E10" s="0" t="n">
        <v>1</v>
      </c>
    </row>
    <row r="11" customFormat="false" ht="15" hidden="false" customHeight="false" outlineLevel="0" collapsed="false">
      <c r="A11" s="0" t="s">
        <v>71</v>
      </c>
      <c r="B11" s="0" t="n">
        <v>0.9012</v>
      </c>
      <c r="C11" s="0" t="n">
        <v>1.7355</v>
      </c>
      <c r="D11" s="0" t="n">
        <v>0.0669</v>
      </c>
      <c r="E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0" min="6" style="0" width="12"/>
    <col collapsed="false" customWidth="true" hidden="false" outlineLevel="0" max="11" min="11" style="0" width="16"/>
  </cols>
  <sheetData>
    <row r="1" customFormat="false" ht="27.75" hidden="false" customHeight="true" outlineLevel="0" collapsed="false">
      <c r="A1" s="48" t="s">
        <v>81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customFormat="false" ht="21.75" hidden="false" customHeight="true" outlineLevel="0" collapsed="false">
      <c r="A3" s="49" t="s">
        <v>51</v>
      </c>
      <c r="B3" s="6" t="n">
        <v>0.952455274073322</v>
      </c>
      <c r="D3" s="50" t="s">
        <v>52</v>
      </c>
      <c r="E3" s="50" t="s">
        <v>53</v>
      </c>
      <c r="F3" s="50" t="s">
        <v>54</v>
      </c>
      <c r="G3" s="50" t="s">
        <v>55</v>
      </c>
      <c r="H3" s="50" t="s">
        <v>6</v>
      </c>
      <c r="I3" s="50" t="s">
        <v>7</v>
      </c>
      <c r="J3" s="50" t="s">
        <v>9</v>
      </c>
      <c r="K3" s="50" t="s">
        <v>10</v>
      </c>
      <c r="L3" s="50" t="s">
        <v>56</v>
      </c>
    </row>
    <row r="4" customFormat="false" ht="15" hidden="false" customHeight="false" outlineLevel="0" collapsed="false">
      <c r="A4" s="49" t="s">
        <v>57</v>
      </c>
      <c r="B4" s="7" t="n">
        <v>1.59848903635641</v>
      </c>
      <c r="D4" s="51" t="s">
        <v>58</v>
      </c>
      <c r="E4" s="13" t="n">
        <v>9</v>
      </c>
      <c r="F4" s="52" t="n">
        <v>1.23888888888889</v>
      </c>
      <c r="G4" s="52" t="n">
        <v>0.494834427976784</v>
      </c>
      <c r="H4" s="7" t="n">
        <v>2.72339217281924</v>
      </c>
      <c r="I4" s="7" t="n">
        <v>0</v>
      </c>
      <c r="J4" s="53" t="n">
        <v>0.399417923927449</v>
      </c>
      <c r="K4" s="52" t="n">
        <v>1</v>
      </c>
      <c r="L4" s="13" t="n">
        <v>0</v>
      </c>
    </row>
    <row r="5" customFormat="false" ht="15" hidden="false" customHeight="false" outlineLevel="0" collapsed="false">
      <c r="A5" s="49" t="s">
        <v>59</v>
      </c>
      <c r="B5" s="7" t="n">
        <v>0.306421511790234</v>
      </c>
      <c r="D5" s="40" t="s">
        <v>60</v>
      </c>
      <c r="E5" s="41" t="n">
        <v>13</v>
      </c>
      <c r="F5" s="42" t="n">
        <v>0.940476190476191</v>
      </c>
      <c r="G5" s="42" t="n">
        <v>0.104463861754668</v>
      </c>
      <c r="H5" s="7" t="n">
        <v>1.2538677757402</v>
      </c>
      <c r="I5" s="7" t="n">
        <v>0.627084605212186</v>
      </c>
      <c r="J5" s="43" t="n">
        <v>0.111075498574584</v>
      </c>
      <c r="K5" s="42" t="n">
        <v>1</v>
      </c>
      <c r="L5" s="41" t="n">
        <v>0</v>
      </c>
    </row>
    <row r="6" customFormat="false" ht="15" hidden="false" customHeight="false" outlineLevel="0" collapsed="false">
      <c r="A6" s="49" t="s">
        <v>61</v>
      </c>
      <c r="B6" s="6" t="n">
        <v>0.215344587427696</v>
      </c>
      <c r="D6" s="51" t="s">
        <v>62</v>
      </c>
      <c r="E6" s="13" t="n">
        <v>11</v>
      </c>
      <c r="F6" s="52" t="n">
        <v>0.996509209744504</v>
      </c>
      <c r="G6" s="52" t="n">
        <v>0.105277671839357</v>
      </c>
      <c r="H6" s="7" t="n">
        <v>1.31234222526257</v>
      </c>
      <c r="I6" s="7" t="n">
        <v>0.680676194226433</v>
      </c>
      <c r="J6" s="53" t="n">
        <v>0.105646461477611</v>
      </c>
      <c r="K6" s="52" t="n">
        <v>1</v>
      </c>
      <c r="L6" s="13" t="n">
        <v>0</v>
      </c>
    </row>
    <row r="7" customFormat="false" ht="15" hidden="false" customHeight="false" outlineLevel="0" collapsed="false">
      <c r="A7" s="49" t="s">
        <v>9</v>
      </c>
      <c r="B7" s="8" t="n">
        <v>0.226094172912437</v>
      </c>
      <c r="D7" s="40" t="s">
        <v>63</v>
      </c>
      <c r="E7" s="41" t="n">
        <v>21</v>
      </c>
      <c r="F7" s="42" t="n">
        <v>0.842120181405896</v>
      </c>
      <c r="G7" s="42" t="n">
        <v>0.283561451833232</v>
      </c>
      <c r="H7" s="7" t="n">
        <v>1.69280453690559</v>
      </c>
      <c r="I7" s="7" t="n">
        <v>0</v>
      </c>
      <c r="J7" s="43" t="n">
        <v>0.336723258858177</v>
      </c>
      <c r="K7" s="42" t="n">
        <v>1</v>
      </c>
      <c r="L7" s="41" t="n">
        <v>0</v>
      </c>
    </row>
    <row r="8" customFormat="false" ht="15" hidden="false" customHeight="false" outlineLevel="0" collapsed="false">
      <c r="A8" s="49" t="s">
        <v>10</v>
      </c>
      <c r="B8" s="6" t="n">
        <v>1</v>
      </c>
      <c r="D8" s="51" t="s">
        <v>64</v>
      </c>
      <c r="E8" s="13" t="n">
        <v>19</v>
      </c>
      <c r="F8" s="52" t="n">
        <v>0.916842105263158</v>
      </c>
      <c r="G8" s="52" t="n">
        <v>0.164951259857738</v>
      </c>
      <c r="H8" s="7" t="n">
        <v>1.41169588483637</v>
      </c>
      <c r="I8" s="7" t="n">
        <v>0.421988325689944</v>
      </c>
      <c r="J8" s="53" t="n">
        <v>0.179912395941276</v>
      </c>
      <c r="K8" s="52" t="n">
        <v>1</v>
      </c>
      <c r="L8" s="13" t="n">
        <v>0</v>
      </c>
    </row>
    <row r="9" customFormat="false" ht="15" hidden="false" customHeight="false" outlineLevel="0" collapsed="false">
      <c r="A9" s="49" t="s">
        <v>65</v>
      </c>
      <c r="B9" s="44" t="n">
        <v>30</v>
      </c>
      <c r="D9" s="40" t="s">
        <v>66</v>
      </c>
      <c r="E9" s="41" t="n">
        <v>10</v>
      </c>
      <c r="F9" s="42" t="n">
        <v>0.955575396825397</v>
      </c>
      <c r="G9" s="42" t="n">
        <v>0.159660973665188</v>
      </c>
      <c r="H9" s="7" t="n">
        <v>1.43455831782096</v>
      </c>
      <c r="I9" s="7" t="n">
        <v>0.476592475829833</v>
      </c>
      <c r="J9" s="43" t="n">
        <v>0.167083596119795</v>
      </c>
      <c r="K9" s="42" t="n">
        <v>1</v>
      </c>
      <c r="L9" s="41" t="n">
        <v>0</v>
      </c>
    </row>
    <row r="10" customFormat="false" ht="15" hidden="false" customHeight="false" outlineLevel="0" collapsed="false">
      <c r="A10" s="49" t="s">
        <v>67</v>
      </c>
      <c r="B10" s="44" t="n">
        <v>162</v>
      </c>
      <c r="D10" s="51" t="s">
        <v>68</v>
      </c>
      <c r="E10" s="13" t="n">
        <v>19</v>
      </c>
      <c r="F10" s="52" t="n">
        <v>0.852554867397614</v>
      </c>
      <c r="G10" s="52" t="n">
        <v>0.274206867454726</v>
      </c>
      <c r="H10" s="7" t="n">
        <v>1.67517546976179</v>
      </c>
      <c r="I10" s="7" t="n">
        <v>0.0299342650334368</v>
      </c>
      <c r="J10" s="53" t="n">
        <v>0.321629584136597</v>
      </c>
      <c r="K10" s="52" t="n">
        <v>1</v>
      </c>
      <c r="L10" s="45" t="n">
        <v>1</v>
      </c>
    </row>
    <row r="11" customFormat="false" ht="15" hidden="false" customHeight="false" outlineLevel="0" collapsed="false">
      <c r="D11" s="40" t="s">
        <v>69</v>
      </c>
      <c r="E11" s="41" t="n">
        <v>12</v>
      </c>
      <c r="F11" s="42" t="n">
        <v>0.984014068860094</v>
      </c>
      <c r="G11" s="42" t="n">
        <v>0.12031856115373</v>
      </c>
      <c r="H11" s="7" t="n">
        <v>1.34496975232128</v>
      </c>
      <c r="I11" s="7" t="n">
        <v>0.623058385398905</v>
      </c>
      <c r="J11" s="43" t="n">
        <v>0.122273212305907</v>
      </c>
      <c r="K11" s="42" t="n">
        <v>1</v>
      </c>
      <c r="L11" s="41" t="n">
        <v>0</v>
      </c>
    </row>
    <row r="12" customFormat="false" ht="15" hidden="false" customHeight="false" outlineLevel="0" collapsed="false">
      <c r="D12" s="51" t="s">
        <v>70</v>
      </c>
      <c r="E12" s="13" t="n">
        <v>12</v>
      </c>
      <c r="F12" s="52" t="n">
        <v>0.97662037037037</v>
      </c>
      <c r="G12" s="52" t="n">
        <v>0.0766646385082828</v>
      </c>
      <c r="H12" s="7" t="n">
        <v>1.20661428589522</v>
      </c>
      <c r="I12" s="7" t="n">
        <v>0.746626454845522</v>
      </c>
      <c r="J12" s="53" t="n">
        <v>0.0784999379843048</v>
      </c>
      <c r="K12" s="52" t="n">
        <v>1</v>
      </c>
      <c r="L12" s="13" t="n">
        <v>0</v>
      </c>
    </row>
    <row r="13" customFormat="false" ht="15" hidden="false" customHeight="false" outlineLevel="0" collapsed="false">
      <c r="D13" s="40" t="s">
        <v>71</v>
      </c>
      <c r="E13" s="41" t="n">
        <v>36</v>
      </c>
      <c r="F13" s="42" t="n">
        <v>0.988153585761113</v>
      </c>
      <c r="G13" s="42" t="n">
        <v>0.0563793961900505</v>
      </c>
      <c r="H13" s="7" t="n">
        <v>1.15729177433126</v>
      </c>
      <c r="I13" s="7" t="n">
        <v>0.819015397190961</v>
      </c>
      <c r="J13" s="43" t="n">
        <v>0.0570552968713108</v>
      </c>
      <c r="K13" s="42" t="n">
        <v>1</v>
      </c>
      <c r="L13" s="45" t="n">
        <v>2</v>
      </c>
    </row>
    <row r="15" customFormat="false" ht="15" hidden="false" customHeight="true" outlineLevel="0" collapsed="false">
      <c r="A15" s="16" t="s">
        <v>82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23.85" hidden="false" customHeight="false" outlineLevel="0" collapsed="false">
      <c r="A16" s="17" t="s">
        <v>23</v>
      </c>
      <c r="B16" s="17" t="s">
        <v>24</v>
      </c>
      <c r="C16" s="17" t="s">
        <v>73</v>
      </c>
      <c r="D16" s="17" t="s">
        <v>74</v>
      </c>
    </row>
    <row r="17" customFormat="false" ht="15" hidden="false" customHeight="false" outlineLevel="0" collapsed="false">
      <c r="A17" s="18" t="s">
        <v>27</v>
      </c>
      <c r="B17" s="19" t="s">
        <v>28</v>
      </c>
      <c r="C17" s="20" t="n">
        <v>3</v>
      </c>
      <c r="D17" s="10" t="s">
        <v>75</v>
      </c>
    </row>
    <row r="18" customFormat="false" ht="15" hidden="false" customHeight="false" outlineLevel="0" collapsed="false">
      <c r="A18" s="18" t="s">
        <v>30</v>
      </c>
      <c r="B18" s="19" t="s">
        <v>31</v>
      </c>
      <c r="C18" s="20" t="n">
        <v>19</v>
      </c>
      <c r="D18" s="10" t="s">
        <v>75</v>
      </c>
    </row>
    <row r="19" customFormat="false" ht="15" hidden="false" customHeight="false" outlineLevel="0" collapsed="false">
      <c r="A19" s="21" t="s">
        <v>33</v>
      </c>
      <c r="B19" s="22" t="s">
        <v>34</v>
      </c>
      <c r="C19" s="23" t="n">
        <v>0</v>
      </c>
      <c r="D19" s="46" t="s">
        <v>76</v>
      </c>
    </row>
    <row r="20" customFormat="false" ht="15" hidden="false" customHeight="false" outlineLevel="0" collapsed="false">
      <c r="A20" s="18" t="s">
        <v>36</v>
      </c>
      <c r="B20" s="19" t="s">
        <v>37</v>
      </c>
      <c r="C20" s="20" t="n">
        <v>4</v>
      </c>
      <c r="D20" s="10" t="s">
        <v>75</v>
      </c>
    </row>
    <row r="21" customFormat="false" ht="15" hidden="false" customHeight="false" outlineLevel="0" collapsed="false">
      <c r="A21" s="21" t="s">
        <v>39</v>
      </c>
      <c r="B21" s="22" t="s">
        <v>40</v>
      </c>
      <c r="C21" s="23" t="n">
        <v>0</v>
      </c>
      <c r="D21" s="46" t="s">
        <v>76</v>
      </c>
    </row>
    <row r="23" customFormat="false" ht="15" hidden="false" customHeight="true" outlineLevel="0" collapsed="false">
      <c r="A23" s="54" t="s">
        <v>83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</row>
  </sheetData>
  <mergeCells count="3">
    <mergeCell ref="A1:K1"/>
    <mergeCell ref="A15:K15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52</v>
      </c>
      <c r="B1" s="0" t="s">
        <v>54</v>
      </c>
      <c r="C1" s="0" t="s">
        <v>78</v>
      </c>
      <c r="D1" s="0" t="s">
        <v>79</v>
      </c>
      <c r="E1" s="0" t="s">
        <v>80</v>
      </c>
    </row>
    <row r="2" customFormat="false" ht="15" hidden="false" customHeight="false" outlineLevel="0" collapsed="false">
      <c r="A2" s="0" t="s">
        <v>58</v>
      </c>
      <c r="B2" s="0" t="n">
        <v>1.2389</v>
      </c>
      <c r="C2" s="0" t="n">
        <v>2.2</v>
      </c>
      <c r="D2" s="0" t="n">
        <v>0</v>
      </c>
      <c r="E2" s="0" t="n">
        <v>1</v>
      </c>
    </row>
    <row r="3" customFormat="false" ht="15" hidden="false" customHeight="false" outlineLevel="0" collapsed="false">
      <c r="A3" s="0" t="s">
        <v>60</v>
      </c>
      <c r="B3" s="0" t="n">
        <v>0.9405</v>
      </c>
      <c r="C3" s="0" t="n">
        <v>1.2539</v>
      </c>
      <c r="D3" s="0" t="n">
        <v>0.6271</v>
      </c>
      <c r="E3" s="0" t="n">
        <v>1</v>
      </c>
    </row>
    <row r="4" customFormat="false" ht="15" hidden="false" customHeight="false" outlineLevel="0" collapsed="false">
      <c r="A4" s="0" t="s">
        <v>62</v>
      </c>
      <c r="B4" s="0" t="n">
        <v>0.9965</v>
      </c>
      <c r="C4" s="0" t="n">
        <v>1.3123</v>
      </c>
      <c r="D4" s="0" t="n">
        <v>0.6807</v>
      </c>
      <c r="E4" s="0" t="n">
        <v>1</v>
      </c>
    </row>
    <row r="5" customFormat="false" ht="15" hidden="false" customHeight="false" outlineLevel="0" collapsed="false">
      <c r="A5" s="0" t="s">
        <v>63</v>
      </c>
      <c r="B5" s="0" t="n">
        <v>0.8421</v>
      </c>
      <c r="C5" s="0" t="n">
        <v>1.6928</v>
      </c>
      <c r="D5" s="0" t="n">
        <v>0</v>
      </c>
      <c r="E5" s="0" t="n">
        <v>1</v>
      </c>
    </row>
    <row r="6" customFormat="false" ht="15" hidden="false" customHeight="false" outlineLevel="0" collapsed="false">
      <c r="A6" s="0" t="s">
        <v>64</v>
      </c>
      <c r="B6" s="0" t="n">
        <v>0.9168</v>
      </c>
      <c r="C6" s="0" t="n">
        <v>1.4117</v>
      </c>
      <c r="D6" s="0" t="n">
        <v>0.422</v>
      </c>
      <c r="E6" s="0" t="n">
        <v>1</v>
      </c>
    </row>
    <row r="7" customFormat="false" ht="15" hidden="false" customHeight="false" outlineLevel="0" collapsed="false">
      <c r="A7" s="0" t="s">
        <v>66</v>
      </c>
      <c r="B7" s="0" t="n">
        <v>0.9556</v>
      </c>
      <c r="C7" s="0" t="n">
        <v>1.4346</v>
      </c>
      <c r="D7" s="0" t="n">
        <v>0.4766</v>
      </c>
      <c r="E7" s="0" t="n">
        <v>1</v>
      </c>
    </row>
    <row r="8" customFormat="false" ht="15" hidden="false" customHeight="false" outlineLevel="0" collapsed="false">
      <c r="A8" s="0" t="s">
        <v>68</v>
      </c>
      <c r="B8" s="0" t="n">
        <v>0.8526</v>
      </c>
      <c r="C8" s="0" t="n">
        <v>1.6752</v>
      </c>
      <c r="D8" s="0" t="n">
        <v>0.0299</v>
      </c>
      <c r="E8" s="0" t="n">
        <v>1</v>
      </c>
    </row>
    <row r="9" customFormat="false" ht="15" hidden="false" customHeight="false" outlineLevel="0" collapsed="false">
      <c r="A9" s="0" t="s">
        <v>69</v>
      </c>
      <c r="B9" s="0" t="n">
        <v>0.984</v>
      </c>
      <c r="C9" s="0" t="n">
        <v>1.345</v>
      </c>
      <c r="D9" s="0" t="n">
        <v>0.6231</v>
      </c>
      <c r="E9" s="0" t="n">
        <v>1</v>
      </c>
    </row>
    <row r="10" customFormat="false" ht="15" hidden="false" customHeight="false" outlineLevel="0" collapsed="false">
      <c r="A10" s="0" t="s">
        <v>70</v>
      </c>
      <c r="B10" s="0" t="n">
        <v>0.9766</v>
      </c>
      <c r="C10" s="0" t="n">
        <v>1.2066</v>
      </c>
      <c r="D10" s="0" t="n">
        <v>0.7466</v>
      </c>
      <c r="E10" s="0" t="n">
        <v>1</v>
      </c>
    </row>
    <row r="11" customFormat="false" ht="15" hidden="false" customHeight="false" outlineLevel="0" collapsed="false">
      <c r="A11" s="0" t="s">
        <v>71</v>
      </c>
      <c r="B11" s="0" t="n">
        <v>0.9882</v>
      </c>
      <c r="C11" s="0" t="n">
        <v>1.1573</v>
      </c>
      <c r="D11" s="0" t="n">
        <v>0.819</v>
      </c>
      <c r="E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0" min="6" style="0" width="12"/>
    <col collapsed="false" customWidth="true" hidden="false" outlineLevel="0" max="11" min="11" style="0" width="16"/>
  </cols>
  <sheetData>
    <row r="1" customFormat="false" ht="27.75" hidden="false" customHeight="true" outlineLevel="0" collapsed="false">
      <c r="A1" s="55" t="s">
        <v>84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3" customFormat="false" ht="21.75" hidden="false" customHeight="true" outlineLevel="0" collapsed="false">
      <c r="A3" s="56" t="s">
        <v>51</v>
      </c>
      <c r="B3" s="6" t="n">
        <v>0.91533412405182</v>
      </c>
      <c r="D3" s="57" t="s">
        <v>52</v>
      </c>
      <c r="E3" s="57" t="s">
        <v>53</v>
      </c>
      <c r="F3" s="57" t="s">
        <v>54</v>
      </c>
      <c r="G3" s="57" t="s">
        <v>55</v>
      </c>
      <c r="H3" s="57" t="s">
        <v>6</v>
      </c>
      <c r="I3" s="57" t="s">
        <v>7</v>
      </c>
      <c r="J3" s="57" t="s">
        <v>9</v>
      </c>
      <c r="K3" s="57" t="s">
        <v>10</v>
      </c>
      <c r="L3" s="57" t="s">
        <v>56</v>
      </c>
    </row>
    <row r="4" customFormat="false" ht="15" hidden="false" customHeight="false" outlineLevel="0" collapsed="false">
      <c r="A4" s="56" t="s">
        <v>57</v>
      </c>
      <c r="B4" s="7" t="n">
        <v>1.44565111419219</v>
      </c>
      <c r="D4" s="58" t="s">
        <v>58</v>
      </c>
      <c r="E4" s="15" t="n">
        <v>4</v>
      </c>
      <c r="F4" s="59" t="n">
        <v>0.85</v>
      </c>
      <c r="G4" s="59" t="n">
        <v>0.191485421551268</v>
      </c>
      <c r="H4" s="7" t="n">
        <v>1.4244562646538</v>
      </c>
      <c r="I4" s="7" t="n">
        <v>0.275543735346197</v>
      </c>
      <c r="J4" s="60" t="n">
        <v>0.225276966530903</v>
      </c>
      <c r="K4" s="59" t="n">
        <v>0.9</v>
      </c>
      <c r="L4" s="15" t="n">
        <v>0</v>
      </c>
    </row>
    <row r="5" customFormat="false" ht="15" hidden="false" customHeight="false" outlineLevel="0" collapsed="false">
      <c r="A5" s="56" t="s">
        <v>59</v>
      </c>
      <c r="B5" s="7" t="n">
        <v>0.385017133911446</v>
      </c>
      <c r="D5" s="40" t="s">
        <v>60</v>
      </c>
      <c r="E5" s="41" t="n">
        <v>6</v>
      </c>
      <c r="F5" s="42" t="n">
        <v>0.930555555555556</v>
      </c>
      <c r="G5" s="42" t="n">
        <v>0.110763344652094</v>
      </c>
      <c r="H5" s="7" t="n">
        <v>1.26284558951184</v>
      </c>
      <c r="I5" s="7" t="n">
        <v>0.598265521599274</v>
      </c>
      <c r="J5" s="43" t="n">
        <v>0.119029265894787</v>
      </c>
      <c r="K5" s="42" t="n">
        <v>1</v>
      </c>
      <c r="L5" s="41" t="n">
        <v>0</v>
      </c>
    </row>
    <row r="6" customFormat="false" ht="15" hidden="false" customHeight="false" outlineLevel="0" collapsed="false">
      <c r="A6" s="56" t="s">
        <v>61</v>
      </c>
      <c r="B6" s="6" t="n">
        <v>0.176772330046791</v>
      </c>
      <c r="D6" s="58" t="s">
        <v>62</v>
      </c>
      <c r="E6" s="15" t="n">
        <v>7</v>
      </c>
      <c r="F6" s="59" t="n">
        <v>0.897278911564626</v>
      </c>
      <c r="G6" s="59" t="n">
        <v>0.146561938048333</v>
      </c>
      <c r="H6" s="7" t="n">
        <v>1.33696472570962</v>
      </c>
      <c r="I6" s="7" t="n">
        <v>0.457593097419628</v>
      </c>
      <c r="J6" s="60" t="n">
        <v>0.163340446498142</v>
      </c>
      <c r="K6" s="59" t="n">
        <v>1</v>
      </c>
      <c r="L6" s="15" t="n">
        <v>0</v>
      </c>
    </row>
    <row r="7" customFormat="false" ht="15" hidden="false" customHeight="false" outlineLevel="0" collapsed="false">
      <c r="A7" s="56" t="s">
        <v>9</v>
      </c>
      <c r="B7" s="8" t="n">
        <v>0.193123281872515</v>
      </c>
      <c r="D7" s="40" t="s">
        <v>63</v>
      </c>
      <c r="E7" s="41" t="n">
        <v>13</v>
      </c>
      <c r="F7" s="42" t="n">
        <v>0.864997272231315</v>
      </c>
      <c r="G7" s="42" t="n">
        <v>0.275701876887743</v>
      </c>
      <c r="H7" s="7" t="n">
        <v>1.69210290289455</v>
      </c>
      <c r="I7" s="7" t="n">
        <v>0.0378916415680846</v>
      </c>
      <c r="J7" s="43" t="n">
        <v>0.318731498628375</v>
      </c>
      <c r="K7" s="42" t="n">
        <v>1</v>
      </c>
      <c r="L7" s="41" t="n">
        <v>0</v>
      </c>
    </row>
    <row r="8" customFormat="false" ht="15" hidden="false" customHeight="false" outlineLevel="0" collapsed="false">
      <c r="A8" s="56" t="s">
        <v>10</v>
      </c>
      <c r="B8" s="6" t="n">
        <v>1</v>
      </c>
      <c r="D8" s="58" t="s">
        <v>64</v>
      </c>
      <c r="E8" s="15" t="n">
        <v>16</v>
      </c>
      <c r="F8" s="59" t="n">
        <v>0.916233974358974</v>
      </c>
      <c r="G8" s="59" t="n">
        <v>0.16655766899363</v>
      </c>
      <c r="H8" s="7" t="n">
        <v>1.41590698133987</v>
      </c>
      <c r="I8" s="7" t="n">
        <v>0.416560967378084</v>
      </c>
      <c r="J8" s="60" t="n">
        <v>0.181785082909809</v>
      </c>
      <c r="K8" s="59" t="n">
        <v>1</v>
      </c>
      <c r="L8" s="15" t="n">
        <v>0</v>
      </c>
    </row>
    <row r="9" customFormat="false" ht="15" hidden="false" customHeight="false" outlineLevel="0" collapsed="false">
      <c r="A9" s="56" t="s">
        <v>65</v>
      </c>
      <c r="B9" s="44" t="n">
        <v>22</v>
      </c>
      <c r="D9" s="40" t="s">
        <v>66</v>
      </c>
      <c r="E9" s="41" t="n">
        <v>2</v>
      </c>
      <c r="F9" s="42" t="n">
        <v>0.894117647058824</v>
      </c>
      <c r="G9" s="42" t="n">
        <v>0.149740259545387</v>
      </c>
      <c r="H9" s="7" t="n">
        <v>1.34333842569498</v>
      </c>
      <c r="I9" s="7" t="n">
        <v>0.444896868422664</v>
      </c>
      <c r="J9" s="43" t="n">
        <v>0.167472658702077</v>
      </c>
      <c r="K9" s="42" t="n">
        <v>0.894117647058824</v>
      </c>
      <c r="L9" s="41" t="n">
        <v>0</v>
      </c>
    </row>
    <row r="10" customFormat="false" ht="15" hidden="false" customHeight="false" outlineLevel="0" collapsed="false">
      <c r="A10" s="56" t="s">
        <v>67</v>
      </c>
      <c r="B10" s="44" t="n">
        <v>99</v>
      </c>
      <c r="D10" s="58" t="s">
        <v>68</v>
      </c>
      <c r="E10" s="15" t="n">
        <v>13</v>
      </c>
      <c r="F10" s="59" t="n">
        <v>0.941405584968338</v>
      </c>
      <c r="G10" s="59" t="n">
        <v>0.114127325480749</v>
      </c>
      <c r="H10" s="7" t="n">
        <v>1.28378756141058</v>
      </c>
      <c r="I10" s="7" t="n">
        <v>0.599023608526092</v>
      </c>
      <c r="J10" s="60" t="n">
        <v>0.121230771628136</v>
      </c>
      <c r="K10" s="59" t="n">
        <v>1</v>
      </c>
      <c r="L10" s="15" t="n">
        <v>0</v>
      </c>
    </row>
    <row r="11" customFormat="false" ht="15" hidden="false" customHeight="false" outlineLevel="0" collapsed="false">
      <c r="D11" s="40" t="s">
        <v>69</v>
      </c>
      <c r="E11" s="41" t="n">
        <v>7</v>
      </c>
      <c r="F11" s="42" t="n">
        <v>0.873968253968254</v>
      </c>
      <c r="G11" s="42" t="n">
        <v>0.166025751811429</v>
      </c>
      <c r="H11" s="7" t="n">
        <v>1.37204550940254</v>
      </c>
      <c r="I11" s="7" t="n">
        <v>0.375890998533967</v>
      </c>
      <c r="J11" s="43" t="n">
        <v>0.189967714568108</v>
      </c>
      <c r="K11" s="42" t="n">
        <v>0.973333333333333</v>
      </c>
      <c r="L11" s="41" t="n">
        <v>0</v>
      </c>
    </row>
    <row r="12" customFormat="false" ht="15" hidden="false" customHeight="false" outlineLevel="0" collapsed="false">
      <c r="D12" s="58" t="s">
        <v>70</v>
      </c>
      <c r="E12" s="15" t="n">
        <v>8</v>
      </c>
      <c r="F12" s="59" t="n">
        <v>0.944761029411765</v>
      </c>
      <c r="G12" s="59" t="n">
        <v>0.123856258711148</v>
      </c>
      <c r="H12" s="7" t="n">
        <v>1.31632980554521</v>
      </c>
      <c r="I12" s="7" t="n">
        <v>0.57319225327832</v>
      </c>
      <c r="J12" s="60" t="n">
        <v>0.131097975948759</v>
      </c>
      <c r="K12" s="59" t="n">
        <v>1</v>
      </c>
      <c r="L12" s="15" t="n">
        <v>0</v>
      </c>
    </row>
    <row r="13" customFormat="false" ht="15" hidden="false" customHeight="false" outlineLevel="0" collapsed="false">
      <c r="D13" s="40" t="s">
        <v>71</v>
      </c>
      <c r="E13" s="41" t="n">
        <v>23</v>
      </c>
      <c r="F13" s="42" t="n">
        <v>0.945509153318078</v>
      </c>
      <c r="G13" s="42" t="n">
        <v>0.203418113648975</v>
      </c>
      <c r="H13" s="7" t="n">
        <v>1.555763494265</v>
      </c>
      <c r="I13" s="7" t="n">
        <v>0.335254812371154</v>
      </c>
      <c r="J13" s="43" t="n">
        <v>0.215141347849589</v>
      </c>
      <c r="K13" s="42" t="n">
        <v>1</v>
      </c>
      <c r="L13" s="45" t="n">
        <v>1</v>
      </c>
    </row>
    <row r="15" customFormat="false" ht="15" hidden="false" customHeight="true" outlineLevel="0" collapsed="false">
      <c r="A15" s="16" t="s">
        <v>85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23.85" hidden="false" customHeight="false" outlineLevel="0" collapsed="false">
      <c r="A16" s="17" t="s">
        <v>23</v>
      </c>
      <c r="B16" s="17" t="s">
        <v>24</v>
      </c>
      <c r="C16" s="17" t="s">
        <v>73</v>
      </c>
      <c r="D16" s="17" t="s">
        <v>74</v>
      </c>
    </row>
    <row r="17" customFormat="false" ht="15" hidden="false" customHeight="false" outlineLevel="0" collapsed="false">
      <c r="A17" s="18" t="s">
        <v>27</v>
      </c>
      <c r="B17" s="19" t="s">
        <v>28</v>
      </c>
      <c r="C17" s="20" t="n">
        <v>3</v>
      </c>
      <c r="D17" s="10" t="s">
        <v>75</v>
      </c>
    </row>
    <row r="18" customFormat="false" ht="15" hidden="false" customHeight="false" outlineLevel="0" collapsed="false">
      <c r="A18" s="18" t="s">
        <v>30</v>
      </c>
      <c r="B18" s="19" t="s">
        <v>31</v>
      </c>
      <c r="C18" s="20" t="n">
        <v>8</v>
      </c>
      <c r="D18" s="10" t="s">
        <v>75</v>
      </c>
    </row>
    <row r="19" customFormat="false" ht="15" hidden="false" customHeight="false" outlineLevel="0" collapsed="false">
      <c r="A19" s="21" t="s">
        <v>33</v>
      </c>
      <c r="B19" s="22" t="s">
        <v>34</v>
      </c>
      <c r="C19" s="23" t="n">
        <v>0</v>
      </c>
      <c r="D19" s="46" t="s">
        <v>76</v>
      </c>
    </row>
    <row r="20" customFormat="false" ht="15" hidden="false" customHeight="false" outlineLevel="0" collapsed="false">
      <c r="A20" s="21" t="s">
        <v>36</v>
      </c>
      <c r="B20" s="22" t="s">
        <v>37</v>
      </c>
      <c r="C20" s="23" t="n">
        <v>0</v>
      </c>
      <c r="D20" s="46" t="s">
        <v>76</v>
      </c>
    </row>
    <row r="21" customFormat="false" ht="15" hidden="false" customHeight="false" outlineLevel="0" collapsed="false">
      <c r="A21" s="21" t="s">
        <v>39</v>
      </c>
      <c r="B21" s="22" t="s">
        <v>40</v>
      </c>
      <c r="C21" s="23" t="n">
        <v>0</v>
      </c>
      <c r="D21" s="46" t="s">
        <v>76</v>
      </c>
    </row>
    <row r="23" customFormat="false" ht="15" hidden="false" customHeight="true" outlineLevel="0" collapsed="false">
      <c r="A23" s="16" t="s">
        <v>86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</sheetData>
  <mergeCells count="3">
    <mergeCell ref="A1:K1"/>
    <mergeCell ref="A15:K15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52</v>
      </c>
      <c r="B1" s="0" t="s">
        <v>54</v>
      </c>
      <c r="C1" s="0" t="s">
        <v>78</v>
      </c>
      <c r="D1" s="0" t="s">
        <v>79</v>
      </c>
      <c r="E1" s="0" t="s">
        <v>80</v>
      </c>
    </row>
    <row r="2" customFormat="false" ht="15" hidden="false" customHeight="false" outlineLevel="0" collapsed="false">
      <c r="A2" s="0" t="s">
        <v>58</v>
      </c>
      <c r="B2" s="0" t="n">
        <v>0.85</v>
      </c>
      <c r="C2" s="0" t="n">
        <v>1.4245</v>
      </c>
      <c r="D2" s="0" t="n">
        <v>0.2755</v>
      </c>
      <c r="E2" s="0" t="n">
        <v>1</v>
      </c>
    </row>
    <row r="3" customFormat="false" ht="15" hidden="false" customHeight="false" outlineLevel="0" collapsed="false">
      <c r="A3" s="0" t="s">
        <v>60</v>
      </c>
      <c r="B3" s="0" t="n">
        <v>0.9306</v>
      </c>
      <c r="C3" s="0" t="n">
        <v>1.2628</v>
      </c>
      <c r="D3" s="0" t="n">
        <v>0.5983</v>
      </c>
      <c r="E3" s="0" t="n">
        <v>1</v>
      </c>
    </row>
    <row r="4" customFormat="false" ht="15" hidden="false" customHeight="false" outlineLevel="0" collapsed="false">
      <c r="A4" s="0" t="s">
        <v>62</v>
      </c>
      <c r="B4" s="0" t="n">
        <v>0.8973</v>
      </c>
      <c r="C4" s="0" t="n">
        <v>1.337</v>
      </c>
      <c r="D4" s="0" t="n">
        <v>0.4576</v>
      </c>
      <c r="E4" s="0" t="n">
        <v>1</v>
      </c>
    </row>
    <row r="5" customFormat="false" ht="15" hidden="false" customHeight="false" outlineLevel="0" collapsed="false">
      <c r="A5" s="0" t="s">
        <v>63</v>
      </c>
      <c r="B5" s="0" t="n">
        <v>0.865</v>
      </c>
      <c r="C5" s="0" t="n">
        <v>1.6921</v>
      </c>
      <c r="D5" s="0" t="n">
        <v>0.0379</v>
      </c>
      <c r="E5" s="0" t="n">
        <v>1</v>
      </c>
    </row>
    <row r="6" customFormat="false" ht="15" hidden="false" customHeight="false" outlineLevel="0" collapsed="false">
      <c r="A6" s="0" t="s">
        <v>64</v>
      </c>
      <c r="B6" s="0" t="n">
        <v>0.9162</v>
      </c>
      <c r="C6" s="0" t="n">
        <v>1.4159</v>
      </c>
      <c r="D6" s="0" t="n">
        <v>0.4166</v>
      </c>
      <c r="E6" s="0" t="n">
        <v>1</v>
      </c>
    </row>
    <row r="7" customFormat="false" ht="15" hidden="false" customHeight="false" outlineLevel="0" collapsed="false">
      <c r="A7" s="0" t="s">
        <v>66</v>
      </c>
      <c r="B7" s="0" t="n">
        <v>0.8941</v>
      </c>
      <c r="C7" s="0" t="n">
        <v>1.3433</v>
      </c>
      <c r="D7" s="0" t="n">
        <v>0.4449</v>
      </c>
      <c r="E7" s="0" t="n">
        <v>1</v>
      </c>
    </row>
    <row r="8" customFormat="false" ht="15" hidden="false" customHeight="false" outlineLevel="0" collapsed="false">
      <c r="A8" s="0" t="s">
        <v>68</v>
      </c>
      <c r="B8" s="0" t="n">
        <v>0.9414</v>
      </c>
      <c r="C8" s="0" t="n">
        <v>1.2838</v>
      </c>
      <c r="D8" s="0" t="n">
        <v>0.599</v>
      </c>
      <c r="E8" s="0" t="n">
        <v>1</v>
      </c>
    </row>
    <row r="9" customFormat="false" ht="15" hidden="false" customHeight="false" outlineLevel="0" collapsed="false">
      <c r="A9" s="0" t="s">
        <v>69</v>
      </c>
      <c r="B9" s="0" t="n">
        <v>0.874</v>
      </c>
      <c r="C9" s="0" t="n">
        <v>1.372</v>
      </c>
      <c r="D9" s="0" t="n">
        <v>0.3759</v>
      </c>
      <c r="E9" s="0" t="n">
        <v>1</v>
      </c>
    </row>
    <row r="10" customFormat="false" ht="15" hidden="false" customHeight="false" outlineLevel="0" collapsed="false">
      <c r="A10" s="0" t="s">
        <v>70</v>
      </c>
      <c r="B10" s="0" t="n">
        <v>0.9448</v>
      </c>
      <c r="C10" s="0" t="n">
        <v>1.3163</v>
      </c>
      <c r="D10" s="0" t="n">
        <v>0.5732</v>
      </c>
      <c r="E10" s="0" t="n">
        <v>1</v>
      </c>
    </row>
    <row r="11" customFormat="false" ht="15" hidden="false" customHeight="false" outlineLevel="0" collapsed="false">
      <c r="A11" s="0" t="s">
        <v>71</v>
      </c>
      <c r="B11" s="0" t="n">
        <v>0.9455</v>
      </c>
      <c r="C11" s="0" t="n">
        <v>1.5558</v>
      </c>
      <c r="D11" s="0" t="n">
        <v>0.3353</v>
      </c>
      <c r="E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2026-03-13T16:20:54Z</dcterms:created>
  <dc:creator>openpyxl</dc:creator>
  <dc:description/>
  <dc:language>en-US</dc:language>
  <cp:lastModifiedBy/>
  <dcterms:modified xsi:type="dcterms:W3CDTF">2026-03-13T16:21:03Z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