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ínea Base SPI" sheetId="1" state="visible" r:id="rId3"/>
    <sheet name="Datos Gráfic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<sst xmlns="http://schemas.openxmlformats.org/spreadsheetml/2006/main" count="86" uniqueCount="69">
  <si>
    <t xml:space="preserve">LÍNEA BASE SPI — Mes Relativo del Proyecto</t>
  </si>
  <si>
    <t xml:space="preserve">74 proyectos | 390 observaciones | 3 portafolios: DATOS Y SISTEMAS DE INFORMACIÓN, TI, CONSULTORÍA</t>
  </si>
  <si>
    <t xml:space="preserve">ESTADÍSTICOS GLOBALES</t>
  </si>
  <si>
    <t xml:space="preserve">Fase</t>
  </si>
  <si>
    <t xml:space="preserve">N</t>
  </si>
  <si>
    <t xml:space="preserve">CL
(Media)</t>
  </si>
  <si>
    <t xml:space="preserve">σ</t>
  </si>
  <si>
    <t xml:space="preserve">UCL
(+3σ)</t>
  </si>
  <si>
    <t xml:space="preserve">LCL
(-3σ)</t>
  </si>
  <si>
    <t xml:space="preserve">CV</t>
  </si>
  <si>
    <t xml:space="preserve">Mediana</t>
  </si>
  <si>
    <t xml:space="preserve">Outliers
(&gt;UCL o &lt;LCL)</t>
  </si>
  <si>
    <t xml:space="preserve">CL (Media)</t>
  </si>
  <si>
    <t xml:space="preserve">0-10%</t>
  </si>
  <si>
    <t xml:space="preserve">UCL (+3σ)</t>
  </si>
  <si>
    <t xml:space="preserve">10-20%</t>
  </si>
  <si>
    <t xml:space="preserve">LCL (-3σ)</t>
  </si>
  <si>
    <t xml:space="preserve">20-30%</t>
  </si>
  <si>
    <t xml:space="preserve">Desv. Estándar (σ)</t>
  </si>
  <si>
    <t xml:space="preserve">30-40%</t>
  </si>
  <si>
    <t xml:space="preserve">Coef. Variación (CV)</t>
  </si>
  <si>
    <t xml:space="preserve">40-50%</t>
  </si>
  <si>
    <t xml:space="preserve">50-60%</t>
  </si>
  <si>
    <t xml:space="preserve">N Observaciones</t>
  </si>
  <si>
    <t xml:space="preserve">60-70%</t>
  </si>
  <si>
    <t xml:space="preserve">70-80%</t>
  </si>
  <si>
    <t xml:space="preserve">80-90%</t>
  </si>
  <si>
    <t xml:space="preserve">90-100%</t>
  </si>
  <si>
    <t xml:space="preserve">ANÁLISIS REGLAS DE NELSON — Proceso Completo (390 obs. ordenadas por Mes Relativo)</t>
  </si>
  <si>
    <t xml:space="preserve">Regla</t>
  </si>
  <si>
    <t xml:space="preserve">Descripción</t>
  </si>
  <si>
    <t xml:space="preserve">Violaciones detectadas</t>
  </si>
  <si>
    <t xml:space="preserve">¿Activa?</t>
  </si>
  <si>
    <t xml:space="preserve">Interpretación</t>
  </si>
  <si>
    <t xml:space="preserve">Regla 1</t>
  </si>
  <si>
    <t xml:space="preserve">Punto fuera de 3σ</t>
  </si>
  <si>
    <t xml:space="preserve">⚠ SÍ</t>
  </si>
  <si>
    <t xml:space="preserve">Causa especial puntual — revisar proyectos específicos</t>
  </si>
  <si>
    <t xml:space="preserve">Regla 2</t>
  </si>
  <si>
    <t xml:space="preserve">9 consec. mismo lado</t>
  </si>
  <si>
    <t xml:space="preserve">Sesgo sistemático — el proceso tiene deriva</t>
  </si>
  <si>
    <t xml:space="preserve">Regla 3</t>
  </si>
  <si>
    <t xml:space="preserve">6 consec. monotono</t>
  </si>
  <si>
    <t xml:space="preserve">✓ NO</t>
  </si>
  <si>
    <t xml:space="preserve">No detectado</t>
  </si>
  <si>
    <t xml:space="preserve">Regla 4</t>
  </si>
  <si>
    <t xml:space="preserve">14 alternan arriba/abajo</t>
  </si>
  <si>
    <t xml:space="preserve">Regla 5</t>
  </si>
  <si>
    <t xml:space="preserve">2 de 3 puntos &gt; 2σ</t>
  </si>
  <si>
    <t xml:space="preserve">Incremento en variabilidad</t>
  </si>
  <si>
    <t xml:space="preserve">Regla 6</t>
  </si>
  <si>
    <t xml:space="preserve">4 de 5 puntos &gt; 1σ</t>
  </si>
  <si>
    <t xml:space="preserve">Ligero desplazamiento de media</t>
  </si>
  <si>
    <t xml:space="preserve">CONCLUSIÓN: ¿ES UN PROCESO CONTROLADO?</t>
  </si>
  <si>
    <t xml:space="preserve">VEREDICTO</t>
  </si>
  <si>
    <t xml:space="preserve">PROCESO NO CONTROLADO (Out of Control)</t>
  </si>
  <si>
    <t xml:space="preserve">Evidencia principal</t>
  </si>
  <si>
    <t xml:space="preserve">Regla 2 activa: 26 secuencias de 9+ puntos consecutivos del mismo lado de la media → deriva sistemática en el SPI a lo largo del ciclo de vida</t>
  </si>
  <si>
    <t xml:space="preserve">→ Ver hoja 'Datos Gráfico' para curva de control visual</t>
  </si>
  <si>
    <t xml:space="preserve">Estabilidad relativa</t>
  </si>
  <si>
    <t xml:space="preserve">La variabilidad disminuye hacia fases finales (CV 0-10%: 34.9% → CV 80-90%: 10.2%), sugiriendo que los proyectos maduros se estabilizan</t>
  </si>
  <si>
    <t xml:space="preserve">Patrón identificado</t>
  </si>
  <si>
    <t xml:space="preserve">SPI arranca alto (~1.07) en fase temprana, cae hacia fases medias (mín ~0.87 en 30-40%), y se recupera parcialmente al final (~0.95-0.96)</t>
  </si>
  <si>
    <t xml:space="preserve">Acción recomendada</t>
  </si>
  <si>
    <t xml:space="preserve">No usar límites globales para alertas operativas. Usar UCL/LCL por fase (tabla arriba). La línea base es válida como referencia de comportamiento típico.</t>
  </si>
  <si>
    <t xml:space="preserve">CL</t>
  </si>
  <si>
    <t xml:space="preserve">UCL</t>
  </si>
  <si>
    <t xml:space="preserve">LCL</t>
  </si>
  <si>
    <t xml:space="preserve">SPI=1 (Ref)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</si>
</sst>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"/>
    <numFmt numFmtId="167" formatCode="0.0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1F4E79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sz val="10"/>
      <color rgb="FF7030A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375623"/>
      </patternFill>
    </fill>
    <fill>
      <patternFill patternType="solid">
        <fgColor rgb="FFEBF3FB"/>
        <bgColor rgb="FFF2F2F2"/>
      </patternFill>
    </fill>
    <fill>
      <patternFill patternType="solid">
        <fgColor rgb="FFD6E4F0"/>
        <bgColor rgb="FFD9D9D9"/>
      </patternFill>
    </fill>
    <fill>
      <patternFill patternType="solid">
        <fgColor rgb="FFFADBD8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ADBD8"/>
      </patternFill>
    </fill>
    <fill>
      <patternFill patternType="solid">
        <fgColor rgb="FFFFFFFF"/>
        <bgColor rgb="FFF2F2F2"/>
      </patternFill>
    </fill>
    <fill>
      <patternFill patternType="solid">
        <fgColor rgb="FF7030A0"/>
        <bgColor rgb="FF5B2C8D"/>
      </patternFill>
    </fill>
    <fill>
      <patternFill patternType="solid">
        <fgColor rgb="FF5B2C8D"/>
        <bgColor rgb="FF7030A0"/>
      </patternFill>
    </fill>
    <fill>
      <patternFill patternType="solid">
        <fgColor rgb="FFE8F8E8"/>
        <bgColor rgb="FFEBF3FB"/>
      </patternFill>
    </fill>
    <fill>
      <patternFill patternType="solid">
        <fgColor rgb="FF843C0C"/>
        <bgColor rgb="FF993366"/>
      </patternFill>
    </fill>
    <fill>
      <patternFill patternType="solid">
        <fgColor rgb="FFF2F2F2"/>
        <bgColor rgb="FFEBF3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FF2CC"/>
      <rgbColor rgb="FFE8F8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D6E4F0"/>
      <rgbColor rgb="FFFCE4D6"/>
      <rgbColor rgb="FFF2F2F2"/>
      <rgbColor rgb="FFFF99CC"/>
      <rgbColor rgb="FFCC99FF"/>
      <rgbColor rgb="FFFADBD8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4E79"/>
      <rgbColor rgb="FF339966"/>
      <rgbColor rgb="FF003300"/>
      <rgbColor rgb="FF333300"/>
      <rgbColor rgb="FF843C0C"/>
      <rgbColor rgb="FF993366"/>
      <rgbColor rgb="FF5B2C8D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Línea Base SPI por Fase del Proyecto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'Datos Gráfico'!B1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rgbClr val="375623"/>
            </a:solidFill>
            <a:ln w="20160">
              <a:solidFill>
                <a:srgbClr val="37562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Gráfico'!$A$2:$A$11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'Datos Gráfico'!$B$2:$B$11</c:f>
              <c:numCache>
                <c:formatCode>General</c:formatCode>
                <c:ptCount val="10"/>
                <c:pt idx="0">
                  <c:v>1.0725</c:v>
                </c:pt>
                <c:pt idx="1">
                  <c:v>0.9043</c:v>
                </c:pt>
                <c:pt idx="2">
                  <c:v>0.9387</c:v>
                </c:pt>
                <c:pt idx="3">
                  <c:v>0.8722</c:v>
                </c:pt>
                <c:pt idx="4">
                  <c:v>0.9073</c:v>
                </c:pt>
                <c:pt idx="5">
                  <c:v>0.9211</c:v>
                </c:pt>
                <c:pt idx="6">
                  <c:v>0.9024</c:v>
                </c:pt>
                <c:pt idx="7">
                  <c:v>0.9435</c:v>
                </c:pt>
                <c:pt idx="8">
                  <c:v>0.9631</c:v>
                </c:pt>
                <c:pt idx="9">
                  <c:v>0.9506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'Datos Gráfico'!C1</c:f>
              <c:strCache>
                <c:ptCount val="1"/>
                <c:pt idx="0">
                  <c:v>UCL</c:v>
                </c:pt>
              </c:strCache>
            </c:strRef>
          </c:tx>
          <c:spPr>
            <a:solidFill>
              <a:srgbClr val="c00000"/>
            </a:solidFill>
            <a:ln w="151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Gráfico'!$A$2:$A$11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'Datos Gráfico'!$C$2:$C$11</c:f>
              <c:numCache>
                <c:formatCode>General</c:formatCode>
                <c:ptCount val="10"/>
                <c:pt idx="0">
                  <c:v>2</c:v>
                </c:pt>
                <c:pt idx="1">
                  <c:v>1.3845</c:v>
                </c:pt>
                <c:pt idx="2">
                  <c:v>1.5334</c:v>
                </c:pt>
                <c:pt idx="3">
                  <c:v>1.6358</c:v>
                </c:pt>
                <c:pt idx="4">
                  <c:v>1.4229</c:v>
                </c:pt>
                <c:pt idx="5">
                  <c:v>1.4051</c:v>
                </c:pt>
                <c:pt idx="6">
                  <c:v>1.5273</c:v>
                </c:pt>
                <c:pt idx="7">
                  <c:v>1.342</c:v>
                </c:pt>
                <c:pt idx="8">
                  <c:v>1.2579</c:v>
                </c:pt>
                <c:pt idx="9">
                  <c:v>1.52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'Datos Gráfico'!D1</c:f>
              <c:strCache>
                <c:ptCount val="1"/>
                <c:pt idx="0">
                  <c:v>LCL</c:v>
                </c:pt>
              </c:strCache>
            </c:strRef>
          </c:tx>
          <c:spPr>
            <a:solidFill>
              <a:srgbClr val="c00000"/>
            </a:solidFill>
            <a:ln w="1512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Gráfico'!$A$2:$A$11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'Datos Gráfico'!$D$2:$D$11</c:f>
              <c:numCache>
                <c:formatCode>General</c:formatCode>
                <c:ptCount val="10"/>
                <c:pt idx="0">
                  <c:v>0</c:v>
                </c:pt>
                <c:pt idx="1">
                  <c:v>0.4242</c:v>
                </c:pt>
                <c:pt idx="2">
                  <c:v>0.344</c:v>
                </c:pt>
                <c:pt idx="3">
                  <c:v>0.1087</c:v>
                </c:pt>
                <c:pt idx="4">
                  <c:v>0.3917</c:v>
                </c:pt>
                <c:pt idx="5">
                  <c:v>0.4371</c:v>
                </c:pt>
                <c:pt idx="6">
                  <c:v>0.2774</c:v>
                </c:pt>
                <c:pt idx="7">
                  <c:v>0.5451</c:v>
                </c:pt>
                <c:pt idx="8">
                  <c:v>0.6683</c:v>
                </c:pt>
                <c:pt idx="9">
                  <c:v>0.3812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'Datos Gráfico'!E1</c:f>
              <c:strCache>
                <c:ptCount val="1"/>
                <c:pt idx="0">
                  <c:v>SPI=1 (Ref)</c:v>
                </c:pt>
              </c:strCache>
            </c:strRef>
          </c:tx>
          <c:spPr>
            <a:solidFill>
              <a:srgbClr val="2e75b6"/>
            </a:solidFill>
            <a:ln w="1188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'Datos Gráfico'!$A$2:$A$11</c:f>
              <c:strCache>
                <c:ptCount val="10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50-60%</c:v>
                </c:pt>
                <c:pt idx="6">
                  <c:v>60-70%</c:v>
                </c:pt>
                <c:pt idx="7">
                  <c:v>70-80%</c:v>
                </c:pt>
                <c:pt idx="8">
                  <c:v>80-90%</c:v>
                </c:pt>
                <c:pt idx="9">
                  <c:v>90-100%</c:v>
                </c:pt>
              </c:strCache>
            </c:strRef>
          </c:cat>
          <c:val>
            <c:numRef>
              <c:f>'Datos Gráfico'!$E$2:$E$11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9108081"/>
        <c:axId val="44307331"/>
      </c:lineChart>
      <c:catAx>
        <c:axId val="2910808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Fase del Proyecto (Mes Relativo)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07331"/>
        <c:crosses val="autoZero"/>
        <c:auto val="1"/>
        <c:lblAlgn val="ctr"/>
        <c:lblOffset val="100"/>
        <c:noMultiLvlLbl val="0"/>
      </c:catAx>
      <c:valAx>
        <c:axId val="443073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SPI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1080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0</xdr:rowOff>
    </xdr:from>
    <xdr:to>
      <xdr:col>18</xdr:col>
      <xdr:colOff>581760</xdr:colOff>
      <xdr:row>26</xdr:row>
      <xdr:rowOff>86760</xdr:rowOff>
    </xdr:to>
    <xdr:graphicFrame>
      <xdr:nvGraphicFramePr>
        <xdr:cNvPr id="0" name="Chart 1"/>
        <xdr:cNvGraphicFramePr/>
      </xdr:nvGraphicFramePr>
      <xdr:xfrm>
        <a:off x="3669120" y="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4"/>
    <col collapsed="false" customWidth="true" hidden="false" outlineLevel="0" max="13" min="5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7.75" hidden="false" customHeight="true" outlineLevel="0" collapsed="false">
      <c r="A4" s="3" t="s">
        <v>2</v>
      </c>
      <c r="B4" s="3"/>
      <c r="C4" s="3"/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</row>
    <row r="5" customFormat="false" ht="15" hidden="false" customHeight="false" outlineLevel="0" collapsed="false">
      <c r="A5" s="5" t="s">
        <v>12</v>
      </c>
      <c r="B5" s="6" t="n">
        <v>0.93011236137073</v>
      </c>
      <c r="C5" s="7"/>
      <c r="E5" s="8" t="s">
        <v>13</v>
      </c>
      <c r="F5" s="9" t="n">
        <v>20</v>
      </c>
      <c r="G5" s="10" t="n">
        <v>1.0725</v>
      </c>
      <c r="H5" s="10" t="n">
        <v>0.373981071854263</v>
      </c>
      <c r="I5" s="11" t="n">
        <v>2.19444321556279</v>
      </c>
      <c r="J5" s="11" t="n">
        <v>0</v>
      </c>
      <c r="K5" s="12" t="n">
        <v>0.348700300097215</v>
      </c>
      <c r="L5" s="10" t="n">
        <v>1</v>
      </c>
      <c r="M5" s="13" t="n">
        <v>1</v>
      </c>
    </row>
    <row r="6" customFormat="false" ht="15" hidden="false" customHeight="false" outlineLevel="0" collapsed="false">
      <c r="A6" s="5" t="s">
        <v>14</v>
      </c>
      <c r="B6" s="14" t="n">
        <v>1.54001002216404</v>
      </c>
      <c r="C6" s="7"/>
      <c r="E6" s="15" t="s">
        <v>15</v>
      </c>
      <c r="F6" s="16" t="n">
        <v>30</v>
      </c>
      <c r="G6" s="17" t="n">
        <v>0.90431746031746</v>
      </c>
      <c r="H6" s="17" t="n">
        <v>0.160046954040335</v>
      </c>
      <c r="I6" s="11" t="n">
        <v>1.38445832243847</v>
      </c>
      <c r="J6" s="11" t="n">
        <v>0.424176598196456</v>
      </c>
      <c r="K6" s="18" t="n">
        <v>0.17698093983959</v>
      </c>
      <c r="L6" s="17" t="n">
        <v>1</v>
      </c>
      <c r="M6" s="16" t="n">
        <v>0</v>
      </c>
    </row>
    <row r="7" customFormat="false" ht="15" hidden="false" customHeight="false" outlineLevel="0" collapsed="false">
      <c r="A7" s="5" t="s">
        <v>16</v>
      </c>
      <c r="B7" s="14" t="n">
        <v>0.320214700577422</v>
      </c>
      <c r="C7" s="7"/>
      <c r="E7" s="8" t="s">
        <v>17</v>
      </c>
      <c r="F7" s="9" t="n">
        <v>29</v>
      </c>
      <c r="G7" s="10" t="n">
        <v>0.938708747866963</v>
      </c>
      <c r="H7" s="10" t="n">
        <v>0.198221537119199</v>
      </c>
      <c r="I7" s="11" t="n">
        <v>1.53337335922456</v>
      </c>
      <c r="J7" s="11" t="n">
        <v>0.344044136509366</v>
      </c>
      <c r="K7" s="12" t="n">
        <v>0.21116404589775</v>
      </c>
      <c r="L7" s="10" t="n">
        <v>1</v>
      </c>
      <c r="M7" s="9" t="n">
        <v>0</v>
      </c>
    </row>
    <row r="8" customFormat="false" ht="15" hidden="false" customHeight="false" outlineLevel="0" collapsed="false">
      <c r="A8" s="5" t="s">
        <v>18</v>
      </c>
      <c r="B8" s="6" t="n">
        <v>0.203299220264436</v>
      </c>
      <c r="C8" s="7"/>
      <c r="E8" s="15" t="s">
        <v>19</v>
      </c>
      <c r="F8" s="16" t="n">
        <v>51</v>
      </c>
      <c r="G8" s="17" t="n">
        <v>0.872212189840475</v>
      </c>
      <c r="H8" s="17" t="n">
        <v>0.254519201722802</v>
      </c>
      <c r="I8" s="11" t="n">
        <v>1.63576979500888</v>
      </c>
      <c r="J8" s="11" t="n">
        <v>0.108654584672069</v>
      </c>
      <c r="K8" s="18" t="n">
        <v>0.291808810616775</v>
      </c>
      <c r="L8" s="17" t="n">
        <v>1</v>
      </c>
      <c r="M8" s="13" t="n">
        <v>1</v>
      </c>
    </row>
    <row r="9" customFormat="false" ht="15" hidden="false" customHeight="false" outlineLevel="0" collapsed="false">
      <c r="A9" s="5" t="s">
        <v>20</v>
      </c>
      <c r="B9" s="19" t="n">
        <v>0.218574904181285</v>
      </c>
      <c r="C9" s="7"/>
      <c r="E9" s="8" t="s">
        <v>21</v>
      </c>
      <c r="F9" s="9" t="n">
        <v>48</v>
      </c>
      <c r="G9" s="10" t="n">
        <v>0.907321047008547</v>
      </c>
      <c r="H9" s="10" t="n">
        <v>0.171858616960028</v>
      </c>
      <c r="I9" s="11" t="n">
        <v>1.42289689788863</v>
      </c>
      <c r="J9" s="11" t="n">
        <v>0.391745196128463</v>
      </c>
      <c r="K9" s="12" t="n">
        <v>0.189413237493662</v>
      </c>
      <c r="L9" s="10" t="n">
        <v>1</v>
      </c>
      <c r="M9" s="9" t="n">
        <v>0</v>
      </c>
    </row>
    <row r="10" customFormat="false" ht="15" hidden="false" customHeight="false" outlineLevel="0" collapsed="false">
      <c r="A10" s="5" t="s">
        <v>10</v>
      </c>
      <c r="B10" s="6" t="n">
        <v>1</v>
      </c>
      <c r="C10" s="7"/>
      <c r="E10" s="15" t="s">
        <v>22</v>
      </c>
      <c r="F10" s="16" t="n">
        <v>22</v>
      </c>
      <c r="G10" s="17" t="n">
        <v>0.921090421016892</v>
      </c>
      <c r="H10" s="17" t="n">
        <v>0.161336162881328</v>
      </c>
      <c r="I10" s="11" t="n">
        <v>1.40509890966088</v>
      </c>
      <c r="J10" s="11" t="n">
        <v>0.437081932372907</v>
      </c>
      <c r="K10" s="18" t="n">
        <v>0.175157790375468</v>
      </c>
      <c r="L10" s="17" t="n">
        <v>1</v>
      </c>
      <c r="M10" s="16" t="n">
        <v>0</v>
      </c>
    </row>
    <row r="11" customFormat="false" ht="15" hidden="false" customHeight="false" outlineLevel="0" collapsed="false">
      <c r="A11" s="5" t="s">
        <v>23</v>
      </c>
      <c r="B11" s="20" t="n">
        <v>390</v>
      </c>
      <c r="C11" s="7"/>
      <c r="E11" s="8" t="s">
        <v>24</v>
      </c>
      <c r="F11" s="9" t="n">
        <v>43</v>
      </c>
      <c r="G11" s="10" t="n">
        <v>0.902364269069571</v>
      </c>
      <c r="H11" s="10" t="n">
        <v>0.208306623194766</v>
      </c>
      <c r="I11" s="11" t="n">
        <v>1.52728413865387</v>
      </c>
      <c r="J11" s="11" t="n">
        <v>0.277444399485272</v>
      </c>
      <c r="K11" s="12" t="n">
        <v>0.230845380668221</v>
      </c>
      <c r="L11" s="10" t="n">
        <v>1</v>
      </c>
      <c r="M11" s="13" t="n">
        <v>1</v>
      </c>
    </row>
    <row r="12" customFormat="false" ht="15" hidden="false" customHeight="false" outlineLevel="0" collapsed="false">
      <c r="E12" s="15" t="s">
        <v>25</v>
      </c>
      <c r="F12" s="16" t="n">
        <v>35</v>
      </c>
      <c r="G12" s="17" t="n">
        <v>0.943547192351544</v>
      </c>
      <c r="H12" s="17" t="n">
        <v>0.132817851794895</v>
      </c>
      <c r="I12" s="11" t="n">
        <v>1.34200074773623</v>
      </c>
      <c r="J12" s="11" t="n">
        <v>0.545093636966859</v>
      </c>
      <c r="K12" s="18" t="n">
        <v>0.140764397235798</v>
      </c>
      <c r="L12" s="17" t="n">
        <v>1</v>
      </c>
      <c r="M12" s="16" t="n">
        <v>0</v>
      </c>
    </row>
    <row r="13" customFormat="false" ht="15" hidden="false" customHeight="false" outlineLevel="0" collapsed="false">
      <c r="E13" s="8" t="s">
        <v>26</v>
      </c>
      <c r="F13" s="9" t="n">
        <v>28</v>
      </c>
      <c r="G13" s="10" t="n">
        <v>0.963084150326797</v>
      </c>
      <c r="H13" s="10" t="n">
        <v>0.0982758116680805</v>
      </c>
      <c r="I13" s="11" t="n">
        <v>1.25791158533104</v>
      </c>
      <c r="J13" s="11" t="n">
        <v>0.668256715322556</v>
      </c>
      <c r="K13" s="12" t="n">
        <v>0.102042808652529</v>
      </c>
      <c r="L13" s="10" t="n">
        <v>1</v>
      </c>
      <c r="M13" s="9" t="n">
        <v>0</v>
      </c>
    </row>
    <row r="14" customFormat="false" ht="15" hidden="false" customHeight="false" outlineLevel="0" collapsed="false">
      <c r="E14" s="15" t="s">
        <v>27</v>
      </c>
      <c r="F14" s="16" t="n">
        <v>84</v>
      </c>
      <c r="G14" s="17" t="n">
        <v>0.950611318152702</v>
      </c>
      <c r="H14" s="17" t="n">
        <v>0.189799609723927</v>
      </c>
      <c r="I14" s="11" t="n">
        <v>1.52001014732448</v>
      </c>
      <c r="J14" s="11" t="n">
        <v>0.381212488980922</v>
      </c>
      <c r="K14" s="18" t="n">
        <v>0.1996605827214</v>
      </c>
      <c r="L14" s="17" t="n">
        <v>1</v>
      </c>
      <c r="M14" s="13" t="n">
        <v>3</v>
      </c>
    </row>
    <row r="16" customFormat="false" ht="21.75" hidden="false" customHeight="true" outlineLevel="0" collapsed="false">
      <c r="A16" s="21" t="s">
        <v>28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customFormat="false" ht="24" hidden="false" customHeight="true" outlineLevel="0" collapsed="false">
      <c r="A17" s="22" t="s">
        <v>29</v>
      </c>
      <c r="B17" s="22" t="s">
        <v>30</v>
      </c>
      <c r="C17" s="22" t="s">
        <v>31</v>
      </c>
      <c r="D17" s="22" t="s">
        <v>32</v>
      </c>
      <c r="E17" s="22" t="s">
        <v>33</v>
      </c>
    </row>
    <row r="18" customFormat="false" ht="15" hidden="false" customHeight="false" outlineLevel="0" collapsed="false">
      <c r="A18" s="23" t="s">
        <v>34</v>
      </c>
      <c r="B18" s="24" t="s">
        <v>35</v>
      </c>
      <c r="C18" s="25" t="n">
        <v>7</v>
      </c>
      <c r="D18" s="26" t="s">
        <v>36</v>
      </c>
      <c r="E18" s="24" t="s">
        <v>37</v>
      </c>
    </row>
    <row r="19" customFormat="false" ht="15" hidden="false" customHeight="false" outlineLevel="0" collapsed="false">
      <c r="A19" s="23" t="s">
        <v>38</v>
      </c>
      <c r="B19" s="24" t="s">
        <v>39</v>
      </c>
      <c r="C19" s="25" t="n">
        <v>26</v>
      </c>
      <c r="D19" s="26" t="s">
        <v>36</v>
      </c>
      <c r="E19" s="24" t="s">
        <v>40</v>
      </c>
    </row>
    <row r="20" customFormat="false" ht="15" hidden="false" customHeight="false" outlineLevel="0" collapsed="false">
      <c r="A20" s="27" t="s">
        <v>41</v>
      </c>
      <c r="B20" s="28" t="s">
        <v>42</v>
      </c>
      <c r="C20" s="29" t="n">
        <v>0</v>
      </c>
      <c r="D20" s="30" t="s">
        <v>43</v>
      </c>
      <c r="E20" s="28" t="s">
        <v>44</v>
      </c>
    </row>
    <row r="21" customFormat="false" ht="15" hidden="false" customHeight="false" outlineLevel="0" collapsed="false">
      <c r="A21" s="27" t="s">
        <v>45</v>
      </c>
      <c r="B21" s="28" t="s">
        <v>46</v>
      </c>
      <c r="C21" s="29" t="n">
        <v>0</v>
      </c>
      <c r="D21" s="30" t="s">
        <v>43</v>
      </c>
      <c r="E21" s="28" t="s">
        <v>44</v>
      </c>
    </row>
    <row r="22" customFormat="false" ht="15" hidden="false" customHeight="false" outlineLevel="0" collapsed="false">
      <c r="A22" s="23" t="s">
        <v>47</v>
      </c>
      <c r="B22" s="24" t="s">
        <v>48</v>
      </c>
      <c r="C22" s="25" t="n">
        <v>4</v>
      </c>
      <c r="D22" s="26" t="s">
        <v>36</v>
      </c>
      <c r="E22" s="24" t="s">
        <v>49</v>
      </c>
    </row>
    <row r="23" customFormat="false" ht="15" hidden="false" customHeight="false" outlineLevel="0" collapsed="false">
      <c r="A23" s="23" t="s">
        <v>50</v>
      </c>
      <c r="B23" s="24" t="s">
        <v>51</v>
      </c>
      <c r="C23" s="25" t="n">
        <v>2</v>
      </c>
      <c r="D23" s="26" t="s">
        <v>36</v>
      </c>
      <c r="E23" s="24" t="s">
        <v>52</v>
      </c>
    </row>
    <row r="25" customFormat="false" ht="21.75" hidden="false" customHeight="true" outlineLevel="0" collapsed="false">
      <c r="A25" s="31" t="s">
        <v>53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</row>
    <row r="26" customFormat="false" ht="30" hidden="false" customHeight="true" outlineLevel="0" collapsed="false">
      <c r="A26" s="32" t="s">
        <v>54</v>
      </c>
      <c r="B26" s="33" t="s">
        <v>55</v>
      </c>
      <c r="C26" s="33"/>
      <c r="D26" s="33"/>
      <c r="E26" s="33"/>
      <c r="F26" s="33"/>
      <c r="G26" s="33"/>
      <c r="H26" s="33"/>
      <c r="I26" s="33"/>
      <c r="J26" s="33"/>
      <c r="K26" s="33"/>
    </row>
    <row r="27" customFormat="false" ht="30" hidden="false" customHeight="true" outlineLevel="0" collapsed="false">
      <c r="A27" s="34" t="s">
        <v>56</v>
      </c>
      <c r="B27" s="35" t="s">
        <v>57</v>
      </c>
      <c r="C27" s="35"/>
      <c r="D27" s="35"/>
      <c r="E27" s="35"/>
      <c r="F27" s="35"/>
      <c r="G27" s="35"/>
      <c r="H27" s="35"/>
      <c r="I27" s="35"/>
      <c r="J27" s="35"/>
      <c r="K27" s="35"/>
    </row>
    <row r="28" customFormat="false" ht="30" hidden="false" customHeight="true" outlineLevel="0" collapsed="false">
      <c r="A28" s="36" t="s">
        <v>58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</row>
    <row r="29" customFormat="false" ht="30" hidden="false" customHeight="true" outlineLevel="0" collapsed="false">
      <c r="A29" s="37" t="s">
        <v>59</v>
      </c>
      <c r="B29" s="38" t="s">
        <v>60</v>
      </c>
      <c r="C29" s="38"/>
      <c r="D29" s="38"/>
      <c r="E29" s="38"/>
      <c r="F29" s="38"/>
      <c r="G29" s="38"/>
      <c r="H29" s="38"/>
      <c r="I29" s="38"/>
      <c r="J29" s="38"/>
      <c r="K29" s="38"/>
    </row>
    <row r="30" customFormat="false" ht="30" hidden="false" customHeight="true" outlineLevel="0" collapsed="false">
      <c r="A30" s="39" t="s">
        <v>61</v>
      </c>
      <c r="B30" s="40" t="s">
        <v>62</v>
      </c>
      <c r="C30" s="40"/>
      <c r="D30" s="40"/>
      <c r="E30" s="40"/>
      <c r="F30" s="40"/>
      <c r="G30" s="40"/>
      <c r="H30" s="40"/>
      <c r="I30" s="40"/>
      <c r="J30" s="40"/>
      <c r="K30" s="40"/>
    </row>
    <row r="31" customFormat="false" ht="30" hidden="false" customHeight="true" outlineLevel="0" collapsed="false">
      <c r="A31" s="41" t="s">
        <v>63</v>
      </c>
      <c r="B31" s="42" t="s">
        <v>64</v>
      </c>
      <c r="C31" s="42"/>
      <c r="D31" s="42"/>
      <c r="E31" s="42"/>
      <c r="F31" s="42"/>
      <c r="G31" s="42"/>
      <c r="H31" s="42"/>
      <c r="I31" s="42"/>
      <c r="J31" s="42"/>
      <c r="K31" s="42"/>
    </row>
  </sheetData>
  <mergeCells count="12">
    <mergeCell ref="A1:K1"/>
    <mergeCell ref="A2:K2"/>
    <mergeCell ref="A4:C4"/>
    <mergeCell ref="A16:K16"/>
    <mergeCell ref="A25:K25"/>
    <mergeCell ref="B26:K26"/>
    <mergeCell ref="B27:K27"/>
    <mergeCell ref="A28:K28"/>
    <mergeCell ref="B28:K28"/>
    <mergeCell ref="B29:K29"/>
    <mergeCell ref="B30:K30"/>
    <mergeCell ref="B31:K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</v>
      </c>
      <c r="B1" s="0" t="s">
        <v>65</v>
      </c>
      <c r="C1" s="0" t="s">
        <v>66</v>
      </c>
      <c r="D1" s="0" t="s">
        <v>67</v>
      </c>
      <c r="E1" s="0" t="s">
        <v>68</v>
      </c>
    </row>
    <row r="2" customFormat="false" ht="15" hidden="false" customHeight="false" outlineLevel="0" collapsed="false">
      <c r="A2" s="0" t="s">
        <v>13</v>
      </c>
      <c r="B2" s="0" t="n">
        <v>1.0725</v>
      </c>
      <c r="C2" s="0" t="n">
        <v>2</v>
      </c>
      <c r="D2" s="0" t="n">
        <v>0</v>
      </c>
      <c r="E2" s="0" t="n">
        <v>1</v>
      </c>
    </row>
    <row r="3" customFormat="false" ht="15" hidden="false" customHeight="false" outlineLevel="0" collapsed="false">
      <c r="A3" s="0" t="s">
        <v>15</v>
      </c>
      <c r="B3" s="0" t="n">
        <v>0.9043</v>
      </c>
      <c r="C3" s="0" t="n">
        <v>1.3845</v>
      </c>
      <c r="D3" s="0" t="n">
        <v>0.4242</v>
      </c>
      <c r="E3" s="0" t="n">
        <v>1</v>
      </c>
    </row>
    <row r="4" customFormat="false" ht="15" hidden="false" customHeight="false" outlineLevel="0" collapsed="false">
      <c r="A4" s="0" t="s">
        <v>17</v>
      </c>
      <c r="B4" s="0" t="n">
        <v>0.9387</v>
      </c>
      <c r="C4" s="0" t="n">
        <v>1.5334</v>
      </c>
      <c r="D4" s="0" t="n">
        <v>0.344</v>
      </c>
      <c r="E4" s="0" t="n">
        <v>1</v>
      </c>
    </row>
    <row r="5" customFormat="false" ht="15" hidden="false" customHeight="false" outlineLevel="0" collapsed="false">
      <c r="A5" s="0" t="s">
        <v>19</v>
      </c>
      <c r="B5" s="0" t="n">
        <v>0.8722</v>
      </c>
      <c r="C5" s="0" t="n">
        <v>1.6358</v>
      </c>
      <c r="D5" s="0" t="n">
        <v>0.1087</v>
      </c>
      <c r="E5" s="0" t="n">
        <v>1</v>
      </c>
    </row>
    <row r="6" customFormat="false" ht="15" hidden="false" customHeight="false" outlineLevel="0" collapsed="false">
      <c r="A6" s="0" t="s">
        <v>21</v>
      </c>
      <c r="B6" s="0" t="n">
        <v>0.9073</v>
      </c>
      <c r="C6" s="0" t="n">
        <v>1.4229</v>
      </c>
      <c r="D6" s="0" t="n">
        <v>0.3917</v>
      </c>
      <c r="E6" s="0" t="n">
        <v>1</v>
      </c>
    </row>
    <row r="7" customFormat="false" ht="15" hidden="false" customHeight="false" outlineLevel="0" collapsed="false">
      <c r="A7" s="0" t="s">
        <v>22</v>
      </c>
      <c r="B7" s="0" t="n">
        <v>0.9211</v>
      </c>
      <c r="C7" s="0" t="n">
        <v>1.4051</v>
      </c>
      <c r="D7" s="0" t="n">
        <v>0.4371</v>
      </c>
      <c r="E7" s="0" t="n">
        <v>1</v>
      </c>
    </row>
    <row r="8" customFormat="false" ht="15" hidden="false" customHeight="false" outlineLevel="0" collapsed="false">
      <c r="A8" s="0" t="s">
        <v>24</v>
      </c>
      <c r="B8" s="0" t="n">
        <v>0.9024</v>
      </c>
      <c r="C8" s="0" t="n">
        <v>1.5273</v>
      </c>
      <c r="D8" s="0" t="n">
        <v>0.2774</v>
      </c>
      <c r="E8" s="0" t="n">
        <v>1</v>
      </c>
    </row>
    <row r="9" customFormat="false" ht="15" hidden="false" customHeight="false" outlineLevel="0" collapsed="false">
      <c r="A9" s="0" t="s">
        <v>25</v>
      </c>
      <c r="B9" s="0" t="n">
        <v>0.9435</v>
      </c>
      <c r="C9" s="0" t="n">
        <v>1.342</v>
      </c>
      <c r="D9" s="0" t="n">
        <v>0.5451</v>
      </c>
      <c r="E9" s="0" t="n">
        <v>1</v>
      </c>
    </row>
    <row r="10" customFormat="false" ht="15" hidden="false" customHeight="false" outlineLevel="0" collapsed="false">
      <c r="A10" s="0" t="s">
        <v>26</v>
      </c>
      <c r="B10" s="0" t="n">
        <v>0.9631</v>
      </c>
      <c r="C10" s="0" t="n">
        <v>1.2579</v>
      </c>
      <c r="D10" s="0" t="n">
        <v>0.6683</v>
      </c>
      <c r="E10" s="0" t="n">
        <v>1</v>
      </c>
    </row>
    <row r="11" customFormat="false" ht="15" hidden="false" customHeight="false" outlineLevel="0" collapsed="false">
      <c r="A11" s="0" t="s">
        <v>27</v>
      </c>
      <c r="B11" s="0" t="n">
        <v>0.9506</v>
      </c>
      <c r="C11" s="0" t="n">
        <v>1.52</v>
      </c>
      <c r="D11" s="0" t="n">
        <v>0.3812</v>
      </c>
      <c r="E11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2026-03-13T15:25:14Z</dcterms:created>
  <dc:creator>openpyxl</dc:creator>
  <dc:description/>
  <dc:language>en-US</dc:language>
  <cp:lastModifiedBy/>
  <dcterms:modified xsi:type="dcterms:W3CDTF">2026-03-13T15:25:21Z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